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ose\Desktop\Vivado\projects\HalfElf\"/>
    </mc:Choice>
  </mc:AlternateContent>
  <xr:revisionPtr revIDLastSave="0" documentId="13_ncr:1_{D7C6151C-4145-4849-B2D4-02AF5D0EB99C}" xr6:coauthVersionLast="47" xr6:coauthVersionMax="47" xr10:uidLastSave="{00000000-0000-0000-0000-000000000000}"/>
  <bookViews>
    <workbookView xWindow="15264" yWindow="0" windowWidth="15552" windowHeight="16656" firstSheet="1" activeTab="2" xr2:uid="{E3DC7341-3085-4130-BC2F-0BFD2080711F}"/>
  </bookViews>
  <sheets>
    <sheet name="base vs fixed vs dynamic" sheetId="2" r:id="rId1"/>
    <sheet name="dynamic scaling metrics" sheetId="1" r:id="rId2"/>
    <sheet name="dynamic vs fixed HW util." sheetId="8" r:id="rId3"/>
    <sheet name="energy consumption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8" l="1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13" i="8"/>
  <c r="AL18" i="6"/>
  <c r="AL24" i="6"/>
  <c r="AL30" i="6"/>
  <c r="AL36" i="6"/>
  <c r="AL42" i="6"/>
  <c r="AL48" i="6"/>
  <c r="AL54" i="6"/>
  <c r="AL60" i="6"/>
  <c r="AL66" i="6"/>
  <c r="AL72" i="6"/>
  <c r="AL78" i="6"/>
  <c r="AL84" i="6"/>
  <c r="AL90" i="6"/>
  <c r="AL96" i="6"/>
  <c r="AL102" i="6"/>
  <c r="AL108" i="6"/>
  <c r="AL114" i="6"/>
  <c r="AL120" i="6"/>
  <c r="AL126" i="6"/>
  <c r="AL132" i="6"/>
  <c r="AL138" i="6"/>
  <c r="AL144" i="6"/>
  <c r="AL150" i="6"/>
  <c r="AL156" i="6"/>
  <c r="AL162" i="6"/>
  <c r="AL168" i="6"/>
  <c r="AL174" i="6"/>
  <c r="AL180" i="6"/>
  <c r="AL186" i="6"/>
  <c r="AL192" i="6"/>
  <c r="AL198" i="6"/>
  <c r="AL204" i="6"/>
  <c r="AL210" i="6"/>
  <c r="AL216" i="6"/>
  <c r="AL222" i="6"/>
  <c r="AL228" i="6"/>
  <c r="AL234" i="6"/>
  <c r="AL240" i="6"/>
  <c r="AL246" i="6"/>
  <c r="AL252" i="6"/>
  <c r="AL258" i="6"/>
  <c r="AL264" i="6"/>
  <c r="AL270" i="6"/>
  <c r="AL276" i="6"/>
  <c r="AL12" i="6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CS158" i="1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13" i="8"/>
  <c r="AK23" i="6"/>
  <c r="AK29" i="6"/>
  <c r="AK35" i="6"/>
  <c r="AK41" i="6"/>
  <c r="AK47" i="6"/>
  <c r="AK53" i="6"/>
  <c r="AK59" i="6"/>
  <c r="AK65" i="6"/>
  <c r="AK71" i="6"/>
  <c r="AK77" i="6"/>
  <c r="AK83" i="6"/>
  <c r="AK89" i="6"/>
  <c r="AK95" i="6"/>
  <c r="AK101" i="6"/>
  <c r="AK107" i="6"/>
  <c r="AK113" i="6"/>
  <c r="AK119" i="6"/>
  <c r="AK125" i="6"/>
  <c r="AK131" i="6"/>
  <c r="AK137" i="6"/>
  <c r="AK143" i="6"/>
  <c r="AK149" i="6"/>
  <c r="AK155" i="6"/>
  <c r="AK161" i="6"/>
  <c r="AK167" i="6"/>
  <c r="AK173" i="6"/>
  <c r="AK179" i="6"/>
  <c r="AK185" i="6"/>
  <c r="AK191" i="6"/>
  <c r="AK197" i="6"/>
  <c r="AK203" i="6"/>
  <c r="AK209" i="6"/>
  <c r="AK215" i="6"/>
  <c r="AK221" i="6"/>
  <c r="AK227" i="6"/>
  <c r="AK233" i="6"/>
  <c r="AK239" i="6"/>
  <c r="AK245" i="6"/>
  <c r="AK251" i="6"/>
  <c r="AK257" i="6"/>
  <c r="AK263" i="6"/>
  <c r="AK269" i="6"/>
  <c r="AK275" i="6"/>
  <c r="AK17" i="6"/>
  <c r="AK11" i="6"/>
  <c r="AA25" i="6"/>
  <c r="AA26" i="6"/>
  <c r="AA31" i="6"/>
  <c r="AA32" i="6"/>
  <c r="AA38" i="6" s="1"/>
  <c r="AA44" i="6" s="1"/>
  <c r="AA50" i="6" s="1"/>
  <c r="AA56" i="6" s="1"/>
  <c r="AA62" i="6" s="1"/>
  <c r="AA68" i="6" s="1"/>
  <c r="AA74" i="6" s="1"/>
  <c r="AA80" i="6" s="1"/>
  <c r="AA86" i="6" s="1"/>
  <c r="AA92" i="6" s="1"/>
  <c r="AA98" i="6" s="1"/>
  <c r="AA104" i="6" s="1"/>
  <c r="AA110" i="6" s="1"/>
  <c r="AA116" i="6" s="1"/>
  <c r="AA122" i="6" s="1"/>
  <c r="AA128" i="6" s="1"/>
  <c r="AA134" i="6" s="1"/>
  <c r="AA140" i="6" s="1"/>
  <c r="AA146" i="6" s="1"/>
  <c r="AA152" i="6" s="1"/>
  <c r="AA158" i="6" s="1"/>
  <c r="AA164" i="6" s="1"/>
  <c r="AA170" i="6" s="1"/>
  <c r="AA176" i="6" s="1"/>
  <c r="AA182" i="6" s="1"/>
  <c r="AA188" i="6" s="1"/>
  <c r="AA194" i="6" s="1"/>
  <c r="AA200" i="6" s="1"/>
  <c r="AA206" i="6" s="1"/>
  <c r="AA212" i="6" s="1"/>
  <c r="AA218" i="6" s="1"/>
  <c r="AA224" i="6" s="1"/>
  <c r="AA230" i="6" s="1"/>
  <c r="AA236" i="6" s="1"/>
  <c r="AA242" i="6" s="1"/>
  <c r="AA248" i="6" s="1"/>
  <c r="AA254" i="6" s="1"/>
  <c r="AA260" i="6" s="1"/>
  <c r="AA266" i="6" s="1"/>
  <c r="AA272" i="6" s="1"/>
  <c r="AA278" i="6" s="1"/>
  <c r="AA37" i="6"/>
  <c r="AA43" i="6"/>
  <c r="AA49" i="6"/>
  <c r="AA55" i="6"/>
  <c r="AA61" i="6"/>
  <c r="AA67" i="6"/>
  <c r="AA73" i="6" s="1"/>
  <c r="AA79" i="6" s="1"/>
  <c r="AA85" i="6" s="1"/>
  <c r="AA91" i="6" s="1"/>
  <c r="AA97" i="6" s="1"/>
  <c r="AA103" i="6" s="1"/>
  <c r="AA109" i="6" s="1"/>
  <c r="AA115" i="6" s="1"/>
  <c r="AA121" i="6" s="1"/>
  <c r="AA127" i="6" s="1"/>
  <c r="AA133" i="6" s="1"/>
  <c r="AA139" i="6" s="1"/>
  <c r="AA145" i="6" s="1"/>
  <c r="AA151" i="6" s="1"/>
  <c r="AA157" i="6" s="1"/>
  <c r="AA163" i="6" s="1"/>
  <c r="AA169" i="6" s="1"/>
  <c r="AA175" i="6" s="1"/>
  <c r="AA181" i="6" s="1"/>
  <c r="AA187" i="6" s="1"/>
  <c r="AA193" i="6" s="1"/>
  <c r="AA199" i="6" s="1"/>
  <c r="AA205" i="6" s="1"/>
  <c r="AA211" i="6" s="1"/>
  <c r="AA217" i="6" s="1"/>
  <c r="AA223" i="6" s="1"/>
  <c r="AA229" i="6" s="1"/>
  <c r="AA235" i="6" s="1"/>
  <c r="AA241" i="6" s="1"/>
  <c r="AA247" i="6" s="1"/>
  <c r="AA253" i="6" s="1"/>
  <c r="AA259" i="6" s="1"/>
  <c r="AA265" i="6" s="1"/>
  <c r="AA271" i="6" s="1"/>
  <c r="AA277" i="6" s="1"/>
  <c r="AA20" i="6"/>
  <c r="AA19" i="6"/>
  <c r="AB277" i="6"/>
  <c r="AC277" i="6"/>
  <c r="AD277" i="6"/>
  <c r="AE277" i="6"/>
  <c r="AF277" i="6"/>
  <c r="AG277" i="6"/>
  <c r="AH277" i="6"/>
  <c r="AI277" i="6"/>
  <c r="AB278" i="6"/>
  <c r="AC278" i="6"/>
  <c r="AD278" i="6"/>
  <c r="AE278" i="6"/>
  <c r="AF278" i="6"/>
  <c r="AG278" i="6"/>
  <c r="AH278" i="6"/>
  <c r="AI278" i="6"/>
  <c r="AB19" i="6"/>
  <c r="AC19" i="6"/>
  <c r="AD19" i="6"/>
  <c r="AE19" i="6"/>
  <c r="AF19" i="6"/>
  <c r="AG19" i="6"/>
  <c r="AH19" i="6"/>
  <c r="AI19" i="6"/>
  <c r="AB20" i="6"/>
  <c r="AC20" i="6"/>
  <c r="AD20" i="6"/>
  <c r="AE20" i="6"/>
  <c r="AF20" i="6"/>
  <c r="AG20" i="6"/>
  <c r="AH20" i="6"/>
  <c r="AI20" i="6"/>
  <c r="AB25" i="6"/>
  <c r="AC25" i="6"/>
  <c r="AD25" i="6"/>
  <c r="AE25" i="6"/>
  <c r="AF25" i="6"/>
  <c r="AG25" i="6"/>
  <c r="AH25" i="6"/>
  <c r="AI25" i="6"/>
  <c r="AB26" i="6"/>
  <c r="AC26" i="6"/>
  <c r="AD26" i="6"/>
  <c r="AE26" i="6"/>
  <c r="AF26" i="6"/>
  <c r="AG26" i="6"/>
  <c r="AH26" i="6"/>
  <c r="AI26" i="6"/>
  <c r="AB31" i="6"/>
  <c r="AC31" i="6"/>
  <c r="AD31" i="6"/>
  <c r="AE31" i="6"/>
  <c r="AF31" i="6"/>
  <c r="AG31" i="6"/>
  <c r="AH31" i="6"/>
  <c r="AI31" i="6"/>
  <c r="AB32" i="6"/>
  <c r="AC32" i="6"/>
  <c r="AD32" i="6"/>
  <c r="AE32" i="6"/>
  <c r="AF32" i="6"/>
  <c r="AG32" i="6"/>
  <c r="AH32" i="6"/>
  <c r="AI32" i="6"/>
  <c r="AB37" i="6"/>
  <c r="AC37" i="6"/>
  <c r="AD37" i="6"/>
  <c r="AE37" i="6"/>
  <c r="AF37" i="6"/>
  <c r="AG37" i="6"/>
  <c r="AH37" i="6"/>
  <c r="AI37" i="6"/>
  <c r="AB38" i="6"/>
  <c r="AC38" i="6"/>
  <c r="AD38" i="6"/>
  <c r="AE38" i="6"/>
  <c r="AF38" i="6"/>
  <c r="AG38" i="6"/>
  <c r="AH38" i="6"/>
  <c r="AI38" i="6"/>
  <c r="AB43" i="6"/>
  <c r="AC43" i="6"/>
  <c r="AD43" i="6"/>
  <c r="AE43" i="6"/>
  <c r="AF43" i="6"/>
  <c r="AG43" i="6"/>
  <c r="AH43" i="6"/>
  <c r="AI43" i="6"/>
  <c r="AB44" i="6"/>
  <c r="AC44" i="6"/>
  <c r="AD44" i="6"/>
  <c r="AE44" i="6"/>
  <c r="AF44" i="6"/>
  <c r="AG44" i="6"/>
  <c r="AH44" i="6"/>
  <c r="AI44" i="6"/>
  <c r="AB49" i="6"/>
  <c r="AC49" i="6"/>
  <c r="AD49" i="6"/>
  <c r="AE49" i="6"/>
  <c r="AF49" i="6"/>
  <c r="AG49" i="6"/>
  <c r="AH49" i="6"/>
  <c r="AI49" i="6"/>
  <c r="AB50" i="6"/>
  <c r="AC50" i="6"/>
  <c r="AD50" i="6"/>
  <c r="AE50" i="6"/>
  <c r="AF50" i="6"/>
  <c r="AG50" i="6"/>
  <c r="AH50" i="6"/>
  <c r="AI50" i="6"/>
  <c r="AB55" i="6"/>
  <c r="AC55" i="6"/>
  <c r="AD55" i="6"/>
  <c r="AE55" i="6"/>
  <c r="AF55" i="6"/>
  <c r="AG55" i="6"/>
  <c r="AH55" i="6"/>
  <c r="AI55" i="6"/>
  <c r="AB56" i="6"/>
  <c r="AC56" i="6"/>
  <c r="AD56" i="6"/>
  <c r="AE56" i="6"/>
  <c r="AF56" i="6"/>
  <c r="AG56" i="6"/>
  <c r="AH56" i="6"/>
  <c r="AI56" i="6"/>
  <c r="AB61" i="6"/>
  <c r="AC61" i="6"/>
  <c r="AD61" i="6"/>
  <c r="AE61" i="6"/>
  <c r="AF61" i="6"/>
  <c r="AG61" i="6"/>
  <c r="AH61" i="6"/>
  <c r="AI61" i="6"/>
  <c r="AB62" i="6"/>
  <c r="AC62" i="6"/>
  <c r="AD62" i="6"/>
  <c r="AE62" i="6"/>
  <c r="AF62" i="6"/>
  <c r="AG62" i="6"/>
  <c r="AH62" i="6"/>
  <c r="AI62" i="6"/>
  <c r="AB67" i="6"/>
  <c r="AC67" i="6"/>
  <c r="AD67" i="6"/>
  <c r="AE67" i="6"/>
  <c r="AF67" i="6"/>
  <c r="AG67" i="6"/>
  <c r="AH67" i="6"/>
  <c r="AI67" i="6"/>
  <c r="AB68" i="6"/>
  <c r="AC68" i="6"/>
  <c r="AD68" i="6"/>
  <c r="AE68" i="6"/>
  <c r="AF68" i="6"/>
  <c r="AG68" i="6"/>
  <c r="AH68" i="6"/>
  <c r="AI68" i="6"/>
  <c r="AB73" i="6"/>
  <c r="AC73" i="6"/>
  <c r="AD73" i="6"/>
  <c r="AE73" i="6"/>
  <c r="AF73" i="6"/>
  <c r="AG73" i="6"/>
  <c r="AH73" i="6"/>
  <c r="AI73" i="6"/>
  <c r="AB74" i="6"/>
  <c r="AC74" i="6"/>
  <c r="AD74" i="6"/>
  <c r="AE74" i="6"/>
  <c r="AF74" i="6"/>
  <c r="AG74" i="6"/>
  <c r="AH74" i="6"/>
  <c r="AI74" i="6"/>
  <c r="AB79" i="6"/>
  <c r="AC79" i="6"/>
  <c r="AD79" i="6"/>
  <c r="AE79" i="6"/>
  <c r="AF79" i="6"/>
  <c r="AG79" i="6"/>
  <c r="AH79" i="6"/>
  <c r="AI79" i="6"/>
  <c r="AB80" i="6"/>
  <c r="AC80" i="6"/>
  <c r="AD80" i="6"/>
  <c r="AE80" i="6"/>
  <c r="AF80" i="6"/>
  <c r="AG80" i="6"/>
  <c r="AH80" i="6"/>
  <c r="AI80" i="6"/>
  <c r="AB85" i="6"/>
  <c r="AC85" i="6"/>
  <c r="AD85" i="6"/>
  <c r="AE85" i="6"/>
  <c r="AF85" i="6"/>
  <c r="AG85" i="6"/>
  <c r="AH85" i="6"/>
  <c r="AI85" i="6"/>
  <c r="AB86" i="6"/>
  <c r="AC86" i="6"/>
  <c r="AD86" i="6"/>
  <c r="AE86" i="6"/>
  <c r="AF86" i="6"/>
  <c r="AG86" i="6"/>
  <c r="AH86" i="6"/>
  <c r="AI86" i="6"/>
  <c r="AB91" i="6"/>
  <c r="AC91" i="6"/>
  <c r="AD91" i="6"/>
  <c r="AE91" i="6"/>
  <c r="AF91" i="6"/>
  <c r="AG91" i="6"/>
  <c r="AH91" i="6"/>
  <c r="AI91" i="6"/>
  <c r="AB92" i="6"/>
  <c r="AC92" i="6"/>
  <c r="AD92" i="6"/>
  <c r="AE92" i="6"/>
  <c r="AF92" i="6"/>
  <c r="AG92" i="6"/>
  <c r="AH92" i="6"/>
  <c r="AI92" i="6"/>
  <c r="AB97" i="6"/>
  <c r="AC97" i="6"/>
  <c r="AD97" i="6"/>
  <c r="AE97" i="6"/>
  <c r="AF97" i="6"/>
  <c r="AG97" i="6"/>
  <c r="AH97" i="6"/>
  <c r="AI97" i="6"/>
  <c r="AB98" i="6"/>
  <c r="AC98" i="6"/>
  <c r="AD98" i="6"/>
  <c r="AE98" i="6"/>
  <c r="AF98" i="6"/>
  <c r="AG98" i="6"/>
  <c r="AH98" i="6"/>
  <c r="AI98" i="6"/>
  <c r="AB103" i="6"/>
  <c r="AC103" i="6"/>
  <c r="AD103" i="6"/>
  <c r="AE103" i="6"/>
  <c r="AF103" i="6"/>
  <c r="AG103" i="6"/>
  <c r="AH103" i="6"/>
  <c r="AI103" i="6"/>
  <c r="AB104" i="6"/>
  <c r="AC104" i="6"/>
  <c r="AD104" i="6"/>
  <c r="AE104" i="6"/>
  <c r="AF104" i="6"/>
  <c r="AG104" i="6"/>
  <c r="AH104" i="6"/>
  <c r="AI104" i="6"/>
  <c r="AB109" i="6"/>
  <c r="AC109" i="6"/>
  <c r="AD109" i="6"/>
  <c r="AE109" i="6"/>
  <c r="AF109" i="6"/>
  <c r="AG109" i="6"/>
  <c r="AH109" i="6"/>
  <c r="AI109" i="6"/>
  <c r="AB110" i="6"/>
  <c r="AC110" i="6"/>
  <c r="AD110" i="6"/>
  <c r="AE110" i="6"/>
  <c r="AF110" i="6"/>
  <c r="AG110" i="6"/>
  <c r="AH110" i="6"/>
  <c r="AI110" i="6"/>
  <c r="AB115" i="6"/>
  <c r="AC115" i="6"/>
  <c r="AD115" i="6"/>
  <c r="AE115" i="6"/>
  <c r="AF115" i="6"/>
  <c r="AG115" i="6"/>
  <c r="AH115" i="6"/>
  <c r="AI115" i="6"/>
  <c r="AB116" i="6"/>
  <c r="AC116" i="6"/>
  <c r="AD116" i="6"/>
  <c r="AE116" i="6"/>
  <c r="AF116" i="6"/>
  <c r="AG116" i="6"/>
  <c r="AH116" i="6"/>
  <c r="AI116" i="6"/>
  <c r="AB121" i="6"/>
  <c r="AC121" i="6"/>
  <c r="AD121" i="6"/>
  <c r="AE121" i="6"/>
  <c r="AF121" i="6"/>
  <c r="AG121" i="6"/>
  <c r="AH121" i="6"/>
  <c r="AI121" i="6"/>
  <c r="AB122" i="6"/>
  <c r="AC122" i="6"/>
  <c r="AD122" i="6"/>
  <c r="AE122" i="6"/>
  <c r="AF122" i="6"/>
  <c r="AG122" i="6"/>
  <c r="AH122" i="6"/>
  <c r="AI122" i="6"/>
  <c r="AB127" i="6"/>
  <c r="AC127" i="6"/>
  <c r="AD127" i="6"/>
  <c r="AE127" i="6"/>
  <c r="AF127" i="6"/>
  <c r="AG127" i="6"/>
  <c r="AH127" i="6"/>
  <c r="AI127" i="6"/>
  <c r="AB128" i="6"/>
  <c r="AC128" i="6"/>
  <c r="AD128" i="6"/>
  <c r="AE128" i="6"/>
  <c r="AF128" i="6"/>
  <c r="AG128" i="6"/>
  <c r="AH128" i="6"/>
  <c r="AI128" i="6"/>
  <c r="AB133" i="6"/>
  <c r="AC133" i="6"/>
  <c r="AD133" i="6"/>
  <c r="AE133" i="6"/>
  <c r="AF133" i="6"/>
  <c r="AG133" i="6"/>
  <c r="AH133" i="6"/>
  <c r="AI133" i="6"/>
  <c r="AB134" i="6"/>
  <c r="AC134" i="6"/>
  <c r="AD134" i="6"/>
  <c r="AE134" i="6"/>
  <c r="AF134" i="6"/>
  <c r="AG134" i="6"/>
  <c r="AH134" i="6"/>
  <c r="AI134" i="6"/>
  <c r="AB139" i="6"/>
  <c r="AC139" i="6"/>
  <c r="AD139" i="6"/>
  <c r="AE139" i="6"/>
  <c r="AF139" i="6"/>
  <c r="AG139" i="6"/>
  <c r="AH139" i="6"/>
  <c r="AI139" i="6"/>
  <c r="AB140" i="6"/>
  <c r="AC140" i="6"/>
  <c r="AD140" i="6"/>
  <c r="AE140" i="6"/>
  <c r="AF140" i="6"/>
  <c r="AG140" i="6"/>
  <c r="AH140" i="6"/>
  <c r="AI140" i="6"/>
  <c r="AB145" i="6"/>
  <c r="AC145" i="6"/>
  <c r="AD145" i="6"/>
  <c r="AE145" i="6"/>
  <c r="AF145" i="6"/>
  <c r="AG145" i="6"/>
  <c r="AH145" i="6"/>
  <c r="AI145" i="6"/>
  <c r="AB146" i="6"/>
  <c r="AC146" i="6"/>
  <c r="AD146" i="6"/>
  <c r="AE146" i="6"/>
  <c r="AF146" i="6"/>
  <c r="AG146" i="6"/>
  <c r="AH146" i="6"/>
  <c r="AI146" i="6"/>
  <c r="AB151" i="6"/>
  <c r="AC151" i="6"/>
  <c r="AD151" i="6"/>
  <c r="AE151" i="6"/>
  <c r="AF151" i="6"/>
  <c r="AG151" i="6"/>
  <c r="AH151" i="6"/>
  <c r="AI151" i="6"/>
  <c r="AB152" i="6"/>
  <c r="AC152" i="6"/>
  <c r="AD152" i="6"/>
  <c r="AE152" i="6"/>
  <c r="AF152" i="6"/>
  <c r="AG152" i="6"/>
  <c r="AH152" i="6"/>
  <c r="AI152" i="6"/>
  <c r="AB157" i="6"/>
  <c r="AC157" i="6"/>
  <c r="AD157" i="6"/>
  <c r="AE157" i="6"/>
  <c r="AF157" i="6"/>
  <c r="AG157" i="6"/>
  <c r="AH157" i="6"/>
  <c r="AI157" i="6"/>
  <c r="AB158" i="6"/>
  <c r="AC158" i="6"/>
  <c r="AD158" i="6"/>
  <c r="AE158" i="6"/>
  <c r="AF158" i="6"/>
  <c r="AG158" i="6"/>
  <c r="AH158" i="6"/>
  <c r="AI158" i="6"/>
  <c r="AB163" i="6"/>
  <c r="AC163" i="6"/>
  <c r="AD163" i="6"/>
  <c r="AE163" i="6"/>
  <c r="AF163" i="6"/>
  <c r="AG163" i="6"/>
  <c r="AH163" i="6"/>
  <c r="AI163" i="6"/>
  <c r="AB164" i="6"/>
  <c r="AC164" i="6"/>
  <c r="AD164" i="6"/>
  <c r="AE164" i="6"/>
  <c r="AF164" i="6"/>
  <c r="AG164" i="6"/>
  <c r="AH164" i="6"/>
  <c r="AI164" i="6"/>
  <c r="AB169" i="6"/>
  <c r="AC169" i="6"/>
  <c r="AD169" i="6"/>
  <c r="AE169" i="6"/>
  <c r="AF169" i="6"/>
  <c r="AG169" i="6"/>
  <c r="AH169" i="6"/>
  <c r="AI169" i="6"/>
  <c r="AB170" i="6"/>
  <c r="AC170" i="6"/>
  <c r="AD170" i="6"/>
  <c r="AE170" i="6"/>
  <c r="AF170" i="6"/>
  <c r="AG170" i="6"/>
  <c r="AH170" i="6"/>
  <c r="AI170" i="6"/>
  <c r="AB175" i="6"/>
  <c r="AC175" i="6"/>
  <c r="AD175" i="6"/>
  <c r="AE175" i="6"/>
  <c r="AF175" i="6"/>
  <c r="AG175" i="6"/>
  <c r="AH175" i="6"/>
  <c r="AI175" i="6"/>
  <c r="AB176" i="6"/>
  <c r="AC176" i="6"/>
  <c r="AD176" i="6"/>
  <c r="AE176" i="6"/>
  <c r="AF176" i="6"/>
  <c r="AG176" i="6"/>
  <c r="AH176" i="6"/>
  <c r="AI176" i="6"/>
  <c r="AB181" i="6"/>
  <c r="AC181" i="6"/>
  <c r="AD181" i="6"/>
  <c r="AE181" i="6"/>
  <c r="AF181" i="6"/>
  <c r="AG181" i="6"/>
  <c r="AH181" i="6"/>
  <c r="AI181" i="6"/>
  <c r="AB182" i="6"/>
  <c r="AC182" i="6"/>
  <c r="AD182" i="6"/>
  <c r="AE182" i="6"/>
  <c r="AF182" i="6"/>
  <c r="AG182" i="6"/>
  <c r="AH182" i="6"/>
  <c r="AI182" i="6"/>
  <c r="AB187" i="6"/>
  <c r="AC187" i="6"/>
  <c r="AD187" i="6"/>
  <c r="AE187" i="6"/>
  <c r="AF187" i="6"/>
  <c r="AG187" i="6"/>
  <c r="AH187" i="6"/>
  <c r="AI187" i="6"/>
  <c r="AB188" i="6"/>
  <c r="AC188" i="6"/>
  <c r="AD188" i="6"/>
  <c r="AE188" i="6"/>
  <c r="AF188" i="6"/>
  <c r="AG188" i="6"/>
  <c r="AH188" i="6"/>
  <c r="AI188" i="6"/>
  <c r="AB193" i="6"/>
  <c r="AC193" i="6"/>
  <c r="AD193" i="6"/>
  <c r="AE193" i="6"/>
  <c r="AF193" i="6"/>
  <c r="AG193" i="6"/>
  <c r="AH193" i="6"/>
  <c r="AI193" i="6"/>
  <c r="AB194" i="6"/>
  <c r="AC194" i="6"/>
  <c r="AD194" i="6"/>
  <c r="AE194" i="6"/>
  <c r="AF194" i="6"/>
  <c r="AG194" i="6"/>
  <c r="AH194" i="6"/>
  <c r="AI194" i="6"/>
  <c r="AB199" i="6"/>
  <c r="AC199" i="6"/>
  <c r="AD199" i="6"/>
  <c r="AE199" i="6"/>
  <c r="AF199" i="6"/>
  <c r="AG199" i="6"/>
  <c r="AH199" i="6"/>
  <c r="AI199" i="6"/>
  <c r="AB200" i="6"/>
  <c r="AC200" i="6"/>
  <c r="AD200" i="6"/>
  <c r="AE200" i="6"/>
  <c r="AF200" i="6"/>
  <c r="AG200" i="6"/>
  <c r="AH200" i="6"/>
  <c r="AI200" i="6"/>
  <c r="AB205" i="6"/>
  <c r="AC205" i="6"/>
  <c r="AD205" i="6"/>
  <c r="AE205" i="6"/>
  <c r="AF205" i="6"/>
  <c r="AG205" i="6"/>
  <c r="AH205" i="6"/>
  <c r="AI205" i="6"/>
  <c r="AB206" i="6"/>
  <c r="AC206" i="6"/>
  <c r="AD206" i="6"/>
  <c r="AE206" i="6"/>
  <c r="AF206" i="6"/>
  <c r="AG206" i="6"/>
  <c r="AH206" i="6"/>
  <c r="AI206" i="6"/>
  <c r="AB211" i="6"/>
  <c r="AC211" i="6"/>
  <c r="AD211" i="6"/>
  <c r="AE211" i="6"/>
  <c r="AF211" i="6"/>
  <c r="AG211" i="6"/>
  <c r="AH211" i="6"/>
  <c r="AI211" i="6"/>
  <c r="AB212" i="6"/>
  <c r="AC212" i="6"/>
  <c r="AD212" i="6"/>
  <c r="AE212" i="6"/>
  <c r="AF212" i="6"/>
  <c r="AG212" i="6"/>
  <c r="AH212" i="6"/>
  <c r="AI212" i="6"/>
  <c r="AB217" i="6"/>
  <c r="AC217" i="6"/>
  <c r="AD217" i="6"/>
  <c r="AE217" i="6"/>
  <c r="AF217" i="6"/>
  <c r="AG217" i="6"/>
  <c r="AH217" i="6"/>
  <c r="AI217" i="6"/>
  <c r="AB218" i="6"/>
  <c r="AC218" i="6"/>
  <c r="AD218" i="6"/>
  <c r="AE218" i="6"/>
  <c r="AF218" i="6"/>
  <c r="AG218" i="6"/>
  <c r="AH218" i="6"/>
  <c r="AI218" i="6"/>
  <c r="AB223" i="6"/>
  <c r="AC223" i="6"/>
  <c r="AD223" i="6"/>
  <c r="AE223" i="6"/>
  <c r="AF223" i="6"/>
  <c r="AG223" i="6"/>
  <c r="AH223" i="6"/>
  <c r="AI223" i="6"/>
  <c r="AB224" i="6"/>
  <c r="AC224" i="6"/>
  <c r="AD224" i="6"/>
  <c r="AE224" i="6"/>
  <c r="AF224" i="6"/>
  <c r="AG224" i="6"/>
  <c r="AH224" i="6"/>
  <c r="AI224" i="6"/>
  <c r="AB229" i="6"/>
  <c r="AC229" i="6"/>
  <c r="AD229" i="6"/>
  <c r="AE229" i="6"/>
  <c r="AF229" i="6"/>
  <c r="AG229" i="6"/>
  <c r="AH229" i="6"/>
  <c r="AI229" i="6"/>
  <c r="AB230" i="6"/>
  <c r="AC230" i="6"/>
  <c r="AD230" i="6"/>
  <c r="AE230" i="6"/>
  <c r="AF230" i="6"/>
  <c r="AG230" i="6"/>
  <c r="AH230" i="6"/>
  <c r="AI230" i="6"/>
  <c r="AB235" i="6"/>
  <c r="AC235" i="6"/>
  <c r="AD235" i="6"/>
  <c r="AE235" i="6"/>
  <c r="AF235" i="6"/>
  <c r="AG235" i="6"/>
  <c r="AH235" i="6"/>
  <c r="AI235" i="6"/>
  <c r="AB236" i="6"/>
  <c r="AC236" i="6"/>
  <c r="AD236" i="6"/>
  <c r="AE236" i="6"/>
  <c r="AF236" i="6"/>
  <c r="AG236" i="6"/>
  <c r="AH236" i="6"/>
  <c r="AI236" i="6"/>
  <c r="AB241" i="6"/>
  <c r="AC241" i="6"/>
  <c r="AD241" i="6"/>
  <c r="AE241" i="6"/>
  <c r="AF241" i="6"/>
  <c r="AG241" i="6"/>
  <c r="AH241" i="6"/>
  <c r="AI241" i="6"/>
  <c r="AB242" i="6"/>
  <c r="AC242" i="6"/>
  <c r="AD242" i="6"/>
  <c r="AE242" i="6"/>
  <c r="AF242" i="6"/>
  <c r="AG242" i="6"/>
  <c r="AH242" i="6"/>
  <c r="AI242" i="6"/>
  <c r="AB247" i="6"/>
  <c r="AC247" i="6"/>
  <c r="AD247" i="6"/>
  <c r="AE247" i="6"/>
  <c r="AF247" i="6"/>
  <c r="AG247" i="6"/>
  <c r="AH247" i="6"/>
  <c r="AI247" i="6"/>
  <c r="AB248" i="6"/>
  <c r="AC248" i="6"/>
  <c r="AD248" i="6"/>
  <c r="AE248" i="6"/>
  <c r="AF248" i="6"/>
  <c r="AG248" i="6"/>
  <c r="AH248" i="6"/>
  <c r="AI248" i="6"/>
  <c r="AB253" i="6"/>
  <c r="AC253" i="6"/>
  <c r="AD253" i="6"/>
  <c r="AE253" i="6"/>
  <c r="AF253" i="6"/>
  <c r="AG253" i="6"/>
  <c r="AH253" i="6"/>
  <c r="AI253" i="6"/>
  <c r="AB254" i="6"/>
  <c r="AC254" i="6"/>
  <c r="AD254" i="6"/>
  <c r="AE254" i="6"/>
  <c r="AF254" i="6"/>
  <c r="AG254" i="6"/>
  <c r="AH254" i="6"/>
  <c r="AI254" i="6"/>
  <c r="AB259" i="6"/>
  <c r="AC259" i="6"/>
  <c r="AD259" i="6"/>
  <c r="AE259" i="6"/>
  <c r="AF259" i="6"/>
  <c r="AG259" i="6"/>
  <c r="AH259" i="6"/>
  <c r="AI259" i="6"/>
  <c r="AB260" i="6"/>
  <c r="AC260" i="6"/>
  <c r="AD260" i="6"/>
  <c r="AE260" i="6"/>
  <c r="AF260" i="6"/>
  <c r="AG260" i="6"/>
  <c r="AH260" i="6"/>
  <c r="AI260" i="6"/>
  <c r="AB265" i="6"/>
  <c r="AC265" i="6"/>
  <c r="AD265" i="6"/>
  <c r="AE265" i="6"/>
  <c r="AF265" i="6"/>
  <c r="AG265" i="6"/>
  <c r="AH265" i="6"/>
  <c r="AI265" i="6"/>
  <c r="AB266" i="6"/>
  <c r="AC266" i="6"/>
  <c r="AD266" i="6"/>
  <c r="AE266" i="6"/>
  <c r="AF266" i="6"/>
  <c r="AG266" i="6"/>
  <c r="AH266" i="6"/>
  <c r="AI266" i="6"/>
  <c r="AB271" i="6"/>
  <c r="AC271" i="6"/>
  <c r="AD271" i="6"/>
  <c r="AE271" i="6"/>
  <c r="AF271" i="6"/>
  <c r="AG271" i="6"/>
  <c r="AH271" i="6"/>
  <c r="AI271" i="6"/>
  <c r="AB272" i="6"/>
  <c r="AC272" i="6"/>
  <c r="AD272" i="6"/>
  <c r="AE272" i="6"/>
  <c r="AF272" i="6"/>
  <c r="AG272" i="6"/>
  <c r="AH272" i="6"/>
  <c r="AI272" i="6"/>
  <c r="S25" i="6"/>
  <c r="T25" i="6"/>
  <c r="U25" i="6"/>
  <c r="V25" i="6"/>
  <c r="W25" i="6"/>
  <c r="X25" i="6"/>
  <c r="Y25" i="6"/>
  <c r="Z25" i="6"/>
  <c r="S26" i="6"/>
  <c r="T26" i="6"/>
  <c r="U26" i="6"/>
  <c r="V26" i="6"/>
  <c r="W26" i="6"/>
  <c r="X26" i="6"/>
  <c r="Y26" i="6"/>
  <c r="Z26" i="6"/>
  <c r="S27" i="6"/>
  <c r="T27" i="6"/>
  <c r="U27" i="6"/>
  <c r="V27" i="6"/>
  <c r="W27" i="6"/>
  <c r="X27" i="6"/>
  <c r="Y27" i="6"/>
  <c r="Z27" i="6"/>
  <c r="S28" i="6"/>
  <c r="T28" i="6"/>
  <c r="U28" i="6"/>
  <c r="V28" i="6"/>
  <c r="W28" i="6"/>
  <c r="X28" i="6"/>
  <c r="Y28" i="6"/>
  <c r="Z28" i="6"/>
  <c r="S29" i="6"/>
  <c r="T29" i="6"/>
  <c r="U29" i="6"/>
  <c r="V29" i="6"/>
  <c r="W29" i="6"/>
  <c r="X29" i="6"/>
  <c r="Y29" i="6"/>
  <c r="Z29" i="6"/>
  <c r="S30" i="6"/>
  <c r="T30" i="6"/>
  <c r="U30" i="6"/>
  <c r="V30" i="6"/>
  <c r="W30" i="6"/>
  <c r="X30" i="6"/>
  <c r="Y30" i="6"/>
  <c r="Z30" i="6"/>
  <c r="S31" i="6"/>
  <c r="T31" i="6"/>
  <c r="U31" i="6"/>
  <c r="V31" i="6"/>
  <c r="W31" i="6"/>
  <c r="X31" i="6"/>
  <c r="Y31" i="6"/>
  <c r="Z31" i="6"/>
  <c r="S32" i="6"/>
  <c r="T32" i="6"/>
  <c r="U32" i="6"/>
  <c r="V32" i="6"/>
  <c r="W32" i="6"/>
  <c r="X32" i="6"/>
  <c r="Y32" i="6"/>
  <c r="Z32" i="6"/>
  <c r="S33" i="6"/>
  <c r="T33" i="6"/>
  <c r="U33" i="6"/>
  <c r="V33" i="6"/>
  <c r="W33" i="6"/>
  <c r="X33" i="6"/>
  <c r="Y33" i="6"/>
  <c r="Z33" i="6"/>
  <c r="S34" i="6"/>
  <c r="T34" i="6"/>
  <c r="U34" i="6"/>
  <c r="V34" i="6"/>
  <c r="W34" i="6"/>
  <c r="X34" i="6"/>
  <c r="Y34" i="6"/>
  <c r="Z34" i="6"/>
  <c r="S35" i="6"/>
  <c r="T35" i="6"/>
  <c r="U35" i="6"/>
  <c r="V35" i="6"/>
  <c r="W35" i="6"/>
  <c r="X35" i="6"/>
  <c r="Y35" i="6"/>
  <c r="Z35" i="6"/>
  <c r="S36" i="6"/>
  <c r="T36" i="6"/>
  <c r="U36" i="6"/>
  <c r="V36" i="6"/>
  <c r="W36" i="6"/>
  <c r="X36" i="6"/>
  <c r="Y36" i="6"/>
  <c r="Z36" i="6"/>
  <c r="S37" i="6"/>
  <c r="T37" i="6"/>
  <c r="U37" i="6"/>
  <c r="V37" i="6"/>
  <c r="W37" i="6"/>
  <c r="X37" i="6"/>
  <c r="Y37" i="6"/>
  <c r="Z37" i="6"/>
  <c r="S38" i="6"/>
  <c r="T38" i="6"/>
  <c r="U38" i="6"/>
  <c r="V38" i="6"/>
  <c r="W38" i="6"/>
  <c r="X38" i="6"/>
  <c r="Y38" i="6"/>
  <c r="Z38" i="6"/>
  <c r="S39" i="6"/>
  <c r="T39" i="6"/>
  <c r="U39" i="6"/>
  <c r="V39" i="6"/>
  <c r="W39" i="6"/>
  <c r="X39" i="6"/>
  <c r="Y39" i="6"/>
  <c r="Z39" i="6"/>
  <c r="S40" i="6"/>
  <c r="T40" i="6"/>
  <c r="U40" i="6"/>
  <c r="V40" i="6"/>
  <c r="W40" i="6"/>
  <c r="X40" i="6"/>
  <c r="Y40" i="6"/>
  <c r="Z40" i="6"/>
  <c r="S41" i="6"/>
  <c r="T41" i="6"/>
  <c r="U41" i="6"/>
  <c r="V41" i="6"/>
  <c r="W41" i="6"/>
  <c r="X41" i="6"/>
  <c r="Y41" i="6"/>
  <c r="Z41" i="6"/>
  <c r="S42" i="6"/>
  <c r="T42" i="6"/>
  <c r="U42" i="6"/>
  <c r="V42" i="6"/>
  <c r="W42" i="6"/>
  <c r="X42" i="6"/>
  <c r="Y42" i="6"/>
  <c r="Z42" i="6"/>
  <c r="S43" i="6"/>
  <c r="T43" i="6"/>
  <c r="U43" i="6"/>
  <c r="V43" i="6"/>
  <c r="W43" i="6"/>
  <c r="X43" i="6"/>
  <c r="Y43" i="6"/>
  <c r="Z43" i="6"/>
  <c r="S44" i="6"/>
  <c r="T44" i="6"/>
  <c r="U44" i="6"/>
  <c r="V44" i="6"/>
  <c r="W44" i="6"/>
  <c r="X44" i="6"/>
  <c r="Y44" i="6"/>
  <c r="Z44" i="6"/>
  <c r="S45" i="6"/>
  <c r="T45" i="6"/>
  <c r="U45" i="6"/>
  <c r="V45" i="6"/>
  <c r="W45" i="6"/>
  <c r="X45" i="6"/>
  <c r="Y45" i="6"/>
  <c r="Z45" i="6"/>
  <c r="S46" i="6"/>
  <c r="T46" i="6"/>
  <c r="U46" i="6"/>
  <c r="V46" i="6"/>
  <c r="W46" i="6"/>
  <c r="X46" i="6"/>
  <c r="Y46" i="6"/>
  <c r="Z46" i="6"/>
  <c r="S47" i="6"/>
  <c r="T47" i="6"/>
  <c r="U47" i="6"/>
  <c r="V47" i="6"/>
  <c r="W47" i="6"/>
  <c r="X47" i="6"/>
  <c r="Y47" i="6"/>
  <c r="Z47" i="6"/>
  <c r="S48" i="6"/>
  <c r="T48" i="6"/>
  <c r="U48" i="6"/>
  <c r="V48" i="6"/>
  <c r="W48" i="6"/>
  <c r="X48" i="6"/>
  <c r="Y48" i="6"/>
  <c r="Z48" i="6"/>
  <c r="S49" i="6"/>
  <c r="T49" i="6"/>
  <c r="U49" i="6"/>
  <c r="V49" i="6"/>
  <c r="W49" i="6"/>
  <c r="X49" i="6"/>
  <c r="Y49" i="6"/>
  <c r="Z49" i="6"/>
  <c r="S50" i="6"/>
  <c r="T50" i="6"/>
  <c r="U50" i="6"/>
  <c r="V50" i="6"/>
  <c r="W50" i="6"/>
  <c r="X50" i="6"/>
  <c r="Y50" i="6"/>
  <c r="Z50" i="6"/>
  <c r="S51" i="6"/>
  <c r="T51" i="6"/>
  <c r="U51" i="6"/>
  <c r="V51" i="6"/>
  <c r="W51" i="6"/>
  <c r="X51" i="6"/>
  <c r="Y51" i="6"/>
  <c r="Z51" i="6"/>
  <c r="S52" i="6"/>
  <c r="T52" i="6"/>
  <c r="U52" i="6"/>
  <c r="V52" i="6"/>
  <c r="W52" i="6"/>
  <c r="X52" i="6"/>
  <c r="Y52" i="6"/>
  <c r="Z52" i="6"/>
  <c r="S53" i="6"/>
  <c r="T53" i="6"/>
  <c r="U53" i="6"/>
  <c r="V53" i="6"/>
  <c r="W53" i="6"/>
  <c r="X53" i="6"/>
  <c r="Y53" i="6"/>
  <c r="Z53" i="6"/>
  <c r="S54" i="6"/>
  <c r="T54" i="6"/>
  <c r="U54" i="6"/>
  <c r="V54" i="6"/>
  <c r="W54" i="6"/>
  <c r="X54" i="6"/>
  <c r="Y54" i="6"/>
  <c r="Z54" i="6"/>
  <c r="S55" i="6"/>
  <c r="T55" i="6"/>
  <c r="U55" i="6"/>
  <c r="V55" i="6"/>
  <c r="W55" i="6"/>
  <c r="X55" i="6"/>
  <c r="Y55" i="6"/>
  <c r="Z55" i="6"/>
  <c r="S56" i="6"/>
  <c r="T56" i="6"/>
  <c r="U56" i="6"/>
  <c r="V56" i="6"/>
  <c r="W56" i="6"/>
  <c r="X56" i="6"/>
  <c r="Y56" i="6"/>
  <c r="Z56" i="6"/>
  <c r="S57" i="6"/>
  <c r="T57" i="6"/>
  <c r="U57" i="6"/>
  <c r="V57" i="6"/>
  <c r="W57" i="6"/>
  <c r="X57" i="6"/>
  <c r="Y57" i="6"/>
  <c r="Z57" i="6"/>
  <c r="S58" i="6"/>
  <c r="T58" i="6"/>
  <c r="U58" i="6"/>
  <c r="V58" i="6"/>
  <c r="W58" i="6"/>
  <c r="X58" i="6"/>
  <c r="Y58" i="6"/>
  <c r="Z58" i="6"/>
  <c r="S59" i="6"/>
  <c r="T59" i="6"/>
  <c r="U59" i="6"/>
  <c r="V59" i="6"/>
  <c r="W59" i="6"/>
  <c r="X59" i="6"/>
  <c r="Y59" i="6"/>
  <c r="Z59" i="6"/>
  <c r="S60" i="6"/>
  <c r="T60" i="6"/>
  <c r="U60" i="6"/>
  <c r="V60" i="6"/>
  <c r="W60" i="6"/>
  <c r="X60" i="6"/>
  <c r="Y60" i="6"/>
  <c r="Z60" i="6"/>
  <c r="S61" i="6"/>
  <c r="T61" i="6"/>
  <c r="U61" i="6"/>
  <c r="V61" i="6"/>
  <c r="W61" i="6"/>
  <c r="X61" i="6"/>
  <c r="Y61" i="6"/>
  <c r="Z61" i="6"/>
  <c r="S62" i="6"/>
  <c r="T62" i="6"/>
  <c r="U62" i="6"/>
  <c r="V62" i="6"/>
  <c r="W62" i="6"/>
  <c r="X62" i="6"/>
  <c r="Y62" i="6"/>
  <c r="Z62" i="6"/>
  <c r="S63" i="6"/>
  <c r="T63" i="6"/>
  <c r="U63" i="6"/>
  <c r="V63" i="6"/>
  <c r="W63" i="6"/>
  <c r="X63" i="6"/>
  <c r="Y63" i="6"/>
  <c r="Z63" i="6"/>
  <c r="S64" i="6"/>
  <c r="T64" i="6"/>
  <c r="U64" i="6"/>
  <c r="V64" i="6"/>
  <c r="W64" i="6"/>
  <c r="X64" i="6"/>
  <c r="Y64" i="6"/>
  <c r="Z64" i="6"/>
  <c r="S65" i="6"/>
  <c r="T65" i="6"/>
  <c r="U65" i="6"/>
  <c r="V65" i="6"/>
  <c r="W65" i="6"/>
  <c r="X65" i="6"/>
  <c r="Y65" i="6"/>
  <c r="Z65" i="6"/>
  <c r="S66" i="6"/>
  <c r="T66" i="6"/>
  <c r="U66" i="6"/>
  <c r="V66" i="6"/>
  <c r="W66" i="6"/>
  <c r="X66" i="6"/>
  <c r="Y66" i="6"/>
  <c r="Z66" i="6"/>
  <c r="S67" i="6"/>
  <c r="T67" i="6"/>
  <c r="U67" i="6"/>
  <c r="V67" i="6"/>
  <c r="W67" i="6"/>
  <c r="X67" i="6"/>
  <c r="Y67" i="6"/>
  <c r="Z67" i="6"/>
  <c r="S68" i="6"/>
  <c r="T68" i="6"/>
  <c r="U68" i="6"/>
  <c r="V68" i="6"/>
  <c r="W68" i="6"/>
  <c r="X68" i="6"/>
  <c r="Y68" i="6"/>
  <c r="Z68" i="6"/>
  <c r="S69" i="6"/>
  <c r="T69" i="6"/>
  <c r="U69" i="6"/>
  <c r="V69" i="6"/>
  <c r="W69" i="6"/>
  <c r="X69" i="6"/>
  <c r="Y69" i="6"/>
  <c r="Z69" i="6"/>
  <c r="S70" i="6"/>
  <c r="T70" i="6"/>
  <c r="U70" i="6"/>
  <c r="V70" i="6"/>
  <c r="W70" i="6"/>
  <c r="X70" i="6"/>
  <c r="Y70" i="6"/>
  <c r="Z70" i="6"/>
  <c r="S71" i="6"/>
  <c r="T71" i="6"/>
  <c r="U71" i="6"/>
  <c r="V71" i="6"/>
  <c r="W71" i="6"/>
  <c r="X71" i="6"/>
  <c r="Y71" i="6"/>
  <c r="Z71" i="6"/>
  <c r="S72" i="6"/>
  <c r="T72" i="6"/>
  <c r="U72" i="6"/>
  <c r="V72" i="6"/>
  <c r="W72" i="6"/>
  <c r="X72" i="6"/>
  <c r="Y72" i="6"/>
  <c r="Z72" i="6"/>
  <c r="S73" i="6"/>
  <c r="T73" i="6"/>
  <c r="U73" i="6"/>
  <c r="V73" i="6"/>
  <c r="W73" i="6"/>
  <c r="X73" i="6"/>
  <c r="Y73" i="6"/>
  <c r="Z73" i="6"/>
  <c r="S74" i="6"/>
  <c r="T74" i="6"/>
  <c r="U74" i="6"/>
  <c r="V74" i="6"/>
  <c r="W74" i="6"/>
  <c r="X74" i="6"/>
  <c r="Y74" i="6"/>
  <c r="Z74" i="6"/>
  <c r="S75" i="6"/>
  <c r="T75" i="6"/>
  <c r="U75" i="6"/>
  <c r="V75" i="6"/>
  <c r="W75" i="6"/>
  <c r="X75" i="6"/>
  <c r="Y75" i="6"/>
  <c r="Z75" i="6"/>
  <c r="S76" i="6"/>
  <c r="T76" i="6"/>
  <c r="U76" i="6"/>
  <c r="V76" i="6"/>
  <c r="W76" i="6"/>
  <c r="X76" i="6"/>
  <c r="Y76" i="6"/>
  <c r="Z76" i="6"/>
  <c r="S77" i="6"/>
  <c r="T77" i="6"/>
  <c r="U77" i="6"/>
  <c r="V77" i="6"/>
  <c r="W77" i="6"/>
  <c r="X77" i="6"/>
  <c r="Y77" i="6"/>
  <c r="Z77" i="6"/>
  <c r="S78" i="6"/>
  <c r="T78" i="6"/>
  <c r="U78" i="6"/>
  <c r="V78" i="6"/>
  <c r="W78" i="6"/>
  <c r="X78" i="6"/>
  <c r="Y78" i="6"/>
  <c r="Z78" i="6"/>
  <c r="S79" i="6"/>
  <c r="T79" i="6"/>
  <c r="U79" i="6"/>
  <c r="V79" i="6"/>
  <c r="W79" i="6"/>
  <c r="X79" i="6"/>
  <c r="Y79" i="6"/>
  <c r="Z79" i="6"/>
  <c r="S80" i="6"/>
  <c r="T80" i="6"/>
  <c r="U80" i="6"/>
  <c r="V80" i="6"/>
  <c r="W80" i="6"/>
  <c r="X80" i="6"/>
  <c r="Y80" i="6"/>
  <c r="Z80" i="6"/>
  <c r="S81" i="6"/>
  <c r="T81" i="6"/>
  <c r="U81" i="6"/>
  <c r="V81" i="6"/>
  <c r="W81" i="6"/>
  <c r="X81" i="6"/>
  <c r="Y81" i="6"/>
  <c r="Z81" i="6"/>
  <c r="S82" i="6"/>
  <c r="T82" i="6"/>
  <c r="U82" i="6"/>
  <c r="V82" i="6"/>
  <c r="W82" i="6"/>
  <c r="X82" i="6"/>
  <c r="Y82" i="6"/>
  <c r="Z82" i="6"/>
  <c r="S83" i="6"/>
  <c r="T83" i="6"/>
  <c r="U83" i="6"/>
  <c r="V83" i="6"/>
  <c r="W83" i="6"/>
  <c r="X83" i="6"/>
  <c r="Y83" i="6"/>
  <c r="Z83" i="6"/>
  <c r="S84" i="6"/>
  <c r="T84" i="6"/>
  <c r="U84" i="6"/>
  <c r="V84" i="6"/>
  <c r="W84" i="6"/>
  <c r="X84" i="6"/>
  <c r="Y84" i="6"/>
  <c r="Z84" i="6"/>
  <c r="S85" i="6"/>
  <c r="T85" i="6"/>
  <c r="U85" i="6"/>
  <c r="V85" i="6"/>
  <c r="W85" i="6"/>
  <c r="X85" i="6"/>
  <c r="Y85" i="6"/>
  <c r="Z85" i="6"/>
  <c r="S86" i="6"/>
  <c r="T86" i="6"/>
  <c r="U86" i="6"/>
  <c r="V86" i="6"/>
  <c r="W86" i="6"/>
  <c r="X86" i="6"/>
  <c r="Y86" i="6"/>
  <c r="Z86" i="6"/>
  <c r="S87" i="6"/>
  <c r="T87" i="6"/>
  <c r="U87" i="6"/>
  <c r="V87" i="6"/>
  <c r="W87" i="6"/>
  <c r="X87" i="6"/>
  <c r="Y87" i="6"/>
  <c r="Z87" i="6"/>
  <c r="S88" i="6"/>
  <c r="T88" i="6"/>
  <c r="U88" i="6"/>
  <c r="V88" i="6"/>
  <c r="W88" i="6"/>
  <c r="X88" i="6"/>
  <c r="Y88" i="6"/>
  <c r="Z88" i="6"/>
  <c r="S89" i="6"/>
  <c r="T89" i="6"/>
  <c r="U89" i="6"/>
  <c r="V89" i="6"/>
  <c r="W89" i="6"/>
  <c r="X89" i="6"/>
  <c r="Y89" i="6"/>
  <c r="Z89" i="6"/>
  <c r="S90" i="6"/>
  <c r="T90" i="6"/>
  <c r="U90" i="6"/>
  <c r="V90" i="6"/>
  <c r="W90" i="6"/>
  <c r="X90" i="6"/>
  <c r="Y90" i="6"/>
  <c r="Z90" i="6"/>
  <c r="S91" i="6"/>
  <c r="T91" i="6"/>
  <c r="U91" i="6"/>
  <c r="V91" i="6"/>
  <c r="W91" i="6"/>
  <c r="X91" i="6"/>
  <c r="Y91" i="6"/>
  <c r="Z91" i="6"/>
  <c r="S92" i="6"/>
  <c r="T92" i="6"/>
  <c r="U92" i="6"/>
  <c r="V92" i="6"/>
  <c r="W92" i="6"/>
  <c r="X92" i="6"/>
  <c r="Y92" i="6"/>
  <c r="Z92" i="6"/>
  <c r="S93" i="6"/>
  <c r="T93" i="6"/>
  <c r="U93" i="6"/>
  <c r="V93" i="6"/>
  <c r="W93" i="6"/>
  <c r="X93" i="6"/>
  <c r="Y93" i="6"/>
  <c r="Z93" i="6"/>
  <c r="S94" i="6"/>
  <c r="T94" i="6"/>
  <c r="U94" i="6"/>
  <c r="V94" i="6"/>
  <c r="W94" i="6"/>
  <c r="X94" i="6"/>
  <c r="Y94" i="6"/>
  <c r="Z94" i="6"/>
  <c r="S95" i="6"/>
  <c r="T95" i="6"/>
  <c r="U95" i="6"/>
  <c r="V95" i="6"/>
  <c r="W95" i="6"/>
  <c r="X95" i="6"/>
  <c r="Y95" i="6"/>
  <c r="Z95" i="6"/>
  <c r="S96" i="6"/>
  <c r="T96" i="6"/>
  <c r="U96" i="6"/>
  <c r="V96" i="6"/>
  <c r="W96" i="6"/>
  <c r="X96" i="6"/>
  <c r="Y96" i="6"/>
  <c r="Z96" i="6"/>
  <c r="S97" i="6"/>
  <c r="T97" i="6"/>
  <c r="U97" i="6"/>
  <c r="V97" i="6"/>
  <c r="W97" i="6"/>
  <c r="X97" i="6"/>
  <c r="Y97" i="6"/>
  <c r="Z97" i="6"/>
  <c r="S98" i="6"/>
  <c r="T98" i="6"/>
  <c r="U98" i="6"/>
  <c r="V98" i="6"/>
  <c r="W98" i="6"/>
  <c r="X98" i="6"/>
  <c r="Y98" i="6"/>
  <c r="Z98" i="6"/>
  <c r="S99" i="6"/>
  <c r="T99" i="6"/>
  <c r="U99" i="6"/>
  <c r="V99" i="6"/>
  <c r="W99" i="6"/>
  <c r="X99" i="6"/>
  <c r="Y99" i="6"/>
  <c r="Z99" i="6"/>
  <c r="S100" i="6"/>
  <c r="T100" i="6"/>
  <c r="U100" i="6"/>
  <c r="V100" i="6"/>
  <c r="W100" i="6"/>
  <c r="X100" i="6"/>
  <c r="Y100" i="6"/>
  <c r="Z100" i="6"/>
  <c r="S101" i="6"/>
  <c r="T101" i="6"/>
  <c r="U101" i="6"/>
  <c r="V101" i="6"/>
  <c r="W101" i="6"/>
  <c r="X101" i="6"/>
  <c r="Y101" i="6"/>
  <c r="Z101" i="6"/>
  <c r="S102" i="6"/>
  <c r="T102" i="6"/>
  <c r="U102" i="6"/>
  <c r="V102" i="6"/>
  <c r="W102" i="6"/>
  <c r="X102" i="6"/>
  <c r="Y102" i="6"/>
  <c r="Z102" i="6"/>
  <c r="S103" i="6"/>
  <c r="T103" i="6"/>
  <c r="U103" i="6"/>
  <c r="V103" i="6"/>
  <c r="W103" i="6"/>
  <c r="X103" i="6"/>
  <c r="Y103" i="6"/>
  <c r="Z103" i="6"/>
  <c r="S104" i="6"/>
  <c r="T104" i="6"/>
  <c r="U104" i="6"/>
  <c r="V104" i="6"/>
  <c r="W104" i="6"/>
  <c r="X104" i="6"/>
  <c r="Y104" i="6"/>
  <c r="Z104" i="6"/>
  <c r="S105" i="6"/>
  <c r="T105" i="6"/>
  <c r="U105" i="6"/>
  <c r="V105" i="6"/>
  <c r="W105" i="6"/>
  <c r="X105" i="6"/>
  <c r="Y105" i="6"/>
  <c r="Z105" i="6"/>
  <c r="S106" i="6"/>
  <c r="T106" i="6"/>
  <c r="U106" i="6"/>
  <c r="V106" i="6"/>
  <c r="W106" i="6"/>
  <c r="X106" i="6"/>
  <c r="Y106" i="6"/>
  <c r="Z106" i="6"/>
  <c r="S107" i="6"/>
  <c r="T107" i="6"/>
  <c r="U107" i="6"/>
  <c r="V107" i="6"/>
  <c r="W107" i="6"/>
  <c r="X107" i="6"/>
  <c r="Y107" i="6"/>
  <c r="Z107" i="6"/>
  <c r="S108" i="6"/>
  <c r="T108" i="6"/>
  <c r="U108" i="6"/>
  <c r="V108" i="6"/>
  <c r="W108" i="6"/>
  <c r="X108" i="6"/>
  <c r="Y108" i="6"/>
  <c r="Z108" i="6"/>
  <c r="S109" i="6"/>
  <c r="T109" i="6"/>
  <c r="U109" i="6"/>
  <c r="V109" i="6"/>
  <c r="W109" i="6"/>
  <c r="X109" i="6"/>
  <c r="Y109" i="6"/>
  <c r="Z109" i="6"/>
  <c r="S110" i="6"/>
  <c r="T110" i="6"/>
  <c r="U110" i="6"/>
  <c r="V110" i="6"/>
  <c r="W110" i="6"/>
  <c r="X110" i="6"/>
  <c r="Y110" i="6"/>
  <c r="Z110" i="6"/>
  <c r="S111" i="6"/>
  <c r="T111" i="6"/>
  <c r="U111" i="6"/>
  <c r="V111" i="6"/>
  <c r="W111" i="6"/>
  <c r="X111" i="6"/>
  <c r="Y111" i="6"/>
  <c r="Z111" i="6"/>
  <c r="S112" i="6"/>
  <c r="T112" i="6"/>
  <c r="U112" i="6"/>
  <c r="V112" i="6"/>
  <c r="W112" i="6"/>
  <c r="X112" i="6"/>
  <c r="Y112" i="6"/>
  <c r="Z112" i="6"/>
  <c r="S113" i="6"/>
  <c r="T113" i="6"/>
  <c r="U113" i="6"/>
  <c r="V113" i="6"/>
  <c r="W113" i="6"/>
  <c r="X113" i="6"/>
  <c r="Y113" i="6"/>
  <c r="Z113" i="6"/>
  <c r="S114" i="6"/>
  <c r="T114" i="6"/>
  <c r="U114" i="6"/>
  <c r="V114" i="6"/>
  <c r="W114" i="6"/>
  <c r="X114" i="6"/>
  <c r="Y114" i="6"/>
  <c r="Z114" i="6"/>
  <c r="S115" i="6"/>
  <c r="T115" i="6"/>
  <c r="U115" i="6"/>
  <c r="V115" i="6"/>
  <c r="W115" i="6"/>
  <c r="X115" i="6"/>
  <c r="Y115" i="6"/>
  <c r="Z115" i="6"/>
  <c r="S116" i="6"/>
  <c r="T116" i="6"/>
  <c r="U116" i="6"/>
  <c r="V116" i="6"/>
  <c r="W116" i="6"/>
  <c r="X116" i="6"/>
  <c r="Y116" i="6"/>
  <c r="Z116" i="6"/>
  <c r="S117" i="6"/>
  <c r="T117" i="6"/>
  <c r="U117" i="6"/>
  <c r="V117" i="6"/>
  <c r="W117" i="6"/>
  <c r="X117" i="6"/>
  <c r="Y117" i="6"/>
  <c r="Z117" i="6"/>
  <c r="S118" i="6"/>
  <c r="T118" i="6"/>
  <c r="U118" i="6"/>
  <c r="V118" i="6"/>
  <c r="W118" i="6"/>
  <c r="X118" i="6"/>
  <c r="Y118" i="6"/>
  <c r="Z118" i="6"/>
  <c r="S119" i="6"/>
  <c r="T119" i="6"/>
  <c r="U119" i="6"/>
  <c r="V119" i="6"/>
  <c r="W119" i="6"/>
  <c r="X119" i="6"/>
  <c r="Y119" i="6"/>
  <c r="Z119" i="6"/>
  <c r="S120" i="6"/>
  <c r="T120" i="6"/>
  <c r="U120" i="6"/>
  <c r="V120" i="6"/>
  <c r="W120" i="6"/>
  <c r="X120" i="6"/>
  <c r="Y120" i="6"/>
  <c r="Z120" i="6"/>
  <c r="S121" i="6"/>
  <c r="T121" i="6"/>
  <c r="U121" i="6"/>
  <c r="V121" i="6"/>
  <c r="W121" i="6"/>
  <c r="X121" i="6"/>
  <c r="Y121" i="6"/>
  <c r="Z121" i="6"/>
  <c r="S122" i="6"/>
  <c r="T122" i="6"/>
  <c r="U122" i="6"/>
  <c r="V122" i="6"/>
  <c r="W122" i="6"/>
  <c r="X122" i="6"/>
  <c r="Y122" i="6"/>
  <c r="Z122" i="6"/>
  <c r="S123" i="6"/>
  <c r="T123" i="6"/>
  <c r="U123" i="6"/>
  <c r="V123" i="6"/>
  <c r="W123" i="6"/>
  <c r="X123" i="6"/>
  <c r="Y123" i="6"/>
  <c r="Z123" i="6"/>
  <c r="S124" i="6"/>
  <c r="T124" i="6"/>
  <c r="U124" i="6"/>
  <c r="V124" i="6"/>
  <c r="W124" i="6"/>
  <c r="X124" i="6"/>
  <c r="Y124" i="6"/>
  <c r="Z124" i="6"/>
  <c r="S125" i="6"/>
  <c r="T125" i="6"/>
  <c r="U125" i="6"/>
  <c r="V125" i="6"/>
  <c r="W125" i="6"/>
  <c r="X125" i="6"/>
  <c r="Y125" i="6"/>
  <c r="Z125" i="6"/>
  <c r="S126" i="6"/>
  <c r="T126" i="6"/>
  <c r="U126" i="6"/>
  <c r="V126" i="6"/>
  <c r="W126" i="6"/>
  <c r="X126" i="6"/>
  <c r="Y126" i="6"/>
  <c r="Z126" i="6"/>
  <c r="S127" i="6"/>
  <c r="T127" i="6"/>
  <c r="U127" i="6"/>
  <c r="V127" i="6"/>
  <c r="W127" i="6"/>
  <c r="X127" i="6"/>
  <c r="Y127" i="6"/>
  <c r="Z127" i="6"/>
  <c r="S128" i="6"/>
  <c r="T128" i="6"/>
  <c r="U128" i="6"/>
  <c r="V128" i="6"/>
  <c r="W128" i="6"/>
  <c r="X128" i="6"/>
  <c r="Y128" i="6"/>
  <c r="Z128" i="6"/>
  <c r="S129" i="6"/>
  <c r="T129" i="6"/>
  <c r="U129" i="6"/>
  <c r="V129" i="6"/>
  <c r="W129" i="6"/>
  <c r="X129" i="6"/>
  <c r="Y129" i="6"/>
  <c r="Z129" i="6"/>
  <c r="S130" i="6"/>
  <c r="T130" i="6"/>
  <c r="U130" i="6"/>
  <c r="V130" i="6"/>
  <c r="W130" i="6"/>
  <c r="X130" i="6"/>
  <c r="Y130" i="6"/>
  <c r="Z130" i="6"/>
  <c r="S131" i="6"/>
  <c r="T131" i="6"/>
  <c r="U131" i="6"/>
  <c r="V131" i="6"/>
  <c r="W131" i="6"/>
  <c r="X131" i="6"/>
  <c r="Y131" i="6"/>
  <c r="Z131" i="6"/>
  <c r="S132" i="6"/>
  <c r="T132" i="6"/>
  <c r="U132" i="6"/>
  <c r="V132" i="6"/>
  <c r="W132" i="6"/>
  <c r="X132" i="6"/>
  <c r="Y132" i="6"/>
  <c r="Z132" i="6"/>
  <c r="S133" i="6"/>
  <c r="T133" i="6"/>
  <c r="U133" i="6"/>
  <c r="V133" i="6"/>
  <c r="W133" i="6"/>
  <c r="X133" i="6"/>
  <c r="Y133" i="6"/>
  <c r="Z133" i="6"/>
  <c r="S134" i="6"/>
  <c r="T134" i="6"/>
  <c r="U134" i="6"/>
  <c r="V134" i="6"/>
  <c r="W134" i="6"/>
  <c r="X134" i="6"/>
  <c r="Y134" i="6"/>
  <c r="Z134" i="6"/>
  <c r="S135" i="6"/>
  <c r="T135" i="6"/>
  <c r="U135" i="6"/>
  <c r="V135" i="6"/>
  <c r="W135" i="6"/>
  <c r="X135" i="6"/>
  <c r="Y135" i="6"/>
  <c r="Z135" i="6"/>
  <c r="S136" i="6"/>
  <c r="T136" i="6"/>
  <c r="U136" i="6"/>
  <c r="V136" i="6"/>
  <c r="W136" i="6"/>
  <c r="X136" i="6"/>
  <c r="Y136" i="6"/>
  <c r="Z136" i="6"/>
  <c r="S137" i="6"/>
  <c r="T137" i="6"/>
  <c r="U137" i="6"/>
  <c r="V137" i="6"/>
  <c r="W137" i="6"/>
  <c r="X137" i="6"/>
  <c r="Y137" i="6"/>
  <c r="Z137" i="6"/>
  <c r="S138" i="6"/>
  <c r="T138" i="6"/>
  <c r="U138" i="6"/>
  <c r="V138" i="6"/>
  <c r="W138" i="6"/>
  <c r="X138" i="6"/>
  <c r="Y138" i="6"/>
  <c r="Z138" i="6"/>
  <c r="S139" i="6"/>
  <c r="T139" i="6"/>
  <c r="U139" i="6"/>
  <c r="V139" i="6"/>
  <c r="W139" i="6"/>
  <c r="X139" i="6"/>
  <c r="Y139" i="6"/>
  <c r="Z139" i="6"/>
  <c r="S140" i="6"/>
  <c r="T140" i="6"/>
  <c r="U140" i="6"/>
  <c r="V140" i="6"/>
  <c r="W140" i="6"/>
  <c r="X140" i="6"/>
  <c r="Y140" i="6"/>
  <c r="Z140" i="6"/>
  <c r="S141" i="6"/>
  <c r="T141" i="6"/>
  <c r="U141" i="6"/>
  <c r="V141" i="6"/>
  <c r="W141" i="6"/>
  <c r="X141" i="6"/>
  <c r="Y141" i="6"/>
  <c r="Z141" i="6"/>
  <c r="S142" i="6"/>
  <c r="T142" i="6"/>
  <c r="U142" i="6"/>
  <c r="V142" i="6"/>
  <c r="W142" i="6"/>
  <c r="X142" i="6"/>
  <c r="Y142" i="6"/>
  <c r="Z142" i="6"/>
  <c r="S143" i="6"/>
  <c r="T143" i="6"/>
  <c r="U143" i="6"/>
  <c r="V143" i="6"/>
  <c r="W143" i="6"/>
  <c r="X143" i="6"/>
  <c r="Y143" i="6"/>
  <c r="Z143" i="6"/>
  <c r="S144" i="6"/>
  <c r="T144" i="6"/>
  <c r="U144" i="6"/>
  <c r="V144" i="6"/>
  <c r="W144" i="6"/>
  <c r="X144" i="6"/>
  <c r="Y144" i="6"/>
  <c r="Z144" i="6"/>
  <c r="S145" i="6"/>
  <c r="T145" i="6"/>
  <c r="U145" i="6"/>
  <c r="V145" i="6"/>
  <c r="W145" i="6"/>
  <c r="X145" i="6"/>
  <c r="Y145" i="6"/>
  <c r="Z145" i="6"/>
  <c r="S146" i="6"/>
  <c r="T146" i="6"/>
  <c r="U146" i="6"/>
  <c r="V146" i="6"/>
  <c r="W146" i="6"/>
  <c r="X146" i="6"/>
  <c r="Y146" i="6"/>
  <c r="Z146" i="6"/>
  <c r="S147" i="6"/>
  <c r="T147" i="6"/>
  <c r="U147" i="6"/>
  <c r="V147" i="6"/>
  <c r="W147" i="6"/>
  <c r="X147" i="6"/>
  <c r="Y147" i="6"/>
  <c r="Z147" i="6"/>
  <c r="S148" i="6"/>
  <c r="T148" i="6"/>
  <c r="U148" i="6"/>
  <c r="V148" i="6"/>
  <c r="W148" i="6"/>
  <c r="X148" i="6"/>
  <c r="Y148" i="6"/>
  <c r="Z148" i="6"/>
  <c r="S149" i="6"/>
  <c r="T149" i="6"/>
  <c r="U149" i="6"/>
  <c r="V149" i="6"/>
  <c r="W149" i="6"/>
  <c r="X149" i="6"/>
  <c r="Y149" i="6"/>
  <c r="Z149" i="6"/>
  <c r="S150" i="6"/>
  <c r="T150" i="6"/>
  <c r="U150" i="6"/>
  <c r="V150" i="6"/>
  <c r="W150" i="6"/>
  <c r="X150" i="6"/>
  <c r="Y150" i="6"/>
  <c r="Z150" i="6"/>
  <c r="S151" i="6"/>
  <c r="T151" i="6"/>
  <c r="U151" i="6"/>
  <c r="V151" i="6"/>
  <c r="W151" i="6"/>
  <c r="X151" i="6"/>
  <c r="Y151" i="6"/>
  <c r="Z151" i="6"/>
  <c r="S152" i="6"/>
  <c r="T152" i="6"/>
  <c r="U152" i="6"/>
  <c r="V152" i="6"/>
  <c r="W152" i="6"/>
  <c r="X152" i="6"/>
  <c r="Y152" i="6"/>
  <c r="Z152" i="6"/>
  <c r="S153" i="6"/>
  <c r="T153" i="6"/>
  <c r="U153" i="6"/>
  <c r="V153" i="6"/>
  <c r="W153" i="6"/>
  <c r="X153" i="6"/>
  <c r="Y153" i="6"/>
  <c r="Z153" i="6"/>
  <c r="S154" i="6"/>
  <c r="T154" i="6"/>
  <c r="U154" i="6"/>
  <c r="V154" i="6"/>
  <c r="W154" i="6"/>
  <c r="X154" i="6"/>
  <c r="Y154" i="6"/>
  <c r="Z154" i="6"/>
  <c r="S155" i="6"/>
  <c r="T155" i="6"/>
  <c r="U155" i="6"/>
  <c r="V155" i="6"/>
  <c r="W155" i="6"/>
  <c r="X155" i="6"/>
  <c r="Y155" i="6"/>
  <c r="Z155" i="6"/>
  <c r="S156" i="6"/>
  <c r="T156" i="6"/>
  <c r="U156" i="6"/>
  <c r="V156" i="6"/>
  <c r="W156" i="6"/>
  <c r="X156" i="6"/>
  <c r="Y156" i="6"/>
  <c r="Z156" i="6"/>
  <c r="S157" i="6"/>
  <c r="T157" i="6"/>
  <c r="U157" i="6"/>
  <c r="V157" i="6"/>
  <c r="W157" i="6"/>
  <c r="X157" i="6"/>
  <c r="Y157" i="6"/>
  <c r="Z157" i="6"/>
  <c r="S158" i="6"/>
  <c r="T158" i="6"/>
  <c r="U158" i="6"/>
  <c r="V158" i="6"/>
  <c r="W158" i="6"/>
  <c r="X158" i="6"/>
  <c r="Y158" i="6"/>
  <c r="Z158" i="6"/>
  <c r="S159" i="6"/>
  <c r="T159" i="6"/>
  <c r="U159" i="6"/>
  <c r="V159" i="6"/>
  <c r="W159" i="6"/>
  <c r="X159" i="6"/>
  <c r="Y159" i="6"/>
  <c r="Z159" i="6"/>
  <c r="S160" i="6"/>
  <c r="T160" i="6"/>
  <c r="U160" i="6"/>
  <c r="V160" i="6"/>
  <c r="W160" i="6"/>
  <c r="X160" i="6"/>
  <c r="Y160" i="6"/>
  <c r="Z160" i="6"/>
  <c r="S161" i="6"/>
  <c r="T161" i="6"/>
  <c r="U161" i="6"/>
  <c r="V161" i="6"/>
  <c r="W161" i="6"/>
  <c r="X161" i="6"/>
  <c r="Y161" i="6"/>
  <c r="Z161" i="6"/>
  <c r="S162" i="6"/>
  <c r="T162" i="6"/>
  <c r="U162" i="6"/>
  <c r="V162" i="6"/>
  <c r="W162" i="6"/>
  <c r="X162" i="6"/>
  <c r="Y162" i="6"/>
  <c r="Z162" i="6"/>
  <c r="S163" i="6"/>
  <c r="T163" i="6"/>
  <c r="U163" i="6"/>
  <c r="V163" i="6"/>
  <c r="W163" i="6"/>
  <c r="X163" i="6"/>
  <c r="Y163" i="6"/>
  <c r="Z163" i="6"/>
  <c r="S164" i="6"/>
  <c r="T164" i="6"/>
  <c r="U164" i="6"/>
  <c r="V164" i="6"/>
  <c r="W164" i="6"/>
  <c r="X164" i="6"/>
  <c r="Y164" i="6"/>
  <c r="Z164" i="6"/>
  <c r="S165" i="6"/>
  <c r="T165" i="6"/>
  <c r="U165" i="6"/>
  <c r="V165" i="6"/>
  <c r="W165" i="6"/>
  <c r="X165" i="6"/>
  <c r="Y165" i="6"/>
  <c r="Z165" i="6"/>
  <c r="S166" i="6"/>
  <c r="T166" i="6"/>
  <c r="U166" i="6"/>
  <c r="V166" i="6"/>
  <c r="W166" i="6"/>
  <c r="X166" i="6"/>
  <c r="Y166" i="6"/>
  <c r="Z166" i="6"/>
  <c r="S167" i="6"/>
  <c r="T167" i="6"/>
  <c r="U167" i="6"/>
  <c r="V167" i="6"/>
  <c r="W167" i="6"/>
  <c r="X167" i="6"/>
  <c r="Y167" i="6"/>
  <c r="Z167" i="6"/>
  <c r="S168" i="6"/>
  <c r="T168" i="6"/>
  <c r="U168" i="6"/>
  <c r="V168" i="6"/>
  <c r="W168" i="6"/>
  <c r="X168" i="6"/>
  <c r="Y168" i="6"/>
  <c r="Z168" i="6"/>
  <c r="S169" i="6"/>
  <c r="T169" i="6"/>
  <c r="U169" i="6"/>
  <c r="V169" i="6"/>
  <c r="W169" i="6"/>
  <c r="X169" i="6"/>
  <c r="Y169" i="6"/>
  <c r="Z169" i="6"/>
  <c r="S170" i="6"/>
  <c r="T170" i="6"/>
  <c r="U170" i="6"/>
  <c r="V170" i="6"/>
  <c r="W170" i="6"/>
  <c r="X170" i="6"/>
  <c r="Y170" i="6"/>
  <c r="Z170" i="6"/>
  <c r="S171" i="6"/>
  <c r="T171" i="6"/>
  <c r="U171" i="6"/>
  <c r="V171" i="6"/>
  <c r="W171" i="6"/>
  <c r="X171" i="6"/>
  <c r="Y171" i="6"/>
  <c r="Z171" i="6"/>
  <c r="S172" i="6"/>
  <c r="T172" i="6"/>
  <c r="U172" i="6"/>
  <c r="V172" i="6"/>
  <c r="W172" i="6"/>
  <c r="X172" i="6"/>
  <c r="Y172" i="6"/>
  <c r="Z172" i="6"/>
  <c r="S173" i="6"/>
  <c r="T173" i="6"/>
  <c r="U173" i="6"/>
  <c r="V173" i="6"/>
  <c r="W173" i="6"/>
  <c r="X173" i="6"/>
  <c r="Y173" i="6"/>
  <c r="Z173" i="6"/>
  <c r="S174" i="6"/>
  <c r="T174" i="6"/>
  <c r="U174" i="6"/>
  <c r="V174" i="6"/>
  <c r="W174" i="6"/>
  <c r="X174" i="6"/>
  <c r="Y174" i="6"/>
  <c r="Z174" i="6"/>
  <c r="S175" i="6"/>
  <c r="T175" i="6"/>
  <c r="U175" i="6"/>
  <c r="V175" i="6"/>
  <c r="W175" i="6"/>
  <c r="X175" i="6"/>
  <c r="Y175" i="6"/>
  <c r="Z175" i="6"/>
  <c r="S176" i="6"/>
  <c r="T176" i="6"/>
  <c r="U176" i="6"/>
  <c r="V176" i="6"/>
  <c r="W176" i="6"/>
  <c r="X176" i="6"/>
  <c r="Y176" i="6"/>
  <c r="Z176" i="6"/>
  <c r="S177" i="6"/>
  <c r="T177" i="6"/>
  <c r="U177" i="6"/>
  <c r="V177" i="6"/>
  <c r="W177" i="6"/>
  <c r="X177" i="6"/>
  <c r="Y177" i="6"/>
  <c r="Z177" i="6"/>
  <c r="S178" i="6"/>
  <c r="T178" i="6"/>
  <c r="U178" i="6"/>
  <c r="V178" i="6"/>
  <c r="W178" i="6"/>
  <c r="X178" i="6"/>
  <c r="Y178" i="6"/>
  <c r="Z178" i="6"/>
  <c r="S179" i="6"/>
  <c r="T179" i="6"/>
  <c r="U179" i="6"/>
  <c r="V179" i="6"/>
  <c r="W179" i="6"/>
  <c r="X179" i="6"/>
  <c r="Y179" i="6"/>
  <c r="Z179" i="6"/>
  <c r="S180" i="6"/>
  <c r="T180" i="6"/>
  <c r="U180" i="6"/>
  <c r="V180" i="6"/>
  <c r="W180" i="6"/>
  <c r="X180" i="6"/>
  <c r="Y180" i="6"/>
  <c r="Z180" i="6"/>
  <c r="S181" i="6"/>
  <c r="T181" i="6"/>
  <c r="U181" i="6"/>
  <c r="V181" i="6"/>
  <c r="W181" i="6"/>
  <c r="X181" i="6"/>
  <c r="Y181" i="6"/>
  <c r="Z181" i="6"/>
  <c r="S182" i="6"/>
  <c r="T182" i="6"/>
  <c r="U182" i="6"/>
  <c r="V182" i="6"/>
  <c r="W182" i="6"/>
  <c r="X182" i="6"/>
  <c r="Y182" i="6"/>
  <c r="Z182" i="6"/>
  <c r="S183" i="6"/>
  <c r="T183" i="6"/>
  <c r="U183" i="6"/>
  <c r="V183" i="6"/>
  <c r="W183" i="6"/>
  <c r="X183" i="6"/>
  <c r="Y183" i="6"/>
  <c r="Z183" i="6"/>
  <c r="S184" i="6"/>
  <c r="T184" i="6"/>
  <c r="U184" i="6"/>
  <c r="V184" i="6"/>
  <c r="W184" i="6"/>
  <c r="X184" i="6"/>
  <c r="Y184" i="6"/>
  <c r="Z184" i="6"/>
  <c r="S185" i="6"/>
  <c r="T185" i="6"/>
  <c r="U185" i="6"/>
  <c r="V185" i="6"/>
  <c r="W185" i="6"/>
  <c r="X185" i="6"/>
  <c r="Y185" i="6"/>
  <c r="Z185" i="6"/>
  <c r="S186" i="6"/>
  <c r="T186" i="6"/>
  <c r="U186" i="6"/>
  <c r="V186" i="6"/>
  <c r="W186" i="6"/>
  <c r="X186" i="6"/>
  <c r="Y186" i="6"/>
  <c r="Z186" i="6"/>
  <c r="S187" i="6"/>
  <c r="T187" i="6"/>
  <c r="U187" i="6"/>
  <c r="V187" i="6"/>
  <c r="W187" i="6"/>
  <c r="X187" i="6"/>
  <c r="Y187" i="6"/>
  <c r="Z187" i="6"/>
  <c r="S188" i="6"/>
  <c r="T188" i="6"/>
  <c r="U188" i="6"/>
  <c r="V188" i="6"/>
  <c r="W188" i="6"/>
  <c r="X188" i="6"/>
  <c r="Y188" i="6"/>
  <c r="Z188" i="6"/>
  <c r="S189" i="6"/>
  <c r="T189" i="6"/>
  <c r="U189" i="6"/>
  <c r="V189" i="6"/>
  <c r="W189" i="6"/>
  <c r="X189" i="6"/>
  <c r="Y189" i="6"/>
  <c r="Z189" i="6"/>
  <c r="S190" i="6"/>
  <c r="T190" i="6"/>
  <c r="U190" i="6"/>
  <c r="V190" i="6"/>
  <c r="W190" i="6"/>
  <c r="X190" i="6"/>
  <c r="Y190" i="6"/>
  <c r="Z190" i="6"/>
  <c r="S191" i="6"/>
  <c r="T191" i="6"/>
  <c r="U191" i="6"/>
  <c r="V191" i="6"/>
  <c r="W191" i="6"/>
  <c r="X191" i="6"/>
  <c r="Y191" i="6"/>
  <c r="Z191" i="6"/>
  <c r="S192" i="6"/>
  <c r="T192" i="6"/>
  <c r="U192" i="6"/>
  <c r="V192" i="6"/>
  <c r="W192" i="6"/>
  <c r="X192" i="6"/>
  <c r="Y192" i="6"/>
  <c r="Z192" i="6"/>
  <c r="S193" i="6"/>
  <c r="T193" i="6"/>
  <c r="U193" i="6"/>
  <c r="V193" i="6"/>
  <c r="W193" i="6"/>
  <c r="X193" i="6"/>
  <c r="Y193" i="6"/>
  <c r="Z193" i="6"/>
  <c r="S194" i="6"/>
  <c r="T194" i="6"/>
  <c r="U194" i="6"/>
  <c r="V194" i="6"/>
  <c r="W194" i="6"/>
  <c r="X194" i="6"/>
  <c r="Y194" i="6"/>
  <c r="Z194" i="6"/>
  <c r="S195" i="6"/>
  <c r="T195" i="6"/>
  <c r="U195" i="6"/>
  <c r="V195" i="6"/>
  <c r="W195" i="6"/>
  <c r="X195" i="6"/>
  <c r="Y195" i="6"/>
  <c r="Z195" i="6"/>
  <c r="S196" i="6"/>
  <c r="T196" i="6"/>
  <c r="U196" i="6"/>
  <c r="V196" i="6"/>
  <c r="W196" i="6"/>
  <c r="X196" i="6"/>
  <c r="Y196" i="6"/>
  <c r="Z196" i="6"/>
  <c r="S197" i="6"/>
  <c r="T197" i="6"/>
  <c r="U197" i="6"/>
  <c r="V197" i="6"/>
  <c r="W197" i="6"/>
  <c r="X197" i="6"/>
  <c r="Y197" i="6"/>
  <c r="Z197" i="6"/>
  <c r="S198" i="6"/>
  <c r="T198" i="6"/>
  <c r="U198" i="6"/>
  <c r="V198" i="6"/>
  <c r="W198" i="6"/>
  <c r="X198" i="6"/>
  <c r="Y198" i="6"/>
  <c r="Z198" i="6"/>
  <c r="S199" i="6"/>
  <c r="T199" i="6"/>
  <c r="U199" i="6"/>
  <c r="V199" i="6"/>
  <c r="W199" i="6"/>
  <c r="X199" i="6"/>
  <c r="Y199" i="6"/>
  <c r="Z199" i="6"/>
  <c r="S200" i="6"/>
  <c r="T200" i="6"/>
  <c r="U200" i="6"/>
  <c r="V200" i="6"/>
  <c r="W200" i="6"/>
  <c r="X200" i="6"/>
  <c r="Y200" i="6"/>
  <c r="Z200" i="6"/>
  <c r="S201" i="6"/>
  <c r="T201" i="6"/>
  <c r="U201" i="6"/>
  <c r="V201" i="6"/>
  <c r="W201" i="6"/>
  <c r="X201" i="6"/>
  <c r="Y201" i="6"/>
  <c r="Z201" i="6"/>
  <c r="S202" i="6"/>
  <c r="T202" i="6"/>
  <c r="U202" i="6"/>
  <c r="V202" i="6"/>
  <c r="W202" i="6"/>
  <c r="X202" i="6"/>
  <c r="Y202" i="6"/>
  <c r="Z202" i="6"/>
  <c r="S203" i="6"/>
  <c r="T203" i="6"/>
  <c r="U203" i="6"/>
  <c r="V203" i="6"/>
  <c r="W203" i="6"/>
  <c r="X203" i="6"/>
  <c r="Y203" i="6"/>
  <c r="Z203" i="6"/>
  <c r="S204" i="6"/>
  <c r="T204" i="6"/>
  <c r="U204" i="6"/>
  <c r="V204" i="6"/>
  <c r="W204" i="6"/>
  <c r="X204" i="6"/>
  <c r="Y204" i="6"/>
  <c r="Z204" i="6"/>
  <c r="S205" i="6"/>
  <c r="T205" i="6"/>
  <c r="U205" i="6"/>
  <c r="V205" i="6"/>
  <c r="W205" i="6"/>
  <c r="X205" i="6"/>
  <c r="Y205" i="6"/>
  <c r="Z205" i="6"/>
  <c r="S206" i="6"/>
  <c r="T206" i="6"/>
  <c r="U206" i="6"/>
  <c r="V206" i="6"/>
  <c r="W206" i="6"/>
  <c r="X206" i="6"/>
  <c r="Y206" i="6"/>
  <c r="Z206" i="6"/>
  <c r="S207" i="6"/>
  <c r="T207" i="6"/>
  <c r="U207" i="6"/>
  <c r="V207" i="6"/>
  <c r="W207" i="6"/>
  <c r="X207" i="6"/>
  <c r="Y207" i="6"/>
  <c r="Z207" i="6"/>
  <c r="S208" i="6"/>
  <c r="T208" i="6"/>
  <c r="U208" i="6"/>
  <c r="V208" i="6"/>
  <c r="W208" i="6"/>
  <c r="X208" i="6"/>
  <c r="Y208" i="6"/>
  <c r="Z208" i="6"/>
  <c r="S209" i="6"/>
  <c r="T209" i="6"/>
  <c r="U209" i="6"/>
  <c r="V209" i="6"/>
  <c r="W209" i="6"/>
  <c r="X209" i="6"/>
  <c r="Y209" i="6"/>
  <c r="Z209" i="6"/>
  <c r="S210" i="6"/>
  <c r="T210" i="6"/>
  <c r="U210" i="6"/>
  <c r="V210" i="6"/>
  <c r="W210" i="6"/>
  <c r="X210" i="6"/>
  <c r="Y210" i="6"/>
  <c r="Z210" i="6"/>
  <c r="S211" i="6"/>
  <c r="T211" i="6"/>
  <c r="U211" i="6"/>
  <c r="V211" i="6"/>
  <c r="W211" i="6"/>
  <c r="X211" i="6"/>
  <c r="Y211" i="6"/>
  <c r="Z211" i="6"/>
  <c r="S212" i="6"/>
  <c r="T212" i="6"/>
  <c r="U212" i="6"/>
  <c r="V212" i="6"/>
  <c r="W212" i="6"/>
  <c r="X212" i="6"/>
  <c r="Y212" i="6"/>
  <c r="Z212" i="6"/>
  <c r="S213" i="6"/>
  <c r="T213" i="6"/>
  <c r="U213" i="6"/>
  <c r="V213" i="6"/>
  <c r="W213" i="6"/>
  <c r="X213" i="6"/>
  <c r="Y213" i="6"/>
  <c r="Z213" i="6"/>
  <c r="S214" i="6"/>
  <c r="T214" i="6"/>
  <c r="U214" i="6"/>
  <c r="V214" i="6"/>
  <c r="W214" i="6"/>
  <c r="X214" i="6"/>
  <c r="Y214" i="6"/>
  <c r="Z214" i="6"/>
  <c r="S215" i="6"/>
  <c r="T215" i="6"/>
  <c r="U215" i="6"/>
  <c r="V215" i="6"/>
  <c r="W215" i="6"/>
  <c r="X215" i="6"/>
  <c r="Y215" i="6"/>
  <c r="Z215" i="6"/>
  <c r="S216" i="6"/>
  <c r="T216" i="6"/>
  <c r="U216" i="6"/>
  <c r="V216" i="6"/>
  <c r="W216" i="6"/>
  <c r="X216" i="6"/>
  <c r="Y216" i="6"/>
  <c r="Z216" i="6"/>
  <c r="S217" i="6"/>
  <c r="T217" i="6"/>
  <c r="U217" i="6"/>
  <c r="V217" i="6"/>
  <c r="W217" i="6"/>
  <c r="X217" i="6"/>
  <c r="Y217" i="6"/>
  <c r="Z217" i="6"/>
  <c r="S218" i="6"/>
  <c r="T218" i="6"/>
  <c r="U218" i="6"/>
  <c r="V218" i="6"/>
  <c r="W218" i="6"/>
  <c r="X218" i="6"/>
  <c r="Y218" i="6"/>
  <c r="Z218" i="6"/>
  <c r="S219" i="6"/>
  <c r="T219" i="6"/>
  <c r="U219" i="6"/>
  <c r="V219" i="6"/>
  <c r="W219" i="6"/>
  <c r="X219" i="6"/>
  <c r="Y219" i="6"/>
  <c r="Z219" i="6"/>
  <c r="S220" i="6"/>
  <c r="T220" i="6"/>
  <c r="U220" i="6"/>
  <c r="V220" i="6"/>
  <c r="W220" i="6"/>
  <c r="X220" i="6"/>
  <c r="Y220" i="6"/>
  <c r="Z220" i="6"/>
  <c r="S221" i="6"/>
  <c r="T221" i="6"/>
  <c r="U221" i="6"/>
  <c r="V221" i="6"/>
  <c r="W221" i="6"/>
  <c r="X221" i="6"/>
  <c r="Y221" i="6"/>
  <c r="Z221" i="6"/>
  <c r="S222" i="6"/>
  <c r="T222" i="6"/>
  <c r="U222" i="6"/>
  <c r="V222" i="6"/>
  <c r="W222" i="6"/>
  <c r="X222" i="6"/>
  <c r="Y222" i="6"/>
  <c r="Z222" i="6"/>
  <c r="S223" i="6"/>
  <c r="T223" i="6"/>
  <c r="U223" i="6"/>
  <c r="V223" i="6"/>
  <c r="W223" i="6"/>
  <c r="X223" i="6"/>
  <c r="Y223" i="6"/>
  <c r="Z223" i="6"/>
  <c r="S224" i="6"/>
  <c r="T224" i="6"/>
  <c r="U224" i="6"/>
  <c r="V224" i="6"/>
  <c r="W224" i="6"/>
  <c r="X224" i="6"/>
  <c r="Y224" i="6"/>
  <c r="Z224" i="6"/>
  <c r="S225" i="6"/>
  <c r="T225" i="6"/>
  <c r="U225" i="6"/>
  <c r="V225" i="6"/>
  <c r="W225" i="6"/>
  <c r="X225" i="6"/>
  <c r="Y225" i="6"/>
  <c r="Z225" i="6"/>
  <c r="S226" i="6"/>
  <c r="T226" i="6"/>
  <c r="U226" i="6"/>
  <c r="V226" i="6"/>
  <c r="W226" i="6"/>
  <c r="X226" i="6"/>
  <c r="Y226" i="6"/>
  <c r="Z226" i="6"/>
  <c r="S227" i="6"/>
  <c r="T227" i="6"/>
  <c r="U227" i="6"/>
  <c r="V227" i="6"/>
  <c r="W227" i="6"/>
  <c r="X227" i="6"/>
  <c r="Y227" i="6"/>
  <c r="Z227" i="6"/>
  <c r="S228" i="6"/>
  <c r="T228" i="6"/>
  <c r="U228" i="6"/>
  <c r="V228" i="6"/>
  <c r="W228" i="6"/>
  <c r="X228" i="6"/>
  <c r="Y228" i="6"/>
  <c r="Z228" i="6"/>
  <c r="S229" i="6"/>
  <c r="T229" i="6"/>
  <c r="U229" i="6"/>
  <c r="V229" i="6"/>
  <c r="W229" i="6"/>
  <c r="X229" i="6"/>
  <c r="Y229" i="6"/>
  <c r="Z229" i="6"/>
  <c r="S230" i="6"/>
  <c r="T230" i="6"/>
  <c r="U230" i="6"/>
  <c r="V230" i="6"/>
  <c r="W230" i="6"/>
  <c r="X230" i="6"/>
  <c r="Y230" i="6"/>
  <c r="Z230" i="6"/>
  <c r="S231" i="6"/>
  <c r="T231" i="6"/>
  <c r="U231" i="6"/>
  <c r="V231" i="6"/>
  <c r="W231" i="6"/>
  <c r="X231" i="6"/>
  <c r="Y231" i="6"/>
  <c r="Z231" i="6"/>
  <c r="S232" i="6"/>
  <c r="T232" i="6"/>
  <c r="U232" i="6"/>
  <c r="V232" i="6"/>
  <c r="W232" i="6"/>
  <c r="X232" i="6"/>
  <c r="Y232" i="6"/>
  <c r="Z232" i="6"/>
  <c r="S233" i="6"/>
  <c r="T233" i="6"/>
  <c r="U233" i="6"/>
  <c r="V233" i="6"/>
  <c r="W233" i="6"/>
  <c r="X233" i="6"/>
  <c r="Y233" i="6"/>
  <c r="Z233" i="6"/>
  <c r="S234" i="6"/>
  <c r="T234" i="6"/>
  <c r="U234" i="6"/>
  <c r="V234" i="6"/>
  <c r="W234" i="6"/>
  <c r="X234" i="6"/>
  <c r="Y234" i="6"/>
  <c r="Z234" i="6"/>
  <c r="S235" i="6"/>
  <c r="T235" i="6"/>
  <c r="U235" i="6"/>
  <c r="V235" i="6"/>
  <c r="W235" i="6"/>
  <c r="X235" i="6"/>
  <c r="Y235" i="6"/>
  <c r="Z235" i="6"/>
  <c r="S236" i="6"/>
  <c r="T236" i="6"/>
  <c r="U236" i="6"/>
  <c r="V236" i="6"/>
  <c r="W236" i="6"/>
  <c r="X236" i="6"/>
  <c r="Y236" i="6"/>
  <c r="Z236" i="6"/>
  <c r="S237" i="6"/>
  <c r="T237" i="6"/>
  <c r="U237" i="6"/>
  <c r="V237" i="6"/>
  <c r="W237" i="6"/>
  <c r="X237" i="6"/>
  <c r="Y237" i="6"/>
  <c r="Z237" i="6"/>
  <c r="S238" i="6"/>
  <c r="T238" i="6"/>
  <c r="U238" i="6"/>
  <c r="V238" i="6"/>
  <c r="W238" i="6"/>
  <c r="X238" i="6"/>
  <c r="Y238" i="6"/>
  <c r="Z238" i="6"/>
  <c r="S239" i="6"/>
  <c r="T239" i="6"/>
  <c r="U239" i="6"/>
  <c r="V239" i="6"/>
  <c r="W239" i="6"/>
  <c r="X239" i="6"/>
  <c r="Y239" i="6"/>
  <c r="Z239" i="6"/>
  <c r="S240" i="6"/>
  <c r="T240" i="6"/>
  <c r="U240" i="6"/>
  <c r="V240" i="6"/>
  <c r="W240" i="6"/>
  <c r="X240" i="6"/>
  <c r="Y240" i="6"/>
  <c r="Z240" i="6"/>
  <c r="S241" i="6"/>
  <c r="T241" i="6"/>
  <c r="U241" i="6"/>
  <c r="V241" i="6"/>
  <c r="W241" i="6"/>
  <c r="X241" i="6"/>
  <c r="Y241" i="6"/>
  <c r="Z241" i="6"/>
  <c r="S242" i="6"/>
  <c r="T242" i="6"/>
  <c r="U242" i="6"/>
  <c r="V242" i="6"/>
  <c r="W242" i="6"/>
  <c r="X242" i="6"/>
  <c r="Y242" i="6"/>
  <c r="Z242" i="6"/>
  <c r="S243" i="6"/>
  <c r="T243" i="6"/>
  <c r="U243" i="6"/>
  <c r="V243" i="6"/>
  <c r="W243" i="6"/>
  <c r="X243" i="6"/>
  <c r="Y243" i="6"/>
  <c r="Z243" i="6"/>
  <c r="S244" i="6"/>
  <c r="T244" i="6"/>
  <c r="U244" i="6"/>
  <c r="V244" i="6"/>
  <c r="W244" i="6"/>
  <c r="X244" i="6"/>
  <c r="Y244" i="6"/>
  <c r="Z244" i="6"/>
  <c r="S245" i="6"/>
  <c r="T245" i="6"/>
  <c r="U245" i="6"/>
  <c r="V245" i="6"/>
  <c r="W245" i="6"/>
  <c r="X245" i="6"/>
  <c r="Y245" i="6"/>
  <c r="Z245" i="6"/>
  <c r="S246" i="6"/>
  <c r="T246" i="6"/>
  <c r="U246" i="6"/>
  <c r="V246" i="6"/>
  <c r="W246" i="6"/>
  <c r="X246" i="6"/>
  <c r="Y246" i="6"/>
  <c r="Z246" i="6"/>
  <c r="S247" i="6"/>
  <c r="T247" i="6"/>
  <c r="U247" i="6"/>
  <c r="V247" i="6"/>
  <c r="W247" i="6"/>
  <c r="X247" i="6"/>
  <c r="Y247" i="6"/>
  <c r="Z247" i="6"/>
  <c r="S248" i="6"/>
  <c r="T248" i="6"/>
  <c r="U248" i="6"/>
  <c r="V248" i="6"/>
  <c r="W248" i="6"/>
  <c r="X248" i="6"/>
  <c r="Y248" i="6"/>
  <c r="Z248" i="6"/>
  <c r="S249" i="6"/>
  <c r="T249" i="6"/>
  <c r="U249" i="6"/>
  <c r="V249" i="6"/>
  <c r="W249" i="6"/>
  <c r="X249" i="6"/>
  <c r="Y249" i="6"/>
  <c r="Z249" i="6"/>
  <c r="S250" i="6"/>
  <c r="T250" i="6"/>
  <c r="U250" i="6"/>
  <c r="V250" i="6"/>
  <c r="W250" i="6"/>
  <c r="X250" i="6"/>
  <c r="Y250" i="6"/>
  <c r="Z250" i="6"/>
  <c r="S251" i="6"/>
  <c r="T251" i="6"/>
  <c r="U251" i="6"/>
  <c r="V251" i="6"/>
  <c r="W251" i="6"/>
  <c r="X251" i="6"/>
  <c r="Y251" i="6"/>
  <c r="Z251" i="6"/>
  <c r="S252" i="6"/>
  <c r="T252" i="6"/>
  <c r="U252" i="6"/>
  <c r="V252" i="6"/>
  <c r="W252" i="6"/>
  <c r="X252" i="6"/>
  <c r="Y252" i="6"/>
  <c r="Z252" i="6"/>
  <c r="S253" i="6"/>
  <c r="T253" i="6"/>
  <c r="U253" i="6"/>
  <c r="V253" i="6"/>
  <c r="W253" i="6"/>
  <c r="X253" i="6"/>
  <c r="Y253" i="6"/>
  <c r="Z253" i="6"/>
  <c r="S254" i="6"/>
  <c r="T254" i="6"/>
  <c r="U254" i="6"/>
  <c r="V254" i="6"/>
  <c r="W254" i="6"/>
  <c r="X254" i="6"/>
  <c r="Y254" i="6"/>
  <c r="Z254" i="6"/>
  <c r="S255" i="6"/>
  <c r="T255" i="6"/>
  <c r="U255" i="6"/>
  <c r="V255" i="6"/>
  <c r="W255" i="6"/>
  <c r="X255" i="6"/>
  <c r="Y255" i="6"/>
  <c r="Z255" i="6"/>
  <c r="S256" i="6"/>
  <c r="T256" i="6"/>
  <c r="U256" i="6"/>
  <c r="V256" i="6"/>
  <c r="W256" i="6"/>
  <c r="X256" i="6"/>
  <c r="Y256" i="6"/>
  <c r="Z256" i="6"/>
  <c r="S257" i="6"/>
  <c r="T257" i="6"/>
  <c r="U257" i="6"/>
  <c r="V257" i="6"/>
  <c r="W257" i="6"/>
  <c r="X257" i="6"/>
  <c r="Y257" i="6"/>
  <c r="Z257" i="6"/>
  <c r="S258" i="6"/>
  <c r="T258" i="6"/>
  <c r="U258" i="6"/>
  <c r="V258" i="6"/>
  <c r="W258" i="6"/>
  <c r="X258" i="6"/>
  <c r="Y258" i="6"/>
  <c r="Z258" i="6"/>
  <c r="S259" i="6"/>
  <c r="T259" i="6"/>
  <c r="U259" i="6"/>
  <c r="V259" i="6"/>
  <c r="W259" i="6"/>
  <c r="X259" i="6"/>
  <c r="Y259" i="6"/>
  <c r="Z259" i="6"/>
  <c r="S260" i="6"/>
  <c r="T260" i="6"/>
  <c r="U260" i="6"/>
  <c r="V260" i="6"/>
  <c r="W260" i="6"/>
  <c r="X260" i="6"/>
  <c r="Y260" i="6"/>
  <c r="Z260" i="6"/>
  <c r="S261" i="6"/>
  <c r="T261" i="6"/>
  <c r="U261" i="6"/>
  <c r="V261" i="6"/>
  <c r="W261" i="6"/>
  <c r="X261" i="6"/>
  <c r="Y261" i="6"/>
  <c r="Z261" i="6"/>
  <c r="S262" i="6"/>
  <c r="T262" i="6"/>
  <c r="U262" i="6"/>
  <c r="V262" i="6"/>
  <c r="W262" i="6"/>
  <c r="X262" i="6"/>
  <c r="Y262" i="6"/>
  <c r="Z262" i="6"/>
  <c r="S263" i="6"/>
  <c r="T263" i="6"/>
  <c r="U263" i="6"/>
  <c r="V263" i="6"/>
  <c r="W263" i="6"/>
  <c r="X263" i="6"/>
  <c r="Y263" i="6"/>
  <c r="Z263" i="6"/>
  <c r="S264" i="6"/>
  <c r="T264" i="6"/>
  <c r="U264" i="6"/>
  <c r="V264" i="6"/>
  <c r="W264" i="6"/>
  <c r="X264" i="6"/>
  <c r="Y264" i="6"/>
  <c r="Z264" i="6"/>
  <c r="S265" i="6"/>
  <c r="T265" i="6"/>
  <c r="U265" i="6"/>
  <c r="V265" i="6"/>
  <c r="W265" i="6"/>
  <c r="X265" i="6"/>
  <c r="Y265" i="6"/>
  <c r="Z265" i="6"/>
  <c r="S266" i="6"/>
  <c r="T266" i="6"/>
  <c r="U266" i="6"/>
  <c r="V266" i="6"/>
  <c r="W266" i="6"/>
  <c r="X266" i="6"/>
  <c r="Y266" i="6"/>
  <c r="Z266" i="6"/>
  <c r="S267" i="6"/>
  <c r="T267" i="6"/>
  <c r="U267" i="6"/>
  <c r="V267" i="6"/>
  <c r="W267" i="6"/>
  <c r="X267" i="6"/>
  <c r="Y267" i="6"/>
  <c r="Z267" i="6"/>
  <c r="S268" i="6"/>
  <c r="T268" i="6"/>
  <c r="U268" i="6"/>
  <c r="V268" i="6"/>
  <c r="W268" i="6"/>
  <c r="X268" i="6"/>
  <c r="Y268" i="6"/>
  <c r="Z268" i="6"/>
  <c r="S269" i="6"/>
  <c r="T269" i="6"/>
  <c r="U269" i="6"/>
  <c r="V269" i="6"/>
  <c r="W269" i="6"/>
  <c r="X269" i="6"/>
  <c r="Y269" i="6"/>
  <c r="Z269" i="6"/>
  <c r="S270" i="6"/>
  <c r="T270" i="6"/>
  <c r="U270" i="6"/>
  <c r="V270" i="6"/>
  <c r="W270" i="6"/>
  <c r="X270" i="6"/>
  <c r="Y270" i="6"/>
  <c r="Z270" i="6"/>
  <c r="S271" i="6"/>
  <c r="T271" i="6"/>
  <c r="U271" i="6"/>
  <c r="V271" i="6"/>
  <c r="W271" i="6"/>
  <c r="X271" i="6"/>
  <c r="Y271" i="6"/>
  <c r="Z271" i="6"/>
  <c r="S272" i="6"/>
  <c r="T272" i="6"/>
  <c r="U272" i="6"/>
  <c r="V272" i="6"/>
  <c r="W272" i="6"/>
  <c r="X272" i="6"/>
  <c r="Y272" i="6"/>
  <c r="Z272" i="6"/>
  <c r="S273" i="6"/>
  <c r="T273" i="6"/>
  <c r="U273" i="6"/>
  <c r="V273" i="6"/>
  <c r="W273" i="6"/>
  <c r="X273" i="6"/>
  <c r="Y273" i="6"/>
  <c r="Z273" i="6"/>
  <c r="S274" i="6"/>
  <c r="T274" i="6"/>
  <c r="U274" i="6"/>
  <c r="V274" i="6"/>
  <c r="W274" i="6"/>
  <c r="X274" i="6"/>
  <c r="Y274" i="6"/>
  <c r="Z274" i="6"/>
  <c r="S275" i="6"/>
  <c r="T275" i="6"/>
  <c r="U275" i="6"/>
  <c r="V275" i="6"/>
  <c r="W275" i="6"/>
  <c r="X275" i="6"/>
  <c r="Y275" i="6"/>
  <c r="Z275" i="6"/>
  <c r="S276" i="6"/>
  <c r="T276" i="6"/>
  <c r="U276" i="6"/>
  <c r="V276" i="6"/>
  <c r="W276" i="6"/>
  <c r="X276" i="6"/>
  <c r="Y276" i="6"/>
  <c r="Z276" i="6"/>
  <c r="S19" i="6"/>
  <c r="T19" i="6"/>
  <c r="U19" i="6"/>
  <c r="V19" i="6"/>
  <c r="W19" i="6"/>
  <c r="X19" i="6"/>
  <c r="Y19" i="6"/>
  <c r="Z19" i="6"/>
  <c r="S20" i="6"/>
  <c r="T20" i="6"/>
  <c r="U20" i="6"/>
  <c r="V20" i="6"/>
  <c r="W20" i="6"/>
  <c r="X20" i="6"/>
  <c r="Y20" i="6"/>
  <c r="Z20" i="6"/>
  <c r="S21" i="6"/>
  <c r="T21" i="6"/>
  <c r="U21" i="6"/>
  <c r="V21" i="6"/>
  <c r="W21" i="6"/>
  <c r="X21" i="6"/>
  <c r="Y21" i="6"/>
  <c r="Z21" i="6"/>
  <c r="S22" i="6"/>
  <c r="T22" i="6"/>
  <c r="U22" i="6"/>
  <c r="V22" i="6"/>
  <c r="W22" i="6"/>
  <c r="X22" i="6"/>
  <c r="Y22" i="6"/>
  <c r="Z22" i="6"/>
  <c r="S23" i="6"/>
  <c r="T23" i="6"/>
  <c r="U23" i="6"/>
  <c r="V23" i="6"/>
  <c r="W23" i="6"/>
  <c r="X23" i="6"/>
  <c r="Y23" i="6"/>
  <c r="Z23" i="6"/>
  <c r="S24" i="6"/>
  <c r="T24" i="6"/>
  <c r="U24" i="6"/>
  <c r="V24" i="6"/>
  <c r="W24" i="6"/>
  <c r="X24" i="6"/>
  <c r="Y24" i="6"/>
  <c r="Z24" i="6"/>
  <c r="S13" i="6"/>
  <c r="T13" i="6"/>
  <c r="U13" i="6"/>
  <c r="V13" i="6"/>
  <c r="W13" i="6"/>
  <c r="X13" i="6"/>
  <c r="Y13" i="6"/>
  <c r="Z13" i="6"/>
  <c r="S14" i="6"/>
  <c r="T14" i="6"/>
  <c r="U14" i="6"/>
  <c r="V14" i="6"/>
  <c r="W14" i="6"/>
  <c r="X14" i="6"/>
  <c r="Y14" i="6"/>
  <c r="Z14" i="6"/>
  <c r="S15" i="6"/>
  <c r="T15" i="6"/>
  <c r="U15" i="6"/>
  <c r="V15" i="6"/>
  <c r="W15" i="6"/>
  <c r="X15" i="6"/>
  <c r="Y15" i="6"/>
  <c r="Z15" i="6"/>
  <c r="S16" i="6"/>
  <c r="T16" i="6"/>
  <c r="U16" i="6"/>
  <c r="V16" i="6"/>
  <c r="W16" i="6"/>
  <c r="X16" i="6"/>
  <c r="Y16" i="6"/>
  <c r="Z16" i="6"/>
  <c r="S17" i="6"/>
  <c r="T17" i="6"/>
  <c r="U17" i="6"/>
  <c r="V17" i="6"/>
  <c r="W17" i="6"/>
  <c r="X17" i="6"/>
  <c r="Y17" i="6"/>
  <c r="Z17" i="6"/>
  <c r="S18" i="6"/>
  <c r="T18" i="6"/>
  <c r="U18" i="6"/>
  <c r="V18" i="6"/>
  <c r="W18" i="6"/>
  <c r="X18" i="6"/>
  <c r="Y18" i="6"/>
  <c r="Z18" i="6"/>
  <c r="AC14" i="6"/>
  <c r="AD14" i="6"/>
  <c r="AE14" i="6"/>
  <c r="AF14" i="6"/>
  <c r="AG14" i="6"/>
  <c r="AH14" i="6"/>
  <c r="AI14" i="6"/>
  <c r="AB14" i="6"/>
  <c r="AC13" i="6"/>
  <c r="AD13" i="6"/>
  <c r="AE13" i="6"/>
  <c r="AF13" i="6"/>
  <c r="AG13" i="6"/>
  <c r="AH13" i="6"/>
  <c r="AI13" i="6"/>
  <c r="AB13" i="6"/>
  <c r="T12" i="6"/>
  <c r="U12" i="6"/>
  <c r="V12" i="6"/>
  <c r="W12" i="6"/>
  <c r="X12" i="6"/>
  <c r="Y12" i="6"/>
  <c r="Z12" i="6"/>
  <c r="S12" i="6"/>
  <c r="T11" i="6"/>
  <c r="U11" i="6"/>
  <c r="V11" i="6"/>
  <c r="W11" i="6"/>
  <c r="X11" i="6"/>
  <c r="Y11" i="6"/>
  <c r="Z11" i="6"/>
  <c r="S11" i="6"/>
  <c r="T10" i="6"/>
  <c r="U10" i="6"/>
  <c r="V10" i="6"/>
  <c r="W10" i="6"/>
  <c r="X10" i="6"/>
  <c r="Y10" i="6"/>
  <c r="Z10" i="6"/>
  <c r="S10" i="6"/>
  <c r="T9" i="6"/>
  <c r="U9" i="6"/>
  <c r="V9" i="6"/>
  <c r="W9" i="6"/>
  <c r="X9" i="6"/>
  <c r="Y9" i="6"/>
  <c r="Z9" i="6"/>
  <c r="S9" i="6"/>
  <c r="T8" i="6"/>
  <c r="U8" i="6"/>
  <c r="V8" i="6"/>
  <c r="W8" i="6"/>
  <c r="X8" i="6"/>
  <c r="Y8" i="6"/>
  <c r="Z8" i="6"/>
  <c r="S8" i="6"/>
  <c r="T7" i="6"/>
  <c r="U7" i="6"/>
  <c r="V7" i="6"/>
  <c r="W7" i="6"/>
  <c r="X7" i="6"/>
  <c r="Y7" i="6"/>
  <c r="Z7" i="6"/>
  <c r="S7" i="6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FC177" i="1"/>
  <c r="FD177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FC183" i="1"/>
  <c r="FD183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FC195" i="1"/>
  <c r="FD195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FC201" i="1"/>
  <c r="FD201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EZ207" i="1"/>
  <c r="FA207" i="1"/>
  <c r="FB207" i="1"/>
  <c r="FC207" i="1"/>
  <c r="FD207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EZ213" i="1"/>
  <c r="FA213" i="1"/>
  <c r="FB213" i="1"/>
  <c r="FC213" i="1"/>
  <c r="FD213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EZ219" i="1"/>
  <c r="FA219" i="1"/>
  <c r="FB219" i="1"/>
  <c r="FC219" i="1"/>
  <c r="FD219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EZ225" i="1"/>
  <c r="FA225" i="1"/>
  <c r="FB225" i="1"/>
  <c r="FC225" i="1"/>
  <c r="FD225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EW231" i="1"/>
  <c r="EX231" i="1"/>
  <c r="EY231" i="1"/>
  <c r="EZ231" i="1"/>
  <c r="FA231" i="1"/>
  <c r="FB231" i="1"/>
  <c r="FC231" i="1"/>
  <c r="FD231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EW237" i="1"/>
  <c r="EX237" i="1"/>
  <c r="EY237" i="1"/>
  <c r="EZ237" i="1"/>
  <c r="FA237" i="1"/>
  <c r="FB237" i="1"/>
  <c r="FC237" i="1"/>
  <c r="FD237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EW243" i="1"/>
  <c r="EX243" i="1"/>
  <c r="EY243" i="1"/>
  <c r="EZ243" i="1"/>
  <c r="FA243" i="1"/>
  <c r="FB243" i="1"/>
  <c r="FC243" i="1"/>
  <c r="FD243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EW249" i="1"/>
  <c r="EX249" i="1"/>
  <c r="EY249" i="1"/>
  <c r="EZ249" i="1"/>
  <c r="FA249" i="1"/>
  <c r="FB249" i="1"/>
  <c r="FC249" i="1"/>
  <c r="FD249" i="1"/>
  <c r="CS255" i="1"/>
  <c r="CT255" i="1"/>
  <c r="CU255" i="1"/>
  <c r="CV255" i="1"/>
  <c r="CW255" i="1"/>
  <c r="CX255" i="1"/>
  <c r="CY255" i="1"/>
  <c r="CZ255" i="1"/>
  <c r="DA255" i="1"/>
  <c r="DB255" i="1"/>
  <c r="DC255" i="1"/>
  <c r="DD255" i="1"/>
  <c r="DE255" i="1"/>
  <c r="DF255" i="1"/>
  <c r="DG255" i="1"/>
  <c r="DH255" i="1"/>
  <c r="DI255" i="1"/>
  <c r="DJ255" i="1"/>
  <c r="DK255" i="1"/>
  <c r="DL255" i="1"/>
  <c r="DM255" i="1"/>
  <c r="DN255" i="1"/>
  <c r="DO255" i="1"/>
  <c r="DP255" i="1"/>
  <c r="DQ255" i="1"/>
  <c r="DR255" i="1"/>
  <c r="DS255" i="1"/>
  <c r="DT255" i="1"/>
  <c r="DU255" i="1"/>
  <c r="DV255" i="1"/>
  <c r="DW255" i="1"/>
  <c r="DX255" i="1"/>
  <c r="DY255" i="1"/>
  <c r="DZ255" i="1"/>
  <c r="EA255" i="1"/>
  <c r="EB255" i="1"/>
  <c r="EC255" i="1"/>
  <c r="ED255" i="1"/>
  <c r="EE255" i="1"/>
  <c r="EF255" i="1"/>
  <c r="EG255" i="1"/>
  <c r="EH255" i="1"/>
  <c r="EI255" i="1"/>
  <c r="EJ255" i="1"/>
  <c r="EK255" i="1"/>
  <c r="EL255" i="1"/>
  <c r="EM255" i="1"/>
  <c r="EN255" i="1"/>
  <c r="EO255" i="1"/>
  <c r="EP255" i="1"/>
  <c r="EQ255" i="1"/>
  <c r="ER255" i="1"/>
  <c r="ES255" i="1"/>
  <c r="ET255" i="1"/>
  <c r="EU255" i="1"/>
  <c r="EV255" i="1"/>
  <c r="EW255" i="1"/>
  <c r="EX255" i="1"/>
  <c r="EY255" i="1"/>
  <c r="EZ255" i="1"/>
  <c r="FA255" i="1"/>
  <c r="FB255" i="1"/>
  <c r="FC255" i="1"/>
  <c r="FD255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G261" i="1"/>
  <c r="DH261" i="1"/>
  <c r="DI261" i="1"/>
  <c r="DJ261" i="1"/>
  <c r="DK261" i="1"/>
  <c r="DL261" i="1"/>
  <c r="DM261" i="1"/>
  <c r="DN261" i="1"/>
  <c r="DO261" i="1"/>
  <c r="DP261" i="1"/>
  <c r="DQ261" i="1"/>
  <c r="DR261" i="1"/>
  <c r="DS261" i="1"/>
  <c r="DT261" i="1"/>
  <c r="DU261" i="1"/>
  <c r="DV261" i="1"/>
  <c r="DW261" i="1"/>
  <c r="DX261" i="1"/>
  <c r="DY261" i="1"/>
  <c r="DZ261" i="1"/>
  <c r="EA261" i="1"/>
  <c r="EB261" i="1"/>
  <c r="EC261" i="1"/>
  <c r="ED261" i="1"/>
  <c r="EE261" i="1"/>
  <c r="EF261" i="1"/>
  <c r="EG261" i="1"/>
  <c r="EH261" i="1"/>
  <c r="EI261" i="1"/>
  <c r="EJ261" i="1"/>
  <c r="EK261" i="1"/>
  <c r="EL261" i="1"/>
  <c r="EM261" i="1"/>
  <c r="EN261" i="1"/>
  <c r="EO261" i="1"/>
  <c r="EP261" i="1"/>
  <c r="EQ261" i="1"/>
  <c r="ER261" i="1"/>
  <c r="ES261" i="1"/>
  <c r="ET261" i="1"/>
  <c r="EU261" i="1"/>
  <c r="EV261" i="1"/>
  <c r="EW261" i="1"/>
  <c r="EX261" i="1"/>
  <c r="EY261" i="1"/>
  <c r="EZ261" i="1"/>
  <c r="FA261" i="1"/>
  <c r="FB261" i="1"/>
  <c r="FC261" i="1"/>
  <c r="FD261" i="1"/>
  <c r="CS267" i="1"/>
  <c r="CT267" i="1"/>
  <c r="CU267" i="1"/>
  <c r="CV267" i="1"/>
  <c r="CW267" i="1"/>
  <c r="CX267" i="1"/>
  <c r="CY267" i="1"/>
  <c r="CZ267" i="1"/>
  <c r="DA267" i="1"/>
  <c r="DB267" i="1"/>
  <c r="DC267" i="1"/>
  <c r="DD267" i="1"/>
  <c r="DE267" i="1"/>
  <c r="DF267" i="1"/>
  <c r="DG267" i="1"/>
  <c r="DH267" i="1"/>
  <c r="DI267" i="1"/>
  <c r="DJ267" i="1"/>
  <c r="DK267" i="1"/>
  <c r="DL267" i="1"/>
  <c r="DM267" i="1"/>
  <c r="DN267" i="1"/>
  <c r="DO267" i="1"/>
  <c r="DP267" i="1"/>
  <c r="DQ267" i="1"/>
  <c r="DR267" i="1"/>
  <c r="DS267" i="1"/>
  <c r="DT267" i="1"/>
  <c r="DU267" i="1"/>
  <c r="DV267" i="1"/>
  <c r="DW267" i="1"/>
  <c r="DX267" i="1"/>
  <c r="DY267" i="1"/>
  <c r="DZ267" i="1"/>
  <c r="EA267" i="1"/>
  <c r="EB267" i="1"/>
  <c r="EC267" i="1"/>
  <c r="ED267" i="1"/>
  <c r="EE267" i="1"/>
  <c r="EF267" i="1"/>
  <c r="EG267" i="1"/>
  <c r="EH267" i="1"/>
  <c r="EI267" i="1"/>
  <c r="EJ267" i="1"/>
  <c r="EK267" i="1"/>
  <c r="EL267" i="1"/>
  <c r="EM267" i="1"/>
  <c r="EN267" i="1"/>
  <c r="EO267" i="1"/>
  <c r="EP267" i="1"/>
  <c r="EQ267" i="1"/>
  <c r="ER267" i="1"/>
  <c r="ES267" i="1"/>
  <c r="ET267" i="1"/>
  <c r="EU267" i="1"/>
  <c r="EV267" i="1"/>
  <c r="EW267" i="1"/>
  <c r="EX267" i="1"/>
  <c r="EY267" i="1"/>
  <c r="EZ267" i="1"/>
  <c r="FA267" i="1"/>
  <c r="FB267" i="1"/>
  <c r="FC267" i="1"/>
  <c r="FD267" i="1"/>
  <c r="CS273" i="1"/>
  <c r="CT273" i="1"/>
  <c r="CU273" i="1"/>
  <c r="CV273" i="1"/>
  <c r="CW273" i="1"/>
  <c r="CX273" i="1"/>
  <c r="CY273" i="1"/>
  <c r="CZ273" i="1"/>
  <c r="DA273" i="1"/>
  <c r="DB273" i="1"/>
  <c r="DC273" i="1"/>
  <c r="DD273" i="1"/>
  <c r="DE273" i="1"/>
  <c r="DF273" i="1"/>
  <c r="DG273" i="1"/>
  <c r="DH273" i="1"/>
  <c r="DI273" i="1"/>
  <c r="DJ273" i="1"/>
  <c r="DK273" i="1"/>
  <c r="DL273" i="1"/>
  <c r="DM273" i="1"/>
  <c r="DN273" i="1"/>
  <c r="DO273" i="1"/>
  <c r="DP273" i="1"/>
  <c r="DQ273" i="1"/>
  <c r="DR273" i="1"/>
  <c r="DS273" i="1"/>
  <c r="DT273" i="1"/>
  <c r="DU273" i="1"/>
  <c r="DV273" i="1"/>
  <c r="DW273" i="1"/>
  <c r="DX273" i="1"/>
  <c r="DY273" i="1"/>
  <c r="DZ273" i="1"/>
  <c r="EA273" i="1"/>
  <c r="EB273" i="1"/>
  <c r="EC273" i="1"/>
  <c r="ED273" i="1"/>
  <c r="EE273" i="1"/>
  <c r="EF273" i="1"/>
  <c r="EG273" i="1"/>
  <c r="EH273" i="1"/>
  <c r="EI273" i="1"/>
  <c r="EJ273" i="1"/>
  <c r="EK273" i="1"/>
  <c r="EL273" i="1"/>
  <c r="EM273" i="1"/>
  <c r="EN273" i="1"/>
  <c r="EO273" i="1"/>
  <c r="EP273" i="1"/>
  <c r="EQ273" i="1"/>
  <c r="ER273" i="1"/>
  <c r="ES273" i="1"/>
  <c r="ET273" i="1"/>
  <c r="EU273" i="1"/>
  <c r="EV273" i="1"/>
  <c r="EW273" i="1"/>
  <c r="EX273" i="1"/>
  <c r="EY273" i="1"/>
  <c r="EZ273" i="1"/>
  <c r="FA273" i="1"/>
  <c r="FB273" i="1"/>
  <c r="FC273" i="1"/>
  <c r="FD273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CS21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CS15" i="1"/>
  <c r="CS9" i="1"/>
  <c r="CS1" i="1"/>
  <c r="DO3" i="1"/>
  <c r="DW3" i="1" s="1"/>
  <c r="EE3" i="1" s="1"/>
  <c r="EM3" i="1" s="1"/>
  <c r="EU3" i="1" s="1"/>
  <c r="FC3" i="1" s="1"/>
  <c r="DJ3" i="1"/>
  <c r="DR3" i="1" s="1"/>
  <c r="DZ3" i="1" s="1"/>
  <c r="EH3" i="1" s="1"/>
  <c r="EP3" i="1" s="1"/>
  <c r="EX3" i="1" s="1"/>
  <c r="DI3" i="1"/>
  <c r="DQ3" i="1" s="1"/>
  <c r="DY3" i="1" s="1"/>
  <c r="EG3" i="1" s="1"/>
  <c r="EO3" i="1" s="1"/>
  <c r="EW3" i="1" s="1"/>
  <c r="DH3" i="1"/>
  <c r="DP3" i="1" s="1"/>
  <c r="DX3" i="1" s="1"/>
  <c r="EF3" i="1" s="1"/>
  <c r="EN3" i="1" s="1"/>
  <c r="EV3" i="1" s="1"/>
  <c r="FD3" i="1" s="1"/>
  <c r="DG3" i="1"/>
  <c r="DF3" i="1"/>
  <c r="DN3" i="1" s="1"/>
  <c r="DV3" i="1" s="1"/>
  <c r="ED3" i="1" s="1"/>
  <c r="EL3" i="1" s="1"/>
  <c r="ET3" i="1" s="1"/>
  <c r="FB3" i="1" s="1"/>
  <c r="DE3" i="1"/>
  <c r="DM3" i="1" s="1"/>
  <c r="DU3" i="1" s="1"/>
  <c r="EC3" i="1" s="1"/>
  <c r="EK3" i="1" s="1"/>
  <c r="ES3" i="1" s="1"/>
  <c r="FA3" i="1" s="1"/>
  <c r="DD3" i="1"/>
  <c r="DL3" i="1" s="1"/>
  <c r="DT3" i="1" s="1"/>
  <c r="EB3" i="1" s="1"/>
  <c r="EJ3" i="1" s="1"/>
  <c r="ER3" i="1" s="1"/>
  <c r="EZ3" i="1" s="1"/>
  <c r="DC3" i="1"/>
  <c r="DK3" i="1" s="1"/>
  <c r="DS3" i="1" s="1"/>
  <c r="EA3" i="1" s="1"/>
  <c r="EI3" i="1" s="1"/>
  <c r="EQ3" i="1" s="1"/>
  <c r="EY3" i="1" s="1"/>
  <c r="DB3" i="1"/>
  <c r="DA3" i="1"/>
  <c r="DW2" i="1"/>
  <c r="EE2" i="1" s="1"/>
  <c r="EM2" i="1" s="1"/>
  <c r="EU2" i="1" s="1"/>
  <c r="FC2" i="1" s="1"/>
  <c r="DQ2" i="1"/>
  <c r="DY2" i="1" s="1"/>
  <c r="EG2" i="1" s="1"/>
  <c r="EO2" i="1" s="1"/>
  <c r="EW2" i="1" s="1"/>
  <c r="DP2" i="1"/>
  <c r="DX2" i="1" s="1"/>
  <c r="EF2" i="1" s="1"/>
  <c r="EN2" i="1" s="1"/>
  <c r="EV2" i="1" s="1"/>
  <c r="FD2" i="1" s="1"/>
  <c r="DO2" i="1"/>
  <c r="DN2" i="1"/>
  <c r="DV2" i="1" s="1"/>
  <c r="ED2" i="1" s="1"/>
  <c r="EL2" i="1" s="1"/>
  <c r="ET2" i="1" s="1"/>
  <c r="FB2" i="1" s="1"/>
  <c r="DM2" i="1"/>
  <c r="DU2" i="1" s="1"/>
  <c r="EC2" i="1" s="1"/>
  <c r="EK2" i="1" s="1"/>
  <c r="ES2" i="1" s="1"/>
  <c r="FA2" i="1" s="1"/>
  <c r="DL2" i="1"/>
  <c r="DT2" i="1" s="1"/>
  <c r="EB2" i="1" s="1"/>
  <c r="EJ2" i="1" s="1"/>
  <c r="ER2" i="1" s="1"/>
  <c r="EZ2" i="1" s="1"/>
  <c r="DK2" i="1"/>
  <c r="DS2" i="1" s="1"/>
  <c r="EA2" i="1" s="1"/>
  <c r="EI2" i="1" s="1"/>
  <c r="EQ2" i="1" s="1"/>
  <c r="EY2" i="1" s="1"/>
  <c r="DJ2" i="1"/>
  <c r="DR2" i="1" s="1"/>
  <c r="DZ2" i="1" s="1"/>
  <c r="EH2" i="1" s="1"/>
  <c r="EP2" i="1" s="1"/>
  <c r="EX2" i="1" s="1"/>
  <c r="DI2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AF1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AF33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AF27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AF21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AF15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AF9" i="1"/>
  <c r="AO3" i="1"/>
  <c r="AW3" i="1" s="1"/>
  <c r="BE3" i="1" s="1"/>
  <c r="BM3" i="1" s="1"/>
  <c r="BU3" i="1" s="1"/>
  <c r="CC3" i="1" s="1"/>
  <c r="CK3" i="1" s="1"/>
  <c r="AP3" i="1"/>
  <c r="AX3" i="1" s="1"/>
  <c r="BF3" i="1" s="1"/>
  <c r="BN3" i="1" s="1"/>
  <c r="BV3" i="1" s="1"/>
  <c r="CD3" i="1" s="1"/>
  <c r="CL3" i="1" s="1"/>
  <c r="AQ3" i="1"/>
  <c r="AY3" i="1" s="1"/>
  <c r="BG3" i="1" s="1"/>
  <c r="BO3" i="1" s="1"/>
  <c r="BW3" i="1" s="1"/>
  <c r="CE3" i="1" s="1"/>
  <c r="CM3" i="1" s="1"/>
  <c r="AR3" i="1"/>
  <c r="AZ3" i="1" s="1"/>
  <c r="BH3" i="1" s="1"/>
  <c r="BP3" i="1" s="1"/>
  <c r="BX3" i="1" s="1"/>
  <c r="CF3" i="1" s="1"/>
  <c r="CN3" i="1" s="1"/>
  <c r="AS3" i="1"/>
  <c r="BA3" i="1" s="1"/>
  <c r="BI3" i="1" s="1"/>
  <c r="BQ3" i="1" s="1"/>
  <c r="BY3" i="1" s="1"/>
  <c r="CG3" i="1" s="1"/>
  <c r="CO3" i="1" s="1"/>
  <c r="AT3" i="1"/>
  <c r="BB3" i="1" s="1"/>
  <c r="BJ3" i="1" s="1"/>
  <c r="BR3" i="1" s="1"/>
  <c r="BZ3" i="1" s="1"/>
  <c r="CH3" i="1" s="1"/>
  <c r="CP3" i="1" s="1"/>
  <c r="AU3" i="1"/>
  <c r="BC3" i="1" s="1"/>
  <c r="BK3" i="1" s="1"/>
  <c r="BS3" i="1" s="1"/>
  <c r="CA3" i="1" s="1"/>
  <c r="CI3" i="1" s="1"/>
  <c r="CQ3" i="1" s="1"/>
  <c r="AN3" i="1"/>
  <c r="AV3" i="1" s="1"/>
  <c r="BD3" i="1" s="1"/>
  <c r="BL3" i="1" s="1"/>
  <c r="BT3" i="1" s="1"/>
  <c r="CB3" i="1" s="1"/>
  <c r="CJ3" i="1" s="1"/>
  <c r="AW2" i="1"/>
  <c r="AX2" i="1"/>
  <c r="AY2" i="1"/>
  <c r="AZ2" i="1"/>
  <c r="BA2" i="1"/>
  <c r="BB2" i="1"/>
  <c r="BC2" i="1"/>
  <c r="BG2" i="1"/>
  <c r="AV2" i="1"/>
  <c r="AC4" i="1"/>
  <c r="AC2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8" i="1"/>
  <c r="AB7" i="1"/>
  <c r="AB6" i="1"/>
  <c r="AB5" i="1"/>
  <c r="AB4" i="1"/>
  <c r="AB1" i="1" s="1"/>
  <c r="AA10" i="1"/>
  <c r="AA1" i="1" s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9" i="1"/>
  <c r="AA8" i="1"/>
  <c r="AA7" i="1"/>
  <c r="AA6" i="1"/>
  <c r="AA5" i="1"/>
  <c r="AA4" i="1"/>
  <c r="Z10" i="1"/>
  <c r="Z11" i="1"/>
  <c r="Z1" i="1" s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9" i="1"/>
  <c r="Z8" i="1"/>
  <c r="Z7" i="1"/>
  <c r="Z6" i="1"/>
  <c r="Z5" i="1"/>
  <c r="Z4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9" i="1"/>
  <c r="Y8" i="1"/>
  <c r="Y7" i="1"/>
  <c r="Y6" i="1"/>
  <c r="Y5" i="1"/>
  <c r="Y4" i="1"/>
  <c r="X273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9" i="1"/>
  <c r="X1" i="1" s="1"/>
  <c r="X8" i="1"/>
  <c r="X7" i="1"/>
  <c r="X6" i="1"/>
  <c r="X4" i="1"/>
  <c r="AB9" i="1"/>
  <c r="X5" i="1"/>
  <c r="S6" i="2"/>
  <c r="S7" i="2"/>
  <c r="S8" i="2"/>
  <c r="S9" i="2"/>
  <c r="S10" i="2"/>
  <c r="S11" i="2"/>
  <c r="S12" i="2"/>
  <c r="S13" i="2"/>
  <c r="S5" i="2"/>
  <c r="T33" i="1"/>
  <c r="T39" i="1"/>
  <c r="T45" i="1"/>
  <c r="T51" i="1"/>
  <c r="T57" i="1"/>
  <c r="T63" i="1"/>
  <c r="T69" i="1"/>
  <c r="T75" i="1"/>
  <c r="T81" i="1"/>
  <c r="T87" i="1"/>
  <c r="T93" i="1"/>
  <c r="T99" i="1"/>
  <c r="T105" i="1"/>
  <c r="T111" i="1"/>
  <c r="T3" i="1" s="1"/>
  <c r="T117" i="1"/>
  <c r="T123" i="1"/>
  <c r="T129" i="1"/>
  <c r="T135" i="1"/>
  <c r="T141" i="1"/>
  <c r="T147" i="1"/>
  <c r="T153" i="1"/>
  <c r="T159" i="1"/>
  <c r="T165" i="1"/>
  <c r="T171" i="1"/>
  <c r="T177" i="1"/>
  <c r="T183" i="1"/>
  <c r="T189" i="1"/>
  <c r="T195" i="1"/>
  <c r="T201" i="1"/>
  <c r="T207" i="1"/>
  <c r="T213" i="1"/>
  <c r="T219" i="1"/>
  <c r="T225" i="1"/>
  <c r="T231" i="1"/>
  <c r="T237" i="1"/>
  <c r="T243" i="1"/>
  <c r="T249" i="1"/>
  <c r="T255" i="1"/>
  <c r="T261" i="1"/>
  <c r="T267" i="1"/>
  <c r="T273" i="1"/>
  <c r="T15" i="1"/>
  <c r="T21" i="1"/>
  <c r="T27" i="1"/>
  <c r="T9" i="1"/>
  <c r="Y1" i="1" l="1"/>
  <c r="BF2" i="1"/>
  <c r="BE2" i="1"/>
  <c r="BO2" i="1"/>
  <c r="BK2" i="1"/>
  <c r="BD2" i="1"/>
  <c r="BJ2" i="1"/>
  <c r="BI2" i="1"/>
  <c r="BH2" i="1"/>
  <c r="S3" i="2"/>
  <c r="BP2" i="1" l="1"/>
  <c r="BQ2" i="1"/>
  <c r="BR2" i="1"/>
  <c r="BS2" i="1"/>
  <c r="BL2" i="1"/>
  <c r="BW2" i="1"/>
  <c r="BM2" i="1"/>
  <c r="BN2" i="1"/>
  <c r="BT2" i="1" l="1"/>
  <c r="CE2" i="1"/>
  <c r="BV2" i="1"/>
  <c r="BU2" i="1"/>
  <c r="CA2" i="1"/>
  <c r="BZ2" i="1"/>
  <c r="BY2" i="1"/>
  <c r="BX2" i="1"/>
  <c r="CI2" i="1" l="1"/>
  <c r="CC2" i="1"/>
  <c r="CD2" i="1"/>
  <c r="CF2" i="1"/>
  <c r="CG2" i="1"/>
  <c r="CH2" i="1"/>
  <c r="CM2" i="1"/>
  <c r="CB2" i="1"/>
  <c r="CP2" i="1" l="1"/>
  <c r="CQ2" i="1"/>
  <c r="CJ2" i="1"/>
  <c r="CO2" i="1"/>
  <c r="CL2" i="1"/>
  <c r="CN2" i="1"/>
  <c r="CK2" i="1"/>
</calcChain>
</file>

<file path=xl/sharedStrings.xml><?xml version="1.0" encoding="utf-8"?>
<sst xmlns="http://schemas.openxmlformats.org/spreadsheetml/2006/main" count="1094" uniqueCount="126">
  <si>
    <t>Engine</t>
  </si>
  <si>
    <t>Testbench</t>
  </si>
  <si>
    <t>Total_Power(W)</t>
  </si>
  <si>
    <t>Static_Power(W)</t>
  </si>
  <si>
    <t>M1no1</t>
  </si>
  <si>
    <t>tb_nznz</t>
  </si>
  <si>
    <t>tb_nzzr</t>
  </si>
  <si>
    <t>tb_swnz</t>
  </si>
  <si>
    <t>tb_swzr</t>
  </si>
  <si>
    <t>tb_zrnz</t>
  </si>
  <si>
    <t>tb_zrzr</t>
  </si>
  <si>
    <t>M1no2</t>
  </si>
  <si>
    <t>M1no3</t>
  </si>
  <si>
    <t>M1no4</t>
  </si>
  <si>
    <t>M1no5</t>
  </si>
  <si>
    <t>M1no6</t>
  </si>
  <si>
    <t>M1no7</t>
  </si>
  <si>
    <t>M1no8</t>
  </si>
  <si>
    <t>M1no9</t>
  </si>
  <si>
    <t>M2no1</t>
  </si>
  <si>
    <t>M2no2</t>
  </si>
  <si>
    <t>M2no3</t>
  </si>
  <si>
    <t>M2no4</t>
  </si>
  <si>
    <t>M2no5</t>
  </si>
  <si>
    <t>M2no6</t>
  </si>
  <si>
    <t>M2no7</t>
  </si>
  <si>
    <t>M2no8</t>
  </si>
  <si>
    <t>M2no9</t>
  </si>
  <si>
    <t>M3no1</t>
  </si>
  <si>
    <t>M3no2</t>
  </si>
  <si>
    <t>M3no3</t>
  </si>
  <si>
    <t>M3no4</t>
  </si>
  <si>
    <t>M3no5</t>
  </si>
  <si>
    <t>M3no6</t>
  </si>
  <si>
    <t>M3no7</t>
  </si>
  <si>
    <t>M3no8</t>
  </si>
  <si>
    <t>M3no9</t>
  </si>
  <si>
    <t>M4no1</t>
  </si>
  <si>
    <t>M4no2</t>
  </si>
  <si>
    <t>M4no3</t>
  </si>
  <si>
    <t>M4no4</t>
  </si>
  <si>
    <t>M4no5</t>
  </si>
  <si>
    <t>M4no6</t>
  </si>
  <si>
    <t>M4no7</t>
  </si>
  <si>
    <t>M4no8</t>
  </si>
  <si>
    <t>M4no9</t>
  </si>
  <si>
    <t>M5no1</t>
  </si>
  <si>
    <t>M5no2</t>
  </si>
  <si>
    <t>M5no3</t>
  </si>
  <si>
    <t>M5no4</t>
  </si>
  <si>
    <t>M5no5</t>
  </si>
  <si>
    <t>M5no6</t>
  </si>
  <si>
    <t>M5no7</t>
  </si>
  <si>
    <t>M5no8</t>
  </si>
  <si>
    <t>M5no9</t>
  </si>
  <si>
    <t>Power</t>
    <phoneticPr fontId="1" type="noConversion"/>
  </si>
  <si>
    <t>HW Utilization</t>
    <phoneticPr fontId="1" type="noConversion"/>
  </si>
  <si>
    <t>LUT_SA</t>
    <phoneticPr fontId="1" type="noConversion"/>
  </si>
  <si>
    <t>FF_SA</t>
    <phoneticPr fontId="1" type="noConversion"/>
  </si>
  <si>
    <t>LUT_TOP</t>
    <phoneticPr fontId="1" type="noConversion"/>
  </si>
  <si>
    <t>FF_TOP</t>
    <phoneticPr fontId="1" type="noConversion"/>
  </si>
  <si>
    <t>Inference</t>
    <phoneticPr fontId="1" type="noConversion"/>
  </si>
  <si>
    <t>WNS</t>
    <phoneticPr fontId="1" type="noConversion"/>
  </si>
  <si>
    <t>WHS</t>
    <phoneticPr fontId="1" type="noConversion"/>
  </si>
  <si>
    <t>Timing Report (ns)</t>
    <phoneticPr fontId="1" type="noConversion"/>
  </si>
  <si>
    <t>BRAM_TOP</t>
    <phoneticPr fontId="1" type="noConversion"/>
  </si>
  <si>
    <t>WPWS</t>
    <phoneticPr fontId="1" type="noConversion"/>
  </si>
  <si>
    <t>Model1</t>
    <phoneticPr fontId="1" type="noConversion"/>
  </si>
  <si>
    <t>Model2</t>
    <phoneticPr fontId="1" type="noConversion"/>
  </si>
  <si>
    <t>Model3</t>
    <phoneticPr fontId="1" type="noConversion"/>
  </si>
  <si>
    <t>Accuracy(%)</t>
    <phoneticPr fontId="1" type="noConversion"/>
  </si>
  <si>
    <t>Fidelity(%)</t>
    <phoneticPr fontId="1" type="noConversion"/>
  </si>
  <si>
    <t>Dynamic_Power(W)</t>
    <phoneticPr fontId="1" type="noConversion"/>
  </si>
  <si>
    <t>SA_Power(W)</t>
    <phoneticPr fontId="1" type="noConversion"/>
  </si>
  <si>
    <t>Baseline</t>
  </si>
  <si>
    <t>Fixed-7</t>
  </si>
  <si>
    <t>Fixed-6</t>
  </si>
  <si>
    <t>Fixed_5</t>
  </si>
  <si>
    <t>M5</t>
  </si>
  <si>
    <t>M4</t>
  </si>
  <si>
    <t>M3</t>
  </si>
  <si>
    <t>M2</t>
  </si>
  <si>
    <t>M1</t>
  </si>
  <si>
    <t>Fixed-4</t>
  </si>
  <si>
    <t>FoM_1 Max</t>
  </si>
  <si>
    <t>FoM_2 Max</t>
  </si>
  <si>
    <t>HW Utilization</t>
  </si>
  <si>
    <t>Bitband Region_SA</t>
  </si>
  <si>
    <t>Fidelity/HW</t>
  </si>
  <si>
    <t>Fidelity/Sparsity</t>
  </si>
  <si>
    <t>Engines</t>
  </si>
  <si>
    <t>Model1</t>
  </si>
  <si>
    <t>Model2</t>
  </si>
  <si>
    <t>Model3</t>
  </si>
  <si>
    <t>Input</t>
  </si>
  <si>
    <t>Weight</t>
  </si>
  <si>
    <t>NZ rate</t>
  </si>
  <si>
    <t>SW rate</t>
  </si>
  <si>
    <t>ZR rate</t>
  </si>
  <si>
    <t>Score</t>
  </si>
  <si>
    <t>Total
BRAM</t>
  </si>
  <si>
    <t>Error
Avg(%)</t>
  </si>
  <si>
    <t>PWR_SA(W)</t>
  </si>
  <si>
    <t>LUT_SA</t>
  </si>
  <si>
    <t>Error
Var(‰)</t>
  </si>
  <si>
    <t>Accuracy, Fidelity (%)</t>
  </si>
  <si>
    <t>Fixed7</t>
  </si>
  <si>
    <t>MainStream AI</t>
  </si>
  <si>
    <t>ConverterOverhead</t>
  </si>
  <si>
    <t>LUT</t>
  </si>
  <si>
    <t>FF</t>
  </si>
  <si>
    <t>PE</t>
  </si>
  <si>
    <t>Detector Overhead</t>
  </si>
  <si>
    <t>BRAM36k</t>
  </si>
  <si>
    <t>AREA</t>
  </si>
  <si>
    <t>Fixed6</t>
  </si>
  <si>
    <t>Fixed5</t>
  </si>
  <si>
    <t>Fixed4</t>
  </si>
  <si>
    <t>Default</t>
  </si>
  <si>
    <t>전력 소모율</t>
  </si>
  <si>
    <t>전력 소모량</t>
  </si>
  <si>
    <t>전력소모율</t>
  </si>
  <si>
    <t>전력소모량</t>
  </si>
  <si>
    <t>Exclude BRAM</t>
  </si>
  <si>
    <t>Name of Engine</t>
    <phoneticPr fontId="1" type="noConversion"/>
  </si>
  <si>
    <t>Average of Energy consumption of the mainstream AI area (the green cells) normalized by Fully compact environment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</si>
</sst>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2"/>
      <scheme val="minor"/>
    </font>
    <font>
      <sz val="7"/>
      <name val="맑은 고딕"/>
      <family val="2"/>
      <scheme val="minor"/>
    </font>
    <font>
      <b/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0" xfId="0" applyFont="1" applyFill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0" borderId="2" xfId="0" applyFont="1" applyBorder="1">
      <alignment vertical="center"/>
    </xf>
    <xf numFmtId="0" fontId="4" fillId="2" borderId="2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7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1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4" xfId="0" applyBorder="1">
      <alignment vertical="center"/>
    </xf>
    <xf numFmtId="0" fontId="3" fillId="4" borderId="1" xfId="0" applyFont="1" applyFill="1" applyBorder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right" vertical="center" wrapText="1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4" fillId="2" borderId="13" xfId="0" applyFont="1" applyFill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0" borderId="16" xfId="0" applyFont="1" applyBorder="1">
      <alignment vertical="center"/>
    </xf>
    <xf numFmtId="0" fontId="3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3" fillId="2" borderId="2" xfId="0" applyFont="1" applyFill="1" applyBorder="1">
      <alignment vertical="center"/>
    </xf>
    <xf numFmtId="0" fontId="2" fillId="0" borderId="17" xfId="0" applyFont="1" applyBorder="1">
      <alignment vertical="center"/>
    </xf>
    <xf numFmtId="0" fontId="2" fillId="2" borderId="17" xfId="0" applyFont="1" applyFill="1" applyBorder="1">
      <alignment vertical="center"/>
    </xf>
    <xf numFmtId="0" fontId="2" fillId="3" borderId="17" xfId="0" applyFont="1" applyFill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10" fontId="0" fillId="0" borderId="3" xfId="0" applyNumberFormat="1" applyBorder="1">
      <alignment vertical="center"/>
    </xf>
    <xf numFmtId="9" fontId="0" fillId="0" borderId="3" xfId="0" applyNumberFormat="1" applyBorder="1">
      <alignment vertical="center"/>
    </xf>
    <xf numFmtId="0" fontId="0" fillId="3" borderId="3" xfId="0" applyFill="1" applyBorder="1">
      <alignment vertical="center"/>
    </xf>
    <xf numFmtId="0" fontId="0" fillId="0" borderId="8" xfId="0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9" fontId="0" fillId="0" borderId="8" xfId="0" applyNumberFormat="1" applyBorder="1">
      <alignment vertical="center"/>
    </xf>
    <xf numFmtId="10" fontId="0" fillId="0" borderId="8" xfId="0" applyNumberFormat="1" applyBorder="1">
      <alignment vertical="center"/>
    </xf>
    <xf numFmtId="0" fontId="0" fillId="0" borderId="2" xfId="0" applyBorder="1">
      <alignment vertical="center"/>
    </xf>
    <xf numFmtId="10" fontId="0" fillId="0" borderId="2" xfId="0" applyNumberFormat="1" applyBorder="1">
      <alignment vertical="center"/>
    </xf>
    <xf numFmtId="0" fontId="0" fillId="5" borderId="3" xfId="0" applyFill="1" applyBorder="1" applyAlignment="1">
      <alignment vertical="center" wrapText="1"/>
    </xf>
    <xf numFmtId="0" fontId="0" fillId="5" borderId="24" xfId="0" applyFill="1" applyBorder="1" applyAlignment="1">
      <alignment vertical="center" wrapText="1"/>
    </xf>
    <xf numFmtId="0" fontId="0" fillId="5" borderId="3" xfId="0" applyFill="1" applyBorder="1">
      <alignment vertical="center"/>
    </xf>
    <xf numFmtId="0" fontId="0" fillId="5" borderId="0" xfId="0" applyFill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0" fillId="2" borderId="0" xfId="0" applyFill="1">
      <alignment vertical="center"/>
    </xf>
    <xf numFmtId="0" fontId="0" fillId="0" borderId="26" xfId="0" applyBorder="1">
      <alignment vertical="center"/>
    </xf>
    <xf numFmtId="0" fontId="0" fillId="0" borderId="0" xfId="0" applyBorder="1">
      <alignment vertical="center"/>
    </xf>
    <xf numFmtId="10" fontId="0" fillId="0" borderId="0" xfId="0" applyNumberFormat="1" applyBorder="1">
      <alignment vertical="center"/>
    </xf>
    <xf numFmtId="9" fontId="0" fillId="0" borderId="0" xfId="0" applyNumberFormat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Accuracy,</a:t>
            </a:r>
            <a:r>
              <a:rPr lang="en-US" baseline="0"/>
              <a:t> Engine Fidelity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'base vs fixed vs dynamic'!$M$22</c:f>
              <c:strCache>
                <c:ptCount val="1"/>
                <c:pt idx="0">
                  <c:v>Engine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'base vs fixed vs dynamic'!$L$23:$L$52</c:f>
              <c:strCache>
                <c:ptCount val="28"/>
                <c:pt idx="0">
                  <c:v>Baseline</c:v>
                </c:pt>
                <c:pt idx="3">
                  <c:v>Fixed-7</c:v>
                </c:pt>
                <c:pt idx="6">
                  <c:v>Fixed-6</c:v>
                </c:pt>
                <c:pt idx="9">
                  <c:v>Fixed_5</c:v>
                </c:pt>
                <c:pt idx="12">
                  <c:v>Fixed-4</c:v>
                </c:pt>
                <c:pt idx="15">
                  <c:v>M5</c:v>
                </c:pt>
                <c:pt idx="18">
                  <c:v>M4</c:v>
                </c:pt>
                <c:pt idx="21">
                  <c:v>M3</c:v>
                </c:pt>
                <c:pt idx="24">
                  <c:v>M2</c:v>
                </c:pt>
                <c:pt idx="27">
                  <c:v>M1</c:v>
                </c:pt>
              </c:strCache>
            </c:strRef>
          </c:cat>
          <c:val>
            <c:numRef>
              <c:f>'base vs fixed vs dynamic'!$M$23:$M$52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0-405C-BEDC-6FA73CFA4260}"/>
            </c:ext>
          </c:extLst>
        </c:ser>
        <c:ser>
          <c:idx val="1"/>
          <c:order val="1"/>
          <c:tx>
            <c:strRef>
              <c:f>'base vs fixed vs dynamic'!$N$22</c:f>
              <c:strCache>
                <c:ptCount val="1"/>
                <c:pt idx="0">
                  <c:v>Accuracy, Fidelity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4390-405C-BEDC-6FA73CFA426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390-405C-BEDC-6FA73CFA4260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4390-405C-BEDC-6FA73CFA426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4390-405C-BEDC-6FA73CFA4260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390-405C-BEDC-6FA73CFA4260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4390-405C-BEDC-6FA73CFA4260}"/>
              </c:ext>
            </c:extLst>
          </c:dPt>
          <c:dPt>
            <c:idx val="1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4390-405C-BEDC-6FA73CFA4260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4390-405C-BEDC-6FA73CFA4260}"/>
              </c:ext>
            </c:extLst>
          </c:dPt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390-405C-BEDC-6FA73CFA4260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4390-405C-BEDC-6FA73CFA4260}"/>
              </c:ext>
            </c:extLst>
          </c:dPt>
          <c:dPt>
            <c:idx val="1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390-405C-BEDC-6FA73CFA4260}"/>
              </c:ext>
            </c:extLst>
          </c:dPt>
          <c:dPt>
            <c:idx val="1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4390-405C-BEDC-6FA73CFA4260}"/>
              </c:ext>
            </c:extLst>
          </c:dPt>
          <c:dPt>
            <c:idx val="1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4390-405C-BEDC-6FA73CFA4260}"/>
              </c:ext>
            </c:extLst>
          </c:dPt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4390-405C-BEDC-6FA73CFA4260}"/>
              </c:ext>
            </c:extLst>
          </c:dPt>
          <c:dPt>
            <c:idx val="2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4390-405C-BEDC-6FA73CFA4260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4-4390-405C-BEDC-6FA73CFA4260}"/>
              </c:ext>
            </c:extLst>
          </c:dPt>
          <c:dPt>
            <c:idx val="2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4390-405C-BEDC-6FA73CFA4260}"/>
              </c:ext>
            </c:extLst>
          </c:dPt>
          <c:dPt>
            <c:idx val="2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4390-405C-BEDC-6FA73CFA4260}"/>
              </c:ext>
            </c:extLst>
          </c:dPt>
          <c:dPt>
            <c:idx val="2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4390-405C-BEDC-6FA73CFA4260}"/>
              </c:ext>
            </c:extLst>
          </c:dPt>
          <c:dPt>
            <c:idx val="2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4390-405C-BEDC-6FA73CFA4260}"/>
              </c:ext>
            </c:extLst>
          </c:dPt>
          <c:cat>
            <c:strRef>
              <c:f>'base vs fixed vs dynamic'!$L$23:$L$52</c:f>
              <c:strCache>
                <c:ptCount val="28"/>
                <c:pt idx="0">
                  <c:v>Baseline</c:v>
                </c:pt>
                <c:pt idx="3">
                  <c:v>Fixed-7</c:v>
                </c:pt>
                <c:pt idx="6">
                  <c:v>Fixed-6</c:v>
                </c:pt>
                <c:pt idx="9">
                  <c:v>Fixed_5</c:v>
                </c:pt>
                <c:pt idx="12">
                  <c:v>Fixed-4</c:v>
                </c:pt>
                <c:pt idx="15">
                  <c:v>M5</c:v>
                </c:pt>
                <c:pt idx="18">
                  <c:v>M4</c:v>
                </c:pt>
                <c:pt idx="21">
                  <c:v>M3</c:v>
                </c:pt>
                <c:pt idx="24">
                  <c:v>M2</c:v>
                </c:pt>
                <c:pt idx="27">
                  <c:v>M1</c:v>
                </c:pt>
              </c:strCache>
            </c:strRef>
          </c:cat>
          <c:val>
            <c:numRef>
              <c:f>'base vs fixed vs dynamic'!$N$23:$N$52</c:f>
              <c:numCache>
                <c:formatCode>General</c:formatCode>
                <c:ptCount val="30"/>
                <c:pt idx="0">
                  <c:v>76</c:v>
                </c:pt>
                <c:pt idx="1">
                  <c:v>92</c:v>
                </c:pt>
                <c:pt idx="2">
                  <c:v>52</c:v>
                </c:pt>
                <c:pt idx="3">
                  <c:v>74</c:v>
                </c:pt>
                <c:pt idx="4">
                  <c:v>87</c:v>
                </c:pt>
                <c:pt idx="5">
                  <c:v>87</c:v>
                </c:pt>
                <c:pt idx="6">
                  <c:v>75.5</c:v>
                </c:pt>
                <c:pt idx="7">
                  <c:v>86.5</c:v>
                </c:pt>
                <c:pt idx="8">
                  <c:v>84</c:v>
                </c:pt>
                <c:pt idx="9">
                  <c:v>56</c:v>
                </c:pt>
                <c:pt idx="10">
                  <c:v>82.5</c:v>
                </c:pt>
                <c:pt idx="11">
                  <c:v>83</c:v>
                </c:pt>
                <c:pt idx="12">
                  <c:v>31</c:v>
                </c:pt>
                <c:pt idx="13">
                  <c:v>66</c:v>
                </c:pt>
                <c:pt idx="14">
                  <c:v>77</c:v>
                </c:pt>
                <c:pt idx="15">
                  <c:v>98</c:v>
                </c:pt>
                <c:pt idx="16">
                  <c:v>98</c:v>
                </c:pt>
                <c:pt idx="17">
                  <c:v>98.5</c:v>
                </c:pt>
                <c:pt idx="18">
                  <c:v>96.5</c:v>
                </c:pt>
                <c:pt idx="19">
                  <c:v>97</c:v>
                </c:pt>
                <c:pt idx="20">
                  <c:v>96.5</c:v>
                </c:pt>
                <c:pt idx="21">
                  <c:v>92</c:v>
                </c:pt>
                <c:pt idx="22">
                  <c:v>94</c:v>
                </c:pt>
                <c:pt idx="23">
                  <c:v>93.5</c:v>
                </c:pt>
                <c:pt idx="24">
                  <c:v>86</c:v>
                </c:pt>
                <c:pt idx="25">
                  <c:v>90</c:v>
                </c:pt>
                <c:pt idx="26">
                  <c:v>86</c:v>
                </c:pt>
                <c:pt idx="27">
                  <c:v>71</c:v>
                </c:pt>
                <c:pt idx="28">
                  <c:v>66</c:v>
                </c:pt>
                <c:pt idx="29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0-405C-BEDC-6FA73CFA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0469663"/>
        <c:axId val="930469183"/>
        <c:axId val="0"/>
      </c:bar3DChart>
      <c:catAx>
        <c:axId val="9304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69183"/>
        <c:crosses val="autoZero"/>
        <c:auto val="1"/>
        <c:lblAlgn val="ctr"/>
        <c:lblOffset val="100"/>
        <c:noMultiLvlLbl val="0"/>
      </c:catAx>
      <c:valAx>
        <c:axId val="9304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6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431224</xdr:colOff>
      <xdr:row>52</xdr:row>
      <xdr:rowOff>42741</xdr:rowOff>
    </xdr:from>
    <xdr:to>
      <xdr:col>24</xdr:col>
      <xdr:colOff>473923</xdr:colOff>
      <xdr:row>75</xdr:row>
      <xdr:rowOff>66390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E0BFFD-837B-DFD9-DFF2-733D98242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C803-D07F-4CB1-9C82-A6D69CC10FFE}">
  <dimension ref="A1:V52"/>
  <sheetViews>
    <sheetView topLeftCell="F1" zoomScaleNormal="100" workbookViewId="0">
      <selection activeCell="P11" sqref="P11"/>
    </sheetView>
  </sheetViews>
  <sheetFormatPr defaultColWidth="9.09765625" defaultRowHeight="9.6" x14ac:dyDescent="0.4"/>
  <cols>
    <col min="1" max="16384" width="9.09765625" style="7"/>
  </cols>
  <sheetData>
    <row r="1" spans="1:22" ht="10.199999999999999" thickBot="1" x14ac:dyDescent="0.45">
      <c r="M1" s="7" t="s">
        <v>61</v>
      </c>
      <c r="S1" s="8"/>
    </row>
    <row r="2" spans="1:22" s="38" customFormat="1" x14ac:dyDescent="0.4">
      <c r="A2" s="37"/>
      <c r="D2" s="38" t="s">
        <v>55</v>
      </c>
      <c r="H2" s="38" t="s">
        <v>56</v>
      </c>
      <c r="M2" s="38" t="s">
        <v>67</v>
      </c>
      <c r="O2" s="38" t="s">
        <v>68</v>
      </c>
      <c r="Q2" s="38" t="s">
        <v>69</v>
      </c>
      <c r="S2" s="39" t="s">
        <v>84</v>
      </c>
      <c r="T2" s="38" t="s">
        <v>64</v>
      </c>
    </row>
    <row r="3" spans="1:22" s="9" customFormat="1" ht="10.199999999999999" thickBot="1" x14ac:dyDescent="0.45">
      <c r="A3" s="40"/>
      <c r="C3" s="9" t="s">
        <v>0</v>
      </c>
      <c r="D3" s="9" t="s">
        <v>2</v>
      </c>
      <c r="E3" s="9" t="s">
        <v>72</v>
      </c>
      <c r="F3" s="9" t="s">
        <v>3</v>
      </c>
      <c r="G3" s="9" t="s">
        <v>73</v>
      </c>
      <c r="H3" s="9" t="s">
        <v>57</v>
      </c>
      <c r="I3" s="9" t="s">
        <v>58</v>
      </c>
      <c r="J3" s="9" t="s">
        <v>65</v>
      </c>
      <c r="K3" s="9" t="s">
        <v>59</v>
      </c>
      <c r="L3" s="9" t="s">
        <v>60</v>
      </c>
      <c r="M3" s="9" t="s">
        <v>70</v>
      </c>
      <c r="N3" s="33" t="s">
        <v>71</v>
      </c>
      <c r="O3" s="9" t="s">
        <v>70</v>
      </c>
      <c r="P3" s="33" t="s">
        <v>71</v>
      </c>
      <c r="Q3" s="9" t="s">
        <v>70</v>
      </c>
      <c r="R3" s="33" t="s">
        <v>71</v>
      </c>
      <c r="S3" s="10">
        <f>MAX(S4:S273)</f>
        <v>24970.315440258022</v>
      </c>
      <c r="T3" s="9" t="s">
        <v>62</v>
      </c>
      <c r="U3" s="9" t="s">
        <v>63</v>
      </c>
      <c r="V3" s="9" t="s">
        <v>66</v>
      </c>
    </row>
    <row r="4" spans="1:22" x14ac:dyDescent="0.4">
      <c r="A4" s="41"/>
      <c r="C4" s="7" t="s">
        <v>74</v>
      </c>
      <c r="D4" s="7">
        <v>0.26400000000000001</v>
      </c>
      <c r="E4" s="7">
        <v>0.155</v>
      </c>
      <c r="F4" s="7">
        <v>0.109</v>
      </c>
      <c r="G4" s="7">
        <v>7.5999999999999998E-2</v>
      </c>
      <c r="H4" s="7">
        <v>5971</v>
      </c>
      <c r="I4" s="7">
        <v>4621</v>
      </c>
      <c r="J4" s="7">
        <v>72</v>
      </c>
      <c r="K4" s="7">
        <v>6960</v>
      </c>
      <c r="L4" s="7">
        <v>6643</v>
      </c>
      <c r="M4" s="7">
        <v>76</v>
      </c>
      <c r="N4" s="34">
        <v>100</v>
      </c>
      <c r="O4" s="7">
        <v>92</v>
      </c>
      <c r="P4" s="34">
        <v>100</v>
      </c>
      <c r="Q4" s="7">
        <v>52</v>
      </c>
      <c r="R4" s="34">
        <v>100</v>
      </c>
      <c r="S4" s="8"/>
    </row>
    <row r="5" spans="1:22" x14ac:dyDescent="0.4">
      <c r="A5" s="41"/>
      <c r="C5" s="7" t="s">
        <v>75</v>
      </c>
      <c r="D5" s="7">
        <v>0.249</v>
      </c>
      <c r="E5" s="7">
        <v>0.14000000000000001</v>
      </c>
      <c r="F5" s="7">
        <v>0.109</v>
      </c>
      <c r="G5" s="7">
        <v>6.2E-2</v>
      </c>
      <c r="H5" s="7">
        <v>5979</v>
      </c>
      <c r="I5" s="7">
        <v>4557</v>
      </c>
      <c r="J5" s="7">
        <v>72</v>
      </c>
      <c r="K5" s="7">
        <v>6972</v>
      </c>
      <c r="L5" s="7">
        <v>6643</v>
      </c>
      <c r="M5" s="7">
        <v>89</v>
      </c>
      <c r="N5" s="34">
        <v>74</v>
      </c>
      <c r="O5" s="7">
        <v>86</v>
      </c>
      <c r="P5" s="34">
        <v>87</v>
      </c>
      <c r="Q5" s="7">
        <v>49</v>
      </c>
      <c r="R5" s="34">
        <v>87</v>
      </c>
      <c r="S5" s="42">
        <f>(M5*N5*O5*P5*Q5*R5)/(H5*I5*J5*(E5*G5))</f>
        <v>12336.585109807256</v>
      </c>
    </row>
    <row r="6" spans="1:22" x14ac:dyDescent="0.4">
      <c r="A6" s="41"/>
      <c r="C6" s="7" t="s">
        <v>76</v>
      </c>
      <c r="D6" s="7">
        <v>0.31</v>
      </c>
      <c r="E6" s="7">
        <v>0.2</v>
      </c>
      <c r="F6" s="7">
        <v>0.109</v>
      </c>
      <c r="G6" s="7">
        <v>5.2999999999999999E-2</v>
      </c>
      <c r="H6" s="7">
        <v>4692</v>
      </c>
      <c r="I6" s="7">
        <v>4253</v>
      </c>
      <c r="J6" s="7">
        <v>64</v>
      </c>
      <c r="K6" s="7">
        <v>5526</v>
      </c>
      <c r="L6" s="7">
        <v>6225</v>
      </c>
      <c r="M6" s="7">
        <v>83.5</v>
      </c>
      <c r="N6" s="34">
        <v>75.5</v>
      </c>
      <c r="O6" s="7">
        <v>84.5</v>
      </c>
      <c r="P6" s="34">
        <v>86.5</v>
      </c>
      <c r="Q6" s="7">
        <v>49</v>
      </c>
      <c r="R6" s="34">
        <v>84</v>
      </c>
      <c r="S6" s="42">
        <f t="shared" ref="S6:S13" si="0">(M6*N6*O6*P6*Q6*R6)/(H6*I6*J6*(E6*G6))</f>
        <v>14010.137067688784</v>
      </c>
    </row>
    <row r="7" spans="1:22" x14ac:dyDescent="0.4">
      <c r="A7" s="41"/>
      <c r="C7" s="7" t="s">
        <v>77</v>
      </c>
      <c r="D7" s="7">
        <v>0.28000000000000003</v>
      </c>
      <c r="E7" s="7">
        <v>0.17199999999999999</v>
      </c>
      <c r="F7" s="7">
        <v>0.108</v>
      </c>
      <c r="G7" s="7">
        <v>4.1000000000000002E-2</v>
      </c>
      <c r="H7" s="43">
        <v>3316</v>
      </c>
      <c r="I7" s="43">
        <v>3949</v>
      </c>
      <c r="J7" s="43">
        <v>56</v>
      </c>
      <c r="K7" s="7">
        <v>4118</v>
      </c>
      <c r="L7" s="7">
        <v>5903</v>
      </c>
      <c r="M7" s="7">
        <v>60</v>
      </c>
      <c r="N7" s="34">
        <v>56</v>
      </c>
      <c r="O7" s="7">
        <v>81</v>
      </c>
      <c r="P7" s="34">
        <v>82.5</v>
      </c>
      <c r="Q7" s="7">
        <v>49</v>
      </c>
      <c r="R7" s="34">
        <v>83</v>
      </c>
      <c r="S7" s="42">
        <f t="shared" si="0"/>
        <v>17658.362621092943</v>
      </c>
    </row>
    <row r="8" spans="1:22" s="11" customFormat="1" x14ac:dyDescent="0.4">
      <c r="A8" s="44"/>
      <c r="C8" s="11" t="s">
        <v>83</v>
      </c>
      <c r="D8" s="11">
        <v>0.255</v>
      </c>
      <c r="E8" s="11">
        <v>0.14799999999999999</v>
      </c>
      <c r="F8" s="11">
        <v>0.108</v>
      </c>
      <c r="G8" s="11">
        <v>3.2000000000000001E-2</v>
      </c>
      <c r="H8" s="29">
        <v>2732</v>
      </c>
      <c r="I8" s="29">
        <v>3645</v>
      </c>
      <c r="J8" s="29">
        <v>48</v>
      </c>
      <c r="K8" s="11">
        <v>3539</v>
      </c>
      <c r="L8" s="11">
        <v>5581</v>
      </c>
      <c r="M8" s="11">
        <v>32</v>
      </c>
      <c r="N8" s="35">
        <v>31</v>
      </c>
      <c r="O8" s="11">
        <v>65</v>
      </c>
      <c r="P8" s="35">
        <v>66</v>
      </c>
      <c r="Q8" s="11">
        <v>48.5</v>
      </c>
      <c r="R8" s="35">
        <v>77</v>
      </c>
      <c r="S8" s="42">
        <f t="shared" si="0"/>
        <v>7020.5359788100022</v>
      </c>
    </row>
    <row r="9" spans="1:22" x14ac:dyDescent="0.4">
      <c r="A9" s="41"/>
      <c r="C9" s="7" t="s">
        <v>78</v>
      </c>
      <c r="D9" s="12">
        <v>0.253</v>
      </c>
      <c r="E9" s="12">
        <v>0.14499999999999999</v>
      </c>
      <c r="F9" s="12">
        <v>0.109</v>
      </c>
      <c r="G9" s="12">
        <v>6.7000000000000004E-2</v>
      </c>
      <c r="H9" s="45">
        <v>5299</v>
      </c>
      <c r="I9" s="45">
        <v>4493</v>
      </c>
      <c r="J9" s="45">
        <v>72</v>
      </c>
      <c r="K9" s="12">
        <v>6292</v>
      </c>
      <c r="L9" s="12">
        <v>6515</v>
      </c>
      <c r="M9" s="12">
        <v>76</v>
      </c>
      <c r="N9" s="36">
        <v>98</v>
      </c>
      <c r="O9" s="12">
        <v>91</v>
      </c>
      <c r="P9" s="36">
        <v>98</v>
      </c>
      <c r="Q9" s="12">
        <v>52</v>
      </c>
      <c r="R9" s="36">
        <v>98.5</v>
      </c>
      <c r="S9" s="42">
        <f t="shared" si="0"/>
        <v>20428.71598759538</v>
      </c>
      <c r="T9" s="12">
        <v>1.6559999999999999</v>
      </c>
      <c r="U9" s="12">
        <v>6.7000000000000004E-2</v>
      </c>
      <c r="V9" s="12">
        <v>4.0199999999999996</v>
      </c>
    </row>
    <row r="10" spans="1:22" x14ac:dyDescent="0.4">
      <c r="A10" s="41"/>
      <c r="C10" s="7" t="s">
        <v>79</v>
      </c>
      <c r="D10" s="12">
        <v>0.251</v>
      </c>
      <c r="E10" s="12">
        <v>0.14299999999999999</v>
      </c>
      <c r="F10" s="12">
        <v>0.109</v>
      </c>
      <c r="G10" s="12">
        <v>6.5000000000000002E-2</v>
      </c>
      <c r="H10" s="46">
        <v>5612</v>
      </c>
      <c r="I10" s="46">
        <v>4429</v>
      </c>
      <c r="J10" s="46">
        <v>72</v>
      </c>
      <c r="K10" s="12">
        <v>6623</v>
      </c>
      <c r="L10" s="12">
        <v>6451</v>
      </c>
      <c r="M10" s="12">
        <v>75.5</v>
      </c>
      <c r="N10" s="36">
        <v>96.5</v>
      </c>
      <c r="O10" s="12">
        <v>90.5</v>
      </c>
      <c r="P10" s="36">
        <v>97</v>
      </c>
      <c r="Q10" s="12">
        <v>51</v>
      </c>
      <c r="R10" s="36">
        <v>96</v>
      </c>
      <c r="S10" s="42">
        <f t="shared" si="0"/>
        <v>18824.816626198684</v>
      </c>
      <c r="T10" s="12">
        <v>1.7030000000000001</v>
      </c>
      <c r="U10" s="12">
        <v>8.1000000000000003E-2</v>
      </c>
      <c r="V10" s="12">
        <v>4.0199999999999996</v>
      </c>
    </row>
    <row r="11" spans="1:22" x14ac:dyDescent="0.4">
      <c r="A11" s="41"/>
      <c r="C11" s="7" t="s">
        <v>80</v>
      </c>
      <c r="D11" s="12">
        <v>0.31</v>
      </c>
      <c r="E11" s="12">
        <v>0.20100000000000001</v>
      </c>
      <c r="F11" s="12">
        <v>0.109</v>
      </c>
      <c r="G11" s="12">
        <v>5.3999999999999999E-2</v>
      </c>
      <c r="H11" s="12">
        <v>4604</v>
      </c>
      <c r="I11" s="12">
        <v>4125</v>
      </c>
      <c r="J11" s="12">
        <v>64</v>
      </c>
      <c r="K11" s="12">
        <v>5425</v>
      </c>
      <c r="L11" s="12">
        <v>6097</v>
      </c>
      <c r="M11" s="12">
        <v>74.5</v>
      </c>
      <c r="N11" s="36">
        <v>92</v>
      </c>
      <c r="O11" s="12">
        <v>89.5</v>
      </c>
      <c r="P11" s="36">
        <v>94</v>
      </c>
      <c r="Q11" s="12">
        <v>50.5</v>
      </c>
      <c r="R11" s="36">
        <v>93.5</v>
      </c>
      <c r="S11" s="42">
        <f t="shared" si="0"/>
        <v>20638.062290868784</v>
      </c>
      <c r="T11" s="12">
        <v>1.5269999999999999</v>
      </c>
      <c r="U11" s="12">
        <v>0.08</v>
      </c>
      <c r="V11" s="12">
        <v>4.0199999999999996</v>
      </c>
    </row>
    <row r="12" spans="1:22" x14ac:dyDescent="0.4">
      <c r="A12" s="41"/>
      <c r="C12" s="7" t="s">
        <v>81</v>
      </c>
      <c r="D12" s="12">
        <v>0.28799999999999998</v>
      </c>
      <c r="E12" s="12">
        <v>0.18</v>
      </c>
      <c r="F12" s="12">
        <v>0.108</v>
      </c>
      <c r="G12" s="12">
        <v>4.8000000000000001E-2</v>
      </c>
      <c r="H12" s="12">
        <v>4542</v>
      </c>
      <c r="I12" s="12">
        <v>3821</v>
      </c>
      <c r="J12" s="12">
        <v>56</v>
      </c>
      <c r="K12" s="12">
        <v>5350</v>
      </c>
      <c r="L12" s="12">
        <v>5775</v>
      </c>
      <c r="M12" s="12">
        <v>72</v>
      </c>
      <c r="N12" s="36">
        <v>86</v>
      </c>
      <c r="O12" s="12">
        <v>87.5</v>
      </c>
      <c r="P12" s="36">
        <v>90</v>
      </c>
      <c r="Q12" s="12">
        <v>50</v>
      </c>
      <c r="R12" s="36">
        <v>86</v>
      </c>
      <c r="S12" s="42">
        <f t="shared" si="0"/>
        <v>24970.315440258022</v>
      </c>
      <c r="T12" s="12">
        <v>1.653</v>
      </c>
      <c r="U12" s="12">
        <v>7.9000000000000001E-2</v>
      </c>
      <c r="V12" s="12">
        <v>4.0199999999999996</v>
      </c>
    </row>
    <row r="13" spans="1:22" s="9" customFormat="1" ht="10.199999999999999" thickBot="1" x14ac:dyDescent="0.45">
      <c r="A13" s="40"/>
      <c r="C13" s="9" t="s">
        <v>82</v>
      </c>
      <c r="D13" s="47">
        <v>0.26300000000000001</v>
      </c>
      <c r="E13" s="47">
        <v>0.155</v>
      </c>
      <c r="F13" s="47">
        <v>0.108</v>
      </c>
      <c r="G13" s="47">
        <v>3.7999999999999999E-2</v>
      </c>
      <c r="H13" s="47">
        <v>3648</v>
      </c>
      <c r="I13" s="47">
        <v>3453</v>
      </c>
      <c r="J13" s="47">
        <v>48</v>
      </c>
      <c r="K13" s="47">
        <v>4447</v>
      </c>
      <c r="L13" s="47">
        <v>5389</v>
      </c>
      <c r="M13" s="47">
        <v>67</v>
      </c>
      <c r="N13" s="48">
        <v>71</v>
      </c>
      <c r="O13" s="47">
        <v>65.5</v>
      </c>
      <c r="P13" s="48">
        <v>66</v>
      </c>
      <c r="Q13" s="47">
        <v>48</v>
      </c>
      <c r="R13" s="48">
        <v>73.5</v>
      </c>
      <c r="S13" s="49">
        <f t="shared" si="0"/>
        <v>20372.251230043908</v>
      </c>
      <c r="T13" s="47">
        <v>2.0510000000000002</v>
      </c>
      <c r="U13" s="47">
        <v>7.9000000000000001E-2</v>
      </c>
      <c r="V13" s="47">
        <v>4.0199999999999996</v>
      </c>
    </row>
    <row r="20" spans="5:18" ht="19.2" x14ac:dyDescent="0.4">
      <c r="E20" s="17" t="s">
        <v>90</v>
      </c>
      <c r="F20" s="16" t="s">
        <v>102</v>
      </c>
      <c r="G20" s="16" t="s">
        <v>103</v>
      </c>
      <c r="H20" s="16" t="s">
        <v>58</v>
      </c>
      <c r="I20" s="30" t="s">
        <v>100</v>
      </c>
      <c r="J20" s="30" t="s">
        <v>101</v>
      </c>
      <c r="K20" s="31" t="s">
        <v>104</v>
      </c>
    </row>
    <row r="21" spans="5:18" x14ac:dyDescent="0.4">
      <c r="E21" s="18" t="s">
        <v>74</v>
      </c>
      <c r="F21" s="7">
        <v>7.5999999999999998E-2</v>
      </c>
      <c r="G21" s="7">
        <v>5971</v>
      </c>
      <c r="H21" s="7">
        <v>4621</v>
      </c>
      <c r="I21" s="7">
        <v>72</v>
      </c>
      <c r="J21" s="7">
        <v>0</v>
      </c>
      <c r="K21" s="14">
        <v>0</v>
      </c>
    </row>
    <row r="22" spans="5:18" ht="10.199999999999999" thickBot="1" x14ac:dyDescent="0.45">
      <c r="E22" s="18" t="s">
        <v>75</v>
      </c>
      <c r="F22" s="7">
        <v>6.2E-2</v>
      </c>
      <c r="G22" s="7">
        <v>5979</v>
      </c>
      <c r="H22" s="7">
        <v>4557</v>
      </c>
      <c r="I22" s="7">
        <v>72</v>
      </c>
      <c r="J22" s="7">
        <v>4.8209999999999997</v>
      </c>
      <c r="K22" s="14">
        <v>18.97</v>
      </c>
      <c r="M22" s="9" t="s">
        <v>0</v>
      </c>
      <c r="N22" s="9" t="s">
        <v>105</v>
      </c>
      <c r="O22" s="9" t="s">
        <v>0</v>
      </c>
      <c r="P22" s="9" t="s">
        <v>71</v>
      </c>
      <c r="Q22" s="9" t="s">
        <v>0</v>
      </c>
      <c r="R22" s="9" t="s">
        <v>71</v>
      </c>
    </row>
    <row r="23" spans="5:18" x14ac:dyDescent="0.4">
      <c r="E23" s="18" t="s">
        <v>76</v>
      </c>
      <c r="F23" s="7">
        <v>5.2999999999999999E-2</v>
      </c>
      <c r="G23" s="7">
        <v>4692</v>
      </c>
      <c r="H23" s="7">
        <v>4253</v>
      </c>
      <c r="I23" s="7">
        <v>64</v>
      </c>
      <c r="J23" s="7">
        <v>8.157</v>
      </c>
      <c r="K23" s="14">
        <v>33.549999999999997</v>
      </c>
      <c r="L23" s="18" t="s">
        <v>74</v>
      </c>
      <c r="M23" s="7" t="s">
        <v>91</v>
      </c>
      <c r="N23" s="7">
        <v>76</v>
      </c>
      <c r="O23" s="7" t="s">
        <v>75</v>
      </c>
      <c r="P23" s="7">
        <v>87</v>
      </c>
      <c r="Q23" s="7" t="s">
        <v>75</v>
      </c>
      <c r="R23" s="7">
        <v>87</v>
      </c>
    </row>
    <row r="24" spans="5:18" x14ac:dyDescent="0.4">
      <c r="E24" s="18" t="s">
        <v>77</v>
      </c>
      <c r="F24" s="7">
        <v>4.1000000000000002E-2</v>
      </c>
      <c r="G24" s="7">
        <v>3316</v>
      </c>
      <c r="H24" s="7">
        <v>3949</v>
      </c>
      <c r="I24" s="7">
        <v>56</v>
      </c>
      <c r="J24" s="7">
        <v>14.22</v>
      </c>
      <c r="K24" s="14">
        <v>61.02</v>
      </c>
      <c r="M24" s="7" t="s">
        <v>92</v>
      </c>
      <c r="N24" s="7">
        <v>92</v>
      </c>
      <c r="O24" s="7" t="s">
        <v>76</v>
      </c>
      <c r="P24" s="7">
        <v>86.5</v>
      </c>
      <c r="Q24" s="7" t="s">
        <v>76</v>
      </c>
      <c r="R24" s="7">
        <v>84</v>
      </c>
    </row>
    <row r="25" spans="5:18" x14ac:dyDescent="0.4">
      <c r="E25" s="18" t="s">
        <v>83</v>
      </c>
      <c r="F25" s="7">
        <v>3.2000000000000001E-2</v>
      </c>
      <c r="G25" s="7">
        <v>2732</v>
      </c>
      <c r="H25" s="7">
        <v>3645</v>
      </c>
      <c r="I25" s="7">
        <v>48</v>
      </c>
      <c r="J25" s="7">
        <v>17.309999999999999</v>
      </c>
      <c r="K25" s="14">
        <v>103.6</v>
      </c>
      <c r="M25" s="7" t="s">
        <v>93</v>
      </c>
      <c r="N25" s="7">
        <v>52</v>
      </c>
      <c r="O25" s="7" t="s">
        <v>77</v>
      </c>
      <c r="P25" s="7">
        <v>82.5</v>
      </c>
      <c r="Q25" s="7" t="s">
        <v>77</v>
      </c>
      <c r="R25" s="7">
        <v>83</v>
      </c>
    </row>
    <row r="26" spans="5:18" x14ac:dyDescent="0.4">
      <c r="E26" s="18" t="s">
        <v>78</v>
      </c>
      <c r="F26" s="12">
        <v>6.7000000000000004E-2</v>
      </c>
      <c r="G26" s="12">
        <v>5299</v>
      </c>
      <c r="H26" s="12">
        <v>4493</v>
      </c>
      <c r="I26" s="12">
        <v>72</v>
      </c>
      <c r="J26" s="7">
        <v>1.4239999999999999</v>
      </c>
      <c r="K26" s="14">
        <v>0.16200000000000001</v>
      </c>
      <c r="L26" s="7" t="s">
        <v>75</v>
      </c>
      <c r="M26" s="7" t="s">
        <v>91</v>
      </c>
      <c r="N26" s="7">
        <v>74</v>
      </c>
      <c r="O26" s="11" t="s">
        <v>83</v>
      </c>
      <c r="P26" s="11">
        <v>66</v>
      </c>
      <c r="Q26" s="11" t="s">
        <v>83</v>
      </c>
      <c r="R26" s="11">
        <v>77</v>
      </c>
    </row>
    <row r="27" spans="5:18" x14ac:dyDescent="0.4">
      <c r="E27" s="18" t="s">
        <v>79</v>
      </c>
      <c r="F27" s="12">
        <v>6.5000000000000002E-2</v>
      </c>
      <c r="G27" s="12">
        <v>5612</v>
      </c>
      <c r="H27" s="12">
        <v>4429</v>
      </c>
      <c r="I27" s="12">
        <v>72</v>
      </c>
      <c r="J27" s="7">
        <v>2.9569999999999999</v>
      </c>
      <c r="K27" s="14">
        <v>0.54600000000000004</v>
      </c>
      <c r="M27" s="7" t="s">
        <v>92</v>
      </c>
      <c r="N27" s="7">
        <v>87</v>
      </c>
      <c r="O27" s="7" t="s">
        <v>78</v>
      </c>
      <c r="P27" s="12">
        <v>98</v>
      </c>
      <c r="Q27" s="7" t="s">
        <v>78</v>
      </c>
      <c r="R27" s="12">
        <v>98.5</v>
      </c>
    </row>
    <row r="28" spans="5:18" x14ac:dyDescent="0.4">
      <c r="E28" s="18" t="s">
        <v>80</v>
      </c>
      <c r="F28" s="12">
        <v>5.3999999999999999E-2</v>
      </c>
      <c r="G28" s="12">
        <v>4604</v>
      </c>
      <c r="H28" s="12">
        <v>4125</v>
      </c>
      <c r="I28" s="12">
        <v>64</v>
      </c>
      <c r="J28" s="7">
        <v>5.88</v>
      </c>
      <c r="K28" s="14">
        <v>1.9730000000000001</v>
      </c>
      <c r="M28" s="7" t="s">
        <v>93</v>
      </c>
      <c r="N28" s="7">
        <v>87</v>
      </c>
      <c r="O28" s="7" t="s">
        <v>79</v>
      </c>
      <c r="P28" s="12">
        <v>97</v>
      </c>
      <c r="Q28" s="7" t="s">
        <v>79</v>
      </c>
      <c r="R28" s="12">
        <v>96</v>
      </c>
    </row>
    <row r="29" spans="5:18" x14ac:dyDescent="0.4">
      <c r="E29" s="18" t="s">
        <v>81</v>
      </c>
      <c r="F29" s="12">
        <v>4.8000000000000001E-2</v>
      </c>
      <c r="G29" s="12">
        <v>4542</v>
      </c>
      <c r="H29" s="12">
        <v>3821</v>
      </c>
      <c r="I29" s="12">
        <v>56</v>
      </c>
      <c r="J29" s="7">
        <v>9.3650000000000002</v>
      </c>
      <c r="K29" s="14">
        <v>4.3520000000000003</v>
      </c>
      <c r="L29" s="7" t="s">
        <v>76</v>
      </c>
      <c r="M29" s="7" t="s">
        <v>91</v>
      </c>
      <c r="N29" s="34">
        <v>75.5</v>
      </c>
      <c r="O29" s="7" t="s">
        <v>80</v>
      </c>
      <c r="P29" s="12">
        <v>94</v>
      </c>
      <c r="Q29" s="7" t="s">
        <v>80</v>
      </c>
      <c r="R29" s="12">
        <v>93.5</v>
      </c>
    </row>
    <row r="30" spans="5:18" x14ac:dyDescent="0.4">
      <c r="E30" s="19" t="s">
        <v>82</v>
      </c>
      <c r="F30" s="15">
        <v>3.7999999999999999E-2</v>
      </c>
      <c r="G30" s="15">
        <v>3648</v>
      </c>
      <c r="H30" s="15">
        <v>3453</v>
      </c>
      <c r="I30" s="15">
        <v>48</v>
      </c>
      <c r="J30" s="11">
        <v>17.309999999999999</v>
      </c>
      <c r="K30" s="32">
        <v>11.52</v>
      </c>
      <c r="M30" s="7" t="s">
        <v>92</v>
      </c>
      <c r="N30" s="34">
        <v>86.5</v>
      </c>
      <c r="O30" s="7" t="s">
        <v>81</v>
      </c>
      <c r="P30" s="12">
        <v>90</v>
      </c>
      <c r="Q30" s="7" t="s">
        <v>81</v>
      </c>
      <c r="R30" s="12">
        <v>86</v>
      </c>
    </row>
    <row r="31" spans="5:18" x14ac:dyDescent="0.4">
      <c r="M31" s="7" t="s">
        <v>93</v>
      </c>
      <c r="N31" s="34">
        <v>84</v>
      </c>
      <c r="O31" s="7" t="s">
        <v>82</v>
      </c>
      <c r="P31" s="12">
        <v>66</v>
      </c>
      <c r="Q31" s="7" t="s">
        <v>82</v>
      </c>
      <c r="R31" s="12">
        <v>73.5</v>
      </c>
    </row>
    <row r="32" spans="5:18" x14ac:dyDescent="0.4">
      <c r="L32" s="7" t="s">
        <v>77</v>
      </c>
      <c r="M32" s="7" t="s">
        <v>91</v>
      </c>
      <c r="N32" s="34">
        <v>56</v>
      </c>
    </row>
    <row r="33" spans="12:14" x14ac:dyDescent="0.4">
      <c r="M33" s="7" t="s">
        <v>92</v>
      </c>
      <c r="N33" s="34">
        <v>82.5</v>
      </c>
    </row>
    <row r="34" spans="12:14" x14ac:dyDescent="0.4">
      <c r="M34" s="7" t="s">
        <v>93</v>
      </c>
      <c r="N34" s="34">
        <v>83</v>
      </c>
    </row>
    <row r="35" spans="12:14" x14ac:dyDescent="0.4">
      <c r="L35" s="11" t="s">
        <v>83</v>
      </c>
      <c r="M35" s="7" t="s">
        <v>91</v>
      </c>
      <c r="N35" s="35">
        <v>31</v>
      </c>
    </row>
    <row r="36" spans="12:14" x14ac:dyDescent="0.4">
      <c r="M36" s="7" t="s">
        <v>92</v>
      </c>
      <c r="N36" s="35">
        <v>66</v>
      </c>
    </row>
    <row r="37" spans="12:14" x14ac:dyDescent="0.4">
      <c r="M37" s="7" t="s">
        <v>93</v>
      </c>
      <c r="N37" s="35">
        <v>77</v>
      </c>
    </row>
    <row r="38" spans="12:14" x14ac:dyDescent="0.4">
      <c r="L38" s="7" t="s">
        <v>78</v>
      </c>
      <c r="M38" s="7" t="s">
        <v>91</v>
      </c>
      <c r="N38" s="36">
        <v>98</v>
      </c>
    </row>
    <row r="39" spans="12:14" x14ac:dyDescent="0.4">
      <c r="M39" s="7" t="s">
        <v>92</v>
      </c>
      <c r="N39" s="36">
        <v>98</v>
      </c>
    </row>
    <row r="40" spans="12:14" x14ac:dyDescent="0.4">
      <c r="M40" s="7" t="s">
        <v>93</v>
      </c>
      <c r="N40" s="7">
        <v>98.5</v>
      </c>
    </row>
    <row r="41" spans="12:14" x14ac:dyDescent="0.4">
      <c r="L41" s="7" t="s">
        <v>79</v>
      </c>
      <c r="M41" s="7" t="s">
        <v>91</v>
      </c>
      <c r="N41" s="36">
        <v>96.5</v>
      </c>
    </row>
    <row r="42" spans="12:14" x14ac:dyDescent="0.4">
      <c r="M42" s="7" t="s">
        <v>92</v>
      </c>
      <c r="N42" s="7">
        <v>97</v>
      </c>
    </row>
    <row r="43" spans="12:14" x14ac:dyDescent="0.4">
      <c r="M43" s="7" t="s">
        <v>93</v>
      </c>
      <c r="N43" s="7">
        <v>96.5</v>
      </c>
    </row>
    <row r="44" spans="12:14" x14ac:dyDescent="0.4">
      <c r="L44" s="7" t="s">
        <v>80</v>
      </c>
      <c r="M44" s="7" t="s">
        <v>91</v>
      </c>
      <c r="N44" s="36">
        <v>92</v>
      </c>
    </row>
    <row r="45" spans="12:14" x14ac:dyDescent="0.4">
      <c r="M45" s="7" t="s">
        <v>92</v>
      </c>
      <c r="N45" s="36">
        <v>94</v>
      </c>
    </row>
    <row r="46" spans="12:14" x14ac:dyDescent="0.4">
      <c r="M46" s="7" t="s">
        <v>93</v>
      </c>
      <c r="N46" s="7">
        <v>93.5</v>
      </c>
    </row>
    <row r="47" spans="12:14" x14ac:dyDescent="0.4">
      <c r="L47" s="7" t="s">
        <v>81</v>
      </c>
      <c r="M47" s="7" t="s">
        <v>91</v>
      </c>
      <c r="N47" s="36">
        <v>86</v>
      </c>
    </row>
    <row r="48" spans="12:14" x14ac:dyDescent="0.4">
      <c r="M48" s="7" t="s">
        <v>92</v>
      </c>
      <c r="N48" s="36">
        <v>90</v>
      </c>
    </row>
    <row r="49" spans="12:14" x14ac:dyDescent="0.4">
      <c r="M49" s="7" t="s">
        <v>93</v>
      </c>
      <c r="N49" s="36">
        <v>86</v>
      </c>
    </row>
    <row r="50" spans="12:14" x14ac:dyDescent="0.4">
      <c r="L50" s="7" t="s">
        <v>82</v>
      </c>
      <c r="M50" s="7" t="s">
        <v>91</v>
      </c>
      <c r="N50" s="36">
        <v>71</v>
      </c>
    </row>
    <row r="51" spans="12:14" x14ac:dyDescent="0.4">
      <c r="M51" s="7" t="s">
        <v>92</v>
      </c>
      <c r="N51" s="7">
        <v>66</v>
      </c>
    </row>
    <row r="52" spans="12:14" x14ac:dyDescent="0.4">
      <c r="M52" s="7" t="s">
        <v>93</v>
      </c>
      <c r="N52" s="7">
        <v>73.5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F8E9-AF26-4D5E-AAB7-CCFF2114675B}">
  <dimension ref="C1:FD273"/>
  <sheetViews>
    <sheetView zoomScaleNormal="100" workbookViewId="0">
      <selection activeCell="FL16" sqref="FL16"/>
    </sheetView>
  </sheetViews>
  <sheetFormatPr defaultColWidth="8.796875" defaultRowHeight="9.6" x14ac:dyDescent="0.4"/>
  <cols>
    <col min="1" max="19" width="8.796875" style="1"/>
    <col min="20" max="20" width="8.796875" style="4"/>
    <col min="21" max="38" width="8.796875" style="1"/>
    <col min="39" max="39" width="8.796875" style="20"/>
    <col min="40" max="46" width="8.796875" style="1"/>
    <col min="47" max="47" width="8.796875" style="20"/>
    <col min="48" max="54" width="8.796875" style="1"/>
    <col min="55" max="55" width="8.796875" style="20"/>
    <col min="56" max="62" width="8.796875" style="1"/>
    <col min="63" max="63" width="8.796875" style="20"/>
    <col min="64" max="70" width="8.796875" style="1"/>
    <col min="71" max="71" width="8.796875" style="20"/>
    <col min="72" max="78" width="8.796875" style="1"/>
    <col min="79" max="79" width="8.796875" style="20"/>
    <col min="80" max="86" width="8.796875" style="1"/>
    <col min="87" max="87" width="8.796875" style="20"/>
    <col min="88" max="16384" width="8.796875" style="1"/>
  </cols>
  <sheetData>
    <row r="1" spans="3:160" x14ac:dyDescent="0.4">
      <c r="N1" s="1" t="s">
        <v>61</v>
      </c>
      <c r="X1" s="1">
        <f>MIN(X4:X273)</f>
        <v>1.6E-2</v>
      </c>
      <c r="Y1" s="1">
        <f t="shared" ref="Y1:AB1" si="0">MIN(Y4:Y273)</f>
        <v>3.5999999999999997E-2</v>
      </c>
      <c r="Z1" s="1">
        <f t="shared" si="0"/>
        <v>1.7000000000000001E-2</v>
      </c>
      <c r="AA1" s="1">
        <f t="shared" si="0"/>
        <v>1.4999999999999999E-2</v>
      </c>
      <c r="AB1" s="1">
        <f t="shared" si="0"/>
        <v>1.7000000000000001E-2</v>
      </c>
      <c r="AF1" s="1">
        <f>MAX(AF9,AF15,AF21,AF27,AF33,AF39,AF45,AF51,AF57,AF63,AF69,AF75,AF81,AF87,AF93,AF99,AF105,AF111,AF117,AF123,AF129,AF135,AF141,AF147,AF153,AF159,AF165,AF171,AF177,AF183,AF189,AF195,AF201,AF207,AF213,AF219,AF225,AF231,AF237,AF243,AF249,AF255,AF261,AF267,AF273)</f>
        <v>1894.5009048919126</v>
      </c>
      <c r="AG1" s="1">
        <f t="shared" ref="AG1:CQ1" si="1">MAX(AG9,AG15,AG21,AG27,AG33,AG39,AG45,AG51,AG57,AG63,AG69,AG75,AG81,AG87,AG93,AG99,AG105,AG111,AG117,AG123,AG129,AG135,AG141,AG147,AG153,AG159,AG165,AG171,AG177,AG183,AG189,AG195,AG201,AG207,AG213,AG219,AG225,AG231,AG237,AG243,AG249,AG255,AG261,AG267,AG273)</f>
        <v>1977.3352180818272</v>
      </c>
      <c r="AH1" s="1">
        <f t="shared" si="1"/>
        <v>2088.332447665849</v>
      </c>
      <c r="AI1" s="1">
        <f t="shared" si="1"/>
        <v>2574.8504758746431</v>
      </c>
      <c r="AJ1" s="1">
        <f t="shared" si="1"/>
        <v>2488.9731937545371</v>
      </c>
      <c r="AK1" s="1">
        <f t="shared" si="1"/>
        <v>2968.8262372291451</v>
      </c>
      <c r="AL1" s="1">
        <f t="shared" si="1"/>
        <v>3256.7392628462944</v>
      </c>
      <c r="AM1" s="1">
        <f t="shared" si="1"/>
        <v>3956.1930057503018</v>
      </c>
      <c r="AN1" s="1">
        <f t="shared" si="1"/>
        <v>2039.1718830836583</v>
      </c>
      <c r="AO1" s="1">
        <f t="shared" si="1"/>
        <v>2121.4453925814068</v>
      </c>
      <c r="AP1" s="1">
        <f t="shared" si="1"/>
        <v>2245.8176580508743</v>
      </c>
      <c r="AQ1" s="1">
        <f t="shared" si="1"/>
        <v>2749.2096313894444</v>
      </c>
      <c r="AR1" s="1">
        <f t="shared" si="1"/>
        <v>2643.8510109586423</v>
      </c>
      <c r="AS1" s="1">
        <f t="shared" si="1"/>
        <v>3136.1788622528825</v>
      </c>
      <c r="AT1" s="1">
        <f t="shared" si="1"/>
        <v>3382.1834504068429</v>
      </c>
      <c r="AU1" s="1">
        <f t="shared" si="1"/>
        <v>4027.7090217400792</v>
      </c>
      <c r="AV1" s="1">
        <f t="shared" si="1"/>
        <v>2207.7648340472679</v>
      </c>
      <c r="AW1" s="1">
        <f t="shared" si="1"/>
        <v>2299.3035883184871</v>
      </c>
      <c r="AX1" s="1">
        <f t="shared" si="1"/>
        <v>2428.992722103395</v>
      </c>
      <c r="AY1" s="1">
        <f t="shared" si="1"/>
        <v>2948.8978642093689</v>
      </c>
      <c r="AZ1" s="1">
        <f t="shared" si="1"/>
        <v>2819.2825197581255</v>
      </c>
      <c r="BA1" s="1">
        <f t="shared" si="1"/>
        <v>3323.5258937777662</v>
      </c>
      <c r="BB1" s="1">
        <f t="shared" si="1"/>
        <v>3517.6785873761055</v>
      </c>
      <c r="BC1" s="1">
        <f t="shared" si="1"/>
        <v>4101.858224765243</v>
      </c>
      <c r="BD1" s="1">
        <f t="shared" si="1"/>
        <v>2416.9738307794923</v>
      </c>
      <c r="BE1" s="1">
        <f t="shared" si="1"/>
        <v>2517.9987278357398</v>
      </c>
      <c r="BF1" s="1">
        <f t="shared" si="1"/>
        <v>2644.7018802236648</v>
      </c>
      <c r="BG1" s="1">
        <f t="shared" si="1"/>
        <v>3179.8667839449763</v>
      </c>
      <c r="BH1" s="1">
        <f t="shared" si="1"/>
        <v>3019.6499960888523</v>
      </c>
      <c r="BI1" s="1">
        <f t="shared" si="1"/>
        <v>3534.6782232890887</v>
      </c>
      <c r="BJ1" s="1">
        <f t="shared" si="1"/>
        <v>3664.4830527255112</v>
      </c>
      <c r="BK1" s="1">
        <f t="shared" si="1"/>
        <v>4178.7887714712288</v>
      </c>
      <c r="BL1" s="1">
        <f t="shared" si="1"/>
        <v>2686.5593734433587</v>
      </c>
      <c r="BM1" s="1">
        <f t="shared" si="1"/>
        <v>2782.6684610599682</v>
      </c>
      <c r="BN1" s="1">
        <f t="shared" si="1"/>
        <v>2902.4575629322412</v>
      </c>
      <c r="BO1" s="1">
        <f t="shared" si="1"/>
        <v>3450.0910653722872</v>
      </c>
      <c r="BP1" s="1">
        <f t="shared" si="1"/>
        <v>3250.6768293711521</v>
      </c>
      <c r="BQ1" s="1">
        <f t="shared" si="1"/>
        <v>3774.4809094092357</v>
      </c>
      <c r="BR1" s="1">
        <f t="shared" si="1"/>
        <v>3824.0744393697205</v>
      </c>
      <c r="BS1" s="1">
        <f t="shared" si="1"/>
        <v>4258.6601456851195</v>
      </c>
      <c r="BT1" s="1">
        <f t="shared" si="1"/>
        <v>3023.8330610184989</v>
      </c>
      <c r="BU1" s="1">
        <f t="shared" si="1"/>
        <v>3109.5129302881264</v>
      </c>
      <c r="BV1" s="1">
        <f t="shared" si="1"/>
        <v>3215.8810206729736</v>
      </c>
      <c r="BW1" s="1">
        <f t="shared" si="1"/>
        <v>3770.507878844151</v>
      </c>
      <c r="BX1" s="1">
        <f t="shared" si="1"/>
        <v>3519.9830532920441</v>
      </c>
      <c r="BY1" s="1">
        <f t="shared" si="1"/>
        <v>4049.1895138997315</v>
      </c>
      <c r="BZ1" s="1">
        <f t="shared" si="1"/>
        <v>3998.1994624954823</v>
      </c>
      <c r="CA1" s="1">
        <f t="shared" si="1"/>
        <v>4341.6442620211528</v>
      </c>
      <c r="CB1" s="1">
        <f t="shared" si="1"/>
        <v>3457.9477083924421</v>
      </c>
      <c r="CC1" s="1">
        <f t="shared" si="1"/>
        <v>3523.3565553355529</v>
      </c>
      <c r="CD1" s="1">
        <f t="shared" si="1"/>
        <v>3605.1893527497973</v>
      </c>
      <c r="CE1" s="1">
        <f t="shared" si="1"/>
        <v>4156.5333953899035</v>
      </c>
      <c r="CF1" s="1">
        <f t="shared" si="1"/>
        <v>3837.941962061941</v>
      </c>
      <c r="CG1" s="1">
        <f t="shared" si="1"/>
        <v>4367.0236767444412</v>
      </c>
      <c r="CH1" s="1">
        <f t="shared" si="1"/>
        <v>4188.9381534948916</v>
      </c>
      <c r="CI1" s="1">
        <f t="shared" si="1"/>
        <v>4427.9267010793865</v>
      </c>
      <c r="CJ1" s="1">
        <f t="shared" si="1"/>
        <v>4037.6036826316376</v>
      </c>
      <c r="CK1" s="1">
        <f t="shared" si="1"/>
        <v>4064.2681005165291</v>
      </c>
      <c r="CL1" s="1">
        <f t="shared" si="1"/>
        <v>4101.7377908645194</v>
      </c>
      <c r="CM1" s="1">
        <f t="shared" si="1"/>
        <v>4630.6171042810383</v>
      </c>
      <c r="CN1" s="1">
        <f t="shared" si="1"/>
        <v>4219.047095284328</v>
      </c>
      <c r="CO1" s="1">
        <f t="shared" si="1"/>
        <v>4739.0036099954086</v>
      </c>
      <c r="CP1" s="1">
        <f t="shared" si="1"/>
        <v>4398.7873490681268</v>
      </c>
      <c r="CQ1" s="1">
        <f t="shared" si="1"/>
        <v>4517.7080949149386</v>
      </c>
      <c r="CS1" s="1">
        <f>MAX(CS9,CS15,CS21,CS27,CS33,CS39,CS45,CS51,CS57,CS63,CS69,CS75,CS81,CS87,CS93,CS99,CS105,CS111,CS117,CS123,CS129,CS135,CS141,CS147,CS153,CS159,CS165,CS171,CS177,CS183,CS189,CS195,CS201,CS207,CS213,CS219,CS225,CS231,CS237,CS243,CS249,CS255,CS261,CS267,CS273)</f>
        <v>100</v>
      </c>
    </row>
    <row r="2" spans="3:160" ht="10.199999999999999" thickBot="1" x14ac:dyDescent="0.45">
      <c r="E2" s="1" t="s">
        <v>55</v>
      </c>
      <c r="I2" s="1" t="s">
        <v>86</v>
      </c>
      <c r="N2" s="1" t="s">
        <v>67</v>
      </c>
      <c r="P2" s="1" t="s">
        <v>68</v>
      </c>
      <c r="R2" s="1" t="s">
        <v>69</v>
      </c>
      <c r="T2" s="4" t="s">
        <v>85</v>
      </c>
      <c r="U2" s="1" t="s">
        <v>64</v>
      </c>
      <c r="X2" s="1" t="s">
        <v>87</v>
      </c>
      <c r="AC2" s="1">
        <f>MIN(AC4:AC273)</f>
        <v>3835.4483979234778</v>
      </c>
      <c r="AD2" s="3" t="s">
        <v>89</v>
      </c>
      <c r="AE2" s="1" t="s">
        <v>95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20">
        <v>0</v>
      </c>
      <c r="AN2" s="1">
        <v>0.125</v>
      </c>
      <c r="AO2" s="1">
        <v>0.125</v>
      </c>
      <c r="AP2" s="1">
        <v>0.125</v>
      </c>
      <c r="AQ2" s="1">
        <v>0.125</v>
      </c>
      <c r="AR2" s="1">
        <v>0.125</v>
      </c>
      <c r="AS2" s="1">
        <v>0.125</v>
      </c>
      <c r="AT2" s="1">
        <v>0.125</v>
      </c>
      <c r="AU2" s="20">
        <v>0.125</v>
      </c>
      <c r="AV2" s="1">
        <f>AN2+0.125</f>
        <v>0.25</v>
      </c>
      <c r="AW2" s="1">
        <f t="shared" ref="AW2:CE2" si="2">AO2+0.125</f>
        <v>0.25</v>
      </c>
      <c r="AX2" s="1">
        <f t="shared" si="2"/>
        <v>0.25</v>
      </c>
      <c r="AY2" s="1">
        <f t="shared" si="2"/>
        <v>0.25</v>
      </c>
      <c r="AZ2" s="1">
        <f t="shared" si="2"/>
        <v>0.25</v>
      </c>
      <c r="BA2" s="1">
        <f t="shared" si="2"/>
        <v>0.25</v>
      </c>
      <c r="BB2" s="1">
        <f t="shared" si="2"/>
        <v>0.25</v>
      </c>
      <c r="BC2" s="20">
        <f t="shared" si="2"/>
        <v>0.25</v>
      </c>
      <c r="BD2" s="1">
        <f t="shared" si="2"/>
        <v>0.375</v>
      </c>
      <c r="BE2" s="1">
        <f t="shared" si="2"/>
        <v>0.375</v>
      </c>
      <c r="BF2" s="1">
        <f t="shared" si="2"/>
        <v>0.375</v>
      </c>
      <c r="BG2" s="1">
        <f t="shared" si="2"/>
        <v>0.375</v>
      </c>
      <c r="BH2" s="1">
        <f t="shared" si="2"/>
        <v>0.375</v>
      </c>
      <c r="BI2" s="1">
        <f t="shared" si="2"/>
        <v>0.375</v>
      </c>
      <c r="BJ2" s="1">
        <f t="shared" si="2"/>
        <v>0.375</v>
      </c>
      <c r="BK2" s="20">
        <f t="shared" si="2"/>
        <v>0.375</v>
      </c>
      <c r="BL2" s="1">
        <f t="shared" si="2"/>
        <v>0.5</v>
      </c>
      <c r="BM2" s="1">
        <f t="shared" si="2"/>
        <v>0.5</v>
      </c>
      <c r="BN2" s="1">
        <f t="shared" si="2"/>
        <v>0.5</v>
      </c>
      <c r="BO2" s="1">
        <f t="shared" si="2"/>
        <v>0.5</v>
      </c>
      <c r="BP2" s="1">
        <f t="shared" si="2"/>
        <v>0.5</v>
      </c>
      <c r="BQ2" s="1">
        <f t="shared" si="2"/>
        <v>0.5</v>
      </c>
      <c r="BR2" s="1">
        <f t="shared" si="2"/>
        <v>0.5</v>
      </c>
      <c r="BS2" s="20">
        <f t="shared" si="2"/>
        <v>0.5</v>
      </c>
      <c r="BT2" s="1">
        <f t="shared" si="2"/>
        <v>0.625</v>
      </c>
      <c r="BU2" s="1">
        <f t="shared" si="2"/>
        <v>0.625</v>
      </c>
      <c r="BV2" s="1">
        <f t="shared" si="2"/>
        <v>0.625</v>
      </c>
      <c r="BW2" s="1">
        <f t="shared" si="2"/>
        <v>0.625</v>
      </c>
      <c r="BX2" s="1">
        <f t="shared" si="2"/>
        <v>0.625</v>
      </c>
      <c r="BY2" s="1">
        <f t="shared" si="2"/>
        <v>0.625</v>
      </c>
      <c r="BZ2" s="1">
        <f t="shared" si="2"/>
        <v>0.625</v>
      </c>
      <c r="CA2" s="20">
        <f t="shared" si="2"/>
        <v>0.625</v>
      </c>
      <c r="CB2" s="1">
        <f t="shared" si="2"/>
        <v>0.75</v>
      </c>
      <c r="CC2" s="1">
        <f t="shared" si="2"/>
        <v>0.75</v>
      </c>
      <c r="CD2" s="1">
        <f t="shared" si="2"/>
        <v>0.75</v>
      </c>
      <c r="CE2" s="1">
        <f t="shared" si="2"/>
        <v>0.75</v>
      </c>
      <c r="CF2" s="1">
        <f>BX2+0.125</f>
        <v>0.75</v>
      </c>
      <c r="CG2" s="1">
        <f t="shared" ref="CG2" si="3">BY2+0.125</f>
        <v>0.75</v>
      </c>
      <c r="CH2" s="1">
        <f t="shared" ref="CH2" si="4">BZ2+0.125</f>
        <v>0.75</v>
      </c>
      <c r="CI2" s="20">
        <f t="shared" ref="CI2" si="5">CA2+0.125</f>
        <v>0.75</v>
      </c>
      <c r="CJ2" s="1">
        <f t="shared" ref="CJ2" si="6">CB2+0.125</f>
        <v>0.875</v>
      </c>
      <c r="CK2" s="1">
        <f t="shared" ref="CK2" si="7">CC2+0.125</f>
        <v>0.875</v>
      </c>
      <c r="CL2" s="1">
        <f t="shared" ref="CL2" si="8">CD2+0.125</f>
        <v>0.875</v>
      </c>
      <c r="CM2" s="1">
        <f t="shared" ref="CM2" si="9">CE2+0.125</f>
        <v>0.875</v>
      </c>
      <c r="CN2" s="1">
        <f t="shared" ref="CN2" si="10">CF2+0.125</f>
        <v>0.875</v>
      </c>
      <c r="CO2" s="1">
        <f t="shared" ref="CO2" si="11">CG2+0.125</f>
        <v>0.875</v>
      </c>
      <c r="CP2" s="1">
        <f>CH2+0.125</f>
        <v>0.875</v>
      </c>
      <c r="CQ2" s="1">
        <f t="shared" ref="CQ2" si="12">CI2+0.125</f>
        <v>0.875</v>
      </c>
      <c r="CR2" s="1" t="s">
        <v>95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20">
        <v>0</v>
      </c>
      <c r="DA2" s="1">
        <v>0.125</v>
      </c>
      <c r="DB2" s="1">
        <v>0.125</v>
      </c>
      <c r="DC2" s="1">
        <v>0.125</v>
      </c>
      <c r="DD2" s="1">
        <v>0.125</v>
      </c>
      <c r="DE2" s="1">
        <v>0.125</v>
      </c>
      <c r="DF2" s="1">
        <v>0.125</v>
      </c>
      <c r="DG2" s="1">
        <v>0.125</v>
      </c>
      <c r="DH2" s="20">
        <v>0.125</v>
      </c>
      <c r="DI2" s="1">
        <f>DA2+0.125</f>
        <v>0.25</v>
      </c>
      <c r="DJ2" s="1">
        <f t="shared" ref="DJ2" si="13">DB2+0.125</f>
        <v>0.25</v>
      </c>
      <c r="DK2" s="1">
        <f t="shared" ref="DK2" si="14">DC2+0.125</f>
        <v>0.25</v>
      </c>
      <c r="DL2" s="1">
        <f t="shared" ref="DL2" si="15">DD2+0.125</f>
        <v>0.25</v>
      </c>
      <c r="DM2" s="1">
        <f t="shared" ref="DM2" si="16">DE2+0.125</f>
        <v>0.25</v>
      </c>
      <c r="DN2" s="1">
        <f t="shared" ref="DN2" si="17">DF2+0.125</f>
        <v>0.25</v>
      </c>
      <c r="DO2" s="1">
        <f t="shared" ref="DO2" si="18">DG2+0.125</f>
        <v>0.25</v>
      </c>
      <c r="DP2" s="20">
        <f t="shared" ref="DP2" si="19">DH2+0.125</f>
        <v>0.25</v>
      </c>
      <c r="DQ2" s="1">
        <f t="shared" ref="DQ2" si="20">DI2+0.125</f>
        <v>0.375</v>
      </c>
      <c r="DR2" s="1">
        <f t="shared" ref="DR2" si="21">DJ2+0.125</f>
        <v>0.375</v>
      </c>
      <c r="DS2" s="1">
        <f t="shared" ref="DS2" si="22">DK2+0.125</f>
        <v>0.375</v>
      </c>
      <c r="DT2" s="1">
        <f t="shared" ref="DT2" si="23">DL2+0.125</f>
        <v>0.375</v>
      </c>
      <c r="DU2" s="1">
        <f t="shared" ref="DU2" si="24">DM2+0.125</f>
        <v>0.375</v>
      </c>
      <c r="DV2" s="1">
        <f t="shared" ref="DV2" si="25">DN2+0.125</f>
        <v>0.375</v>
      </c>
      <c r="DW2" s="1">
        <f t="shared" ref="DW2" si="26">DO2+0.125</f>
        <v>0.375</v>
      </c>
      <c r="DX2" s="20">
        <f t="shared" ref="DX2" si="27">DP2+0.125</f>
        <v>0.375</v>
      </c>
      <c r="DY2" s="1">
        <f t="shared" ref="DY2" si="28">DQ2+0.125</f>
        <v>0.5</v>
      </c>
      <c r="DZ2" s="1">
        <f t="shared" ref="DZ2" si="29">DR2+0.125</f>
        <v>0.5</v>
      </c>
      <c r="EA2" s="1">
        <f t="shared" ref="EA2" si="30">DS2+0.125</f>
        <v>0.5</v>
      </c>
      <c r="EB2" s="1">
        <f t="shared" ref="EB2" si="31">DT2+0.125</f>
        <v>0.5</v>
      </c>
      <c r="EC2" s="1">
        <f t="shared" ref="EC2" si="32">DU2+0.125</f>
        <v>0.5</v>
      </c>
      <c r="ED2" s="1">
        <f t="shared" ref="ED2" si="33">DV2+0.125</f>
        <v>0.5</v>
      </c>
      <c r="EE2" s="1">
        <f t="shared" ref="EE2" si="34">DW2+0.125</f>
        <v>0.5</v>
      </c>
      <c r="EF2" s="20">
        <f t="shared" ref="EF2" si="35">DX2+0.125</f>
        <v>0.5</v>
      </c>
      <c r="EG2" s="1">
        <f t="shared" ref="EG2" si="36">DY2+0.125</f>
        <v>0.625</v>
      </c>
      <c r="EH2" s="1">
        <f t="shared" ref="EH2" si="37">DZ2+0.125</f>
        <v>0.625</v>
      </c>
      <c r="EI2" s="1">
        <f t="shared" ref="EI2" si="38">EA2+0.125</f>
        <v>0.625</v>
      </c>
      <c r="EJ2" s="1">
        <f t="shared" ref="EJ2" si="39">EB2+0.125</f>
        <v>0.625</v>
      </c>
      <c r="EK2" s="1">
        <f t="shared" ref="EK2" si="40">EC2+0.125</f>
        <v>0.625</v>
      </c>
      <c r="EL2" s="1">
        <f t="shared" ref="EL2" si="41">ED2+0.125</f>
        <v>0.625</v>
      </c>
      <c r="EM2" s="1">
        <f t="shared" ref="EM2" si="42">EE2+0.125</f>
        <v>0.625</v>
      </c>
      <c r="EN2" s="20">
        <f t="shared" ref="EN2" si="43">EF2+0.125</f>
        <v>0.625</v>
      </c>
      <c r="EO2" s="1">
        <f t="shared" ref="EO2" si="44">EG2+0.125</f>
        <v>0.75</v>
      </c>
      <c r="EP2" s="1">
        <f t="shared" ref="EP2" si="45">EH2+0.125</f>
        <v>0.75</v>
      </c>
      <c r="EQ2" s="1">
        <f t="shared" ref="EQ2" si="46">EI2+0.125</f>
        <v>0.75</v>
      </c>
      <c r="ER2" s="1">
        <f t="shared" ref="ER2" si="47">EJ2+0.125</f>
        <v>0.75</v>
      </c>
      <c r="ES2" s="1">
        <f>EK2+0.125</f>
        <v>0.75</v>
      </c>
      <c r="ET2" s="1">
        <f t="shared" ref="ET2" si="48">EL2+0.125</f>
        <v>0.75</v>
      </c>
      <c r="EU2" s="1">
        <f t="shared" ref="EU2" si="49">EM2+0.125</f>
        <v>0.75</v>
      </c>
      <c r="EV2" s="20">
        <f t="shared" ref="EV2" si="50">EN2+0.125</f>
        <v>0.75</v>
      </c>
      <c r="EW2" s="1">
        <f t="shared" ref="EW2" si="51">EO2+0.125</f>
        <v>0.875</v>
      </c>
      <c r="EX2" s="1">
        <f t="shared" ref="EX2" si="52">EP2+0.125</f>
        <v>0.875</v>
      </c>
      <c r="EY2" s="1">
        <f t="shared" ref="EY2" si="53">EQ2+0.125</f>
        <v>0.875</v>
      </c>
      <c r="EZ2" s="1">
        <f t="shared" ref="EZ2" si="54">ER2+0.125</f>
        <v>0.875</v>
      </c>
      <c r="FA2" s="1">
        <f t="shared" ref="FA2" si="55">ES2+0.125</f>
        <v>0.875</v>
      </c>
      <c r="FB2" s="1">
        <f t="shared" ref="FB2" si="56">ET2+0.125</f>
        <v>0.875</v>
      </c>
      <c r="FC2" s="1">
        <f>EU2+0.125</f>
        <v>0.875</v>
      </c>
      <c r="FD2" s="1">
        <f t="shared" ref="FD2" si="57">EV2+0.125</f>
        <v>0.875</v>
      </c>
    </row>
    <row r="3" spans="3:160" s="3" customFormat="1" ht="10.199999999999999" thickBot="1" x14ac:dyDescent="0.45">
      <c r="C3" s="3" t="s">
        <v>0</v>
      </c>
      <c r="D3" s="3" t="s">
        <v>1</v>
      </c>
      <c r="E3" s="3" t="s">
        <v>2</v>
      </c>
      <c r="F3" s="3" t="s">
        <v>72</v>
      </c>
      <c r="G3" s="3" t="s">
        <v>3</v>
      </c>
      <c r="H3" s="3" t="s">
        <v>73</v>
      </c>
      <c r="I3" s="3" t="s">
        <v>57</v>
      </c>
      <c r="J3" s="3" t="s">
        <v>58</v>
      </c>
      <c r="K3" s="3" t="s">
        <v>65</v>
      </c>
      <c r="L3" s="3" t="s">
        <v>59</v>
      </c>
      <c r="M3" s="3" t="s">
        <v>60</v>
      </c>
      <c r="N3" s="3" t="s">
        <v>70</v>
      </c>
      <c r="O3" s="3" t="s">
        <v>71</v>
      </c>
      <c r="P3" s="3" t="s">
        <v>70</v>
      </c>
      <c r="Q3" s="3" t="s">
        <v>71</v>
      </c>
      <c r="R3" s="3" t="s">
        <v>70</v>
      </c>
      <c r="S3" s="3" t="s">
        <v>71</v>
      </c>
      <c r="T3" s="5">
        <f>MAX(T4:T273)</f>
        <v>8255.9960825874605</v>
      </c>
      <c r="U3" s="3" t="s">
        <v>62</v>
      </c>
      <c r="V3" s="3" t="s">
        <v>63</v>
      </c>
      <c r="W3" s="3" t="s">
        <v>66</v>
      </c>
      <c r="X3" s="3" t="s">
        <v>6</v>
      </c>
      <c r="Y3" s="3" t="s">
        <v>7</v>
      </c>
      <c r="Z3" s="3" t="s">
        <v>8</v>
      </c>
      <c r="AA3" s="3" t="s">
        <v>9</v>
      </c>
      <c r="AB3" s="3" t="s">
        <v>10</v>
      </c>
      <c r="AC3" s="13" t="s">
        <v>88</v>
      </c>
      <c r="AE3" s="3" t="s">
        <v>94</v>
      </c>
      <c r="AF3" s="3">
        <v>0</v>
      </c>
      <c r="AG3" s="3">
        <v>0.125</v>
      </c>
      <c r="AH3" s="3">
        <v>0.25</v>
      </c>
      <c r="AI3" s="3">
        <v>0.375</v>
      </c>
      <c r="AJ3" s="3">
        <v>0.5</v>
      </c>
      <c r="AK3" s="3">
        <v>0.625</v>
      </c>
      <c r="AL3" s="3">
        <v>0.75</v>
      </c>
      <c r="AM3" s="21">
        <v>0.875</v>
      </c>
      <c r="AN3" s="9">
        <f>AF3</f>
        <v>0</v>
      </c>
      <c r="AO3" s="9">
        <f t="shared" ref="AO3:CQ3" si="58">AG3</f>
        <v>0.125</v>
      </c>
      <c r="AP3" s="9">
        <f t="shared" si="58"/>
        <v>0.25</v>
      </c>
      <c r="AQ3" s="9">
        <f t="shared" si="58"/>
        <v>0.375</v>
      </c>
      <c r="AR3" s="9">
        <f t="shared" si="58"/>
        <v>0.5</v>
      </c>
      <c r="AS3" s="9">
        <f t="shared" si="58"/>
        <v>0.625</v>
      </c>
      <c r="AT3" s="9">
        <f t="shared" si="58"/>
        <v>0.75</v>
      </c>
      <c r="AU3" s="22">
        <f t="shared" si="58"/>
        <v>0.875</v>
      </c>
      <c r="AV3" s="9">
        <f t="shared" si="58"/>
        <v>0</v>
      </c>
      <c r="AW3" s="9">
        <f t="shared" si="58"/>
        <v>0.125</v>
      </c>
      <c r="AX3" s="9">
        <f t="shared" si="58"/>
        <v>0.25</v>
      </c>
      <c r="AY3" s="9">
        <f t="shared" si="58"/>
        <v>0.375</v>
      </c>
      <c r="AZ3" s="9">
        <f t="shared" si="58"/>
        <v>0.5</v>
      </c>
      <c r="BA3" s="9">
        <f t="shared" si="58"/>
        <v>0.625</v>
      </c>
      <c r="BB3" s="9">
        <f t="shared" si="58"/>
        <v>0.75</v>
      </c>
      <c r="BC3" s="22">
        <f t="shared" si="58"/>
        <v>0.875</v>
      </c>
      <c r="BD3" s="9">
        <f t="shared" si="58"/>
        <v>0</v>
      </c>
      <c r="BE3" s="9">
        <f t="shared" si="58"/>
        <v>0.125</v>
      </c>
      <c r="BF3" s="9">
        <f t="shared" si="58"/>
        <v>0.25</v>
      </c>
      <c r="BG3" s="9">
        <f t="shared" si="58"/>
        <v>0.375</v>
      </c>
      <c r="BH3" s="9">
        <f t="shared" si="58"/>
        <v>0.5</v>
      </c>
      <c r="BI3" s="9">
        <f t="shared" si="58"/>
        <v>0.625</v>
      </c>
      <c r="BJ3" s="9">
        <f t="shared" si="58"/>
        <v>0.75</v>
      </c>
      <c r="BK3" s="22">
        <f t="shared" si="58"/>
        <v>0.875</v>
      </c>
      <c r="BL3" s="9">
        <f t="shared" si="58"/>
        <v>0</v>
      </c>
      <c r="BM3" s="9">
        <f t="shared" si="58"/>
        <v>0.125</v>
      </c>
      <c r="BN3" s="9">
        <f t="shared" si="58"/>
        <v>0.25</v>
      </c>
      <c r="BO3" s="9">
        <f t="shared" si="58"/>
        <v>0.375</v>
      </c>
      <c r="BP3" s="9">
        <f t="shared" si="58"/>
        <v>0.5</v>
      </c>
      <c r="BQ3" s="9">
        <f t="shared" si="58"/>
        <v>0.625</v>
      </c>
      <c r="BR3" s="9">
        <f t="shared" si="58"/>
        <v>0.75</v>
      </c>
      <c r="BS3" s="22">
        <f t="shared" si="58"/>
        <v>0.875</v>
      </c>
      <c r="BT3" s="9">
        <f t="shared" si="58"/>
        <v>0</v>
      </c>
      <c r="BU3" s="9">
        <f t="shared" si="58"/>
        <v>0.125</v>
      </c>
      <c r="BV3" s="9">
        <f t="shared" si="58"/>
        <v>0.25</v>
      </c>
      <c r="BW3" s="9">
        <f t="shared" si="58"/>
        <v>0.375</v>
      </c>
      <c r="BX3" s="9">
        <f t="shared" si="58"/>
        <v>0.5</v>
      </c>
      <c r="BY3" s="9">
        <f t="shared" si="58"/>
        <v>0.625</v>
      </c>
      <c r="BZ3" s="9">
        <f t="shared" si="58"/>
        <v>0.75</v>
      </c>
      <c r="CA3" s="22">
        <f t="shared" si="58"/>
        <v>0.875</v>
      </c>
      <c r="CB3" s="9">
        <f t="shared" si="58"/>
        <v>0</v>
      </c>
      <c r="CC3" s="9">
        <f t="shared" si="58"/>
        <v>0.125</v>
      </c>
      <c r="CD3" s="9">
        <f t="shared" si="58"/>
        <v>0.25</v>
      </c>
      <c r="CE3" s="9">
        <f t="shared" si="58"/>
        <v>0.375</v>
      </c>
      <c r="CF3" s="9">
        <f t="shared" si="58"/>
        <v>0.5</v>
      </c>
      <c r="CG3" s="9">
        <f t="shared" si="58"/>
        <v>0.625</v>
      </c>
      <c r="CH3" s="9">
        <f t="shared" si="58"/>
        <v>0.75</v>
      </c>
      <c r="CI3" s="22">
        <f t="shared" si="58"/>
        <v>0.875</v>
      </c>
      <c r="CJ3" s="9">
        <f t="shared" si="58"/>
        <v>0</v>
      </c>
      <c r="CK3" s="9">
        <f t="shared" si="58"/>
        <v>0.125</v>
      </c>
      <c r="CL3" s="9">
        <f t="shared" si="58"/>
        <v>0.25</v>
      </c>
      <c r="CM3" s="9">
        <f t="shared" si="58"/>
        <v>0.375</v>
      </c>
      <c r="CN3" s="9">
        <f t="shared" si="58"/>
        <v>0.5</v>
      </c>
      <c r="CO3" s="9">
        <f t="shared" si="58"/>
        <v>0.625</v>
      </c>
      <c r="CP3" s="9">
        <f t="shared" si="58"/>
        <v>0.75</v>
      </c>
      <c r="CQ3" s="9">
        <f t="shared" si="58"/>
        <v>0.875</v>
      </c>
      <c r="CR3" s="3" t="s">
        <v>94</v>
      </c>
      <c r="CS3" s="3">
        <v>0</v>
      </c>
      <c r="CT3" s="3">
        <v>0.125</v>
      </c>
      <c r="CU3" s="3">
        <v>0.25</v>
      </c>
      <c r="CV3" s="3">
        <v>0.375</v>
      </c>
      <c r="CW3" s="3">
        <v>0.5</v>
      </c>
      <c r="CX3" s="3">
        <v>0.625</v>
      </c>
      <c r="CY3" s="3">
        <v>0.75</v>
      </c>
      <c r="CZ3" s="21">
        <v>0.875</v>
      </c>
      <c r="DA3" s="9">
        <f>CS3</f>
        <v>0</v>
      </c>
      <c r="DB3" s="9">
        <f t="shared" ref="DB3" si="59">CT3</f>
        <v>0.125</v>
      </c>
      <c r="DC3" s="9">
        <f t="shared" ref="DC3" si="60">CU3</f>
        <v>0.25</v>
      </c>
      <c r="DD3" s="9">
        <f t="shared" ref="DD3" si="61">CV3</f>
        <v>0.375</v>
      </c>
      <c r="DE3" s="9">
        <f t="shared" ref="DE3" si="62">CW3</f>
        <v>0.5</v>
      </c>
      <c r="DF3" s="9">
        <f t="shared" ref="DF3" si="63">CX3</f>
        <v>0.625</v>
      </c>
      <c r="DG3" s="9">
        <f t="shared" ref="DG3" si="64">CY3</f>
        <v>0.75</v>
      </c>
      <c r="DH3" s="22">
        <f t="shared" ref="DH3" si="65">CZ3</f>
        <v>0.875</v>
      </c>
      <c r="DI3" s="9">
        <f t="shared" ref="DI3" si="66">DA3</f>
        <v>0</v>
      </c>
      <c r="DJ3" s="9">
        <f t="shared" ref="DJ3" si="67">DB3</f>
        <v>0.125</v>
      </c>
      <c r="DK3" s="9">
        <f t="shared" ref="DK3" si="68">DC3</f>
        <v>0.25</v>
      </c>
      <c r="DL3" s="9">
        <f t="shared" ref="DL3" si="69">DD3</f>
        <v>0.375</v>
      </c>
      <c r="DM3" s="9">
        <f t="shared" ref="DM3" si="70">DE3</f>
        <v>0.5</v>
      </c>
      <c r="DN3" s="9">
        <f t="shared" ref="DN3" si="71">DF3</f>
        <v>0.625</v>
      </c>
      <c r="DO3" s="9">
        <f t="shared" ref="DO3" si="72">DG3</f>
        <v>0.75</v>
      </c>
      <c r="DP3" s="22">
        <f t="shared" ref="DP3" si="73">DH3</f>
        <v>0.875</v>
      </c>
      <c r="DQ3" s="9">
        <f t="shared" ref="DQ3" si="74">DI3</f>
        <v>0</v>
      </c>
      <c r="DR3" s="9">
        <f t="shared" ref="DR3" si="75">DJ3</f>
        <v>0.125</v>
      </c>
      <c r="DS3" s="9">
        <f t="shared" ref="DS3" si="76">DK3</f>
        <v>0.25</v>
      </c>
      <c r="DT3" s="9">
        <f t="shared" ref="DT3" si="77">DL3</f>
        <v>0.375</v>
      </c>
      <c r="DU3" s="9">
        <f t="shared" ref="DU3" si="78">DM3</f>
        <v>0.5</v>
      </c>
      <c r="DV3" s="9">
        <f t="shared" ref="DV3" si="79">DN3</f>
        <v>0.625</v>
      </c>
      <c r="DW3" s="9">
        <f t="shared" ref="DW3" si="80">DO3</f>
        <v>0.75</v>
      </c>
      <c r="DX3" s="22">
        <f t="shared" ref="DX3" si="81">DP3</f>
        <v>0.875</v>
      </c>
      <c r="DY3" s="9">
        <f t="shared" ref="DY3" si="82">DQ3</f>
        <v>0</v>
      </c>
      <c r="DZ3" s="9">
        <f t="shared" ref="DZ3" si="83">DR3</f>
        <v>0.125</v>
      </c>
      <c r="EA3" s="9">
        <f t="shared" ref="EA3" si="84">DS3</f>
        <v>0.25</v>
      </c>
      <c r="EB3" s="9">
        <f t="shared" ref="EB3" si="85">DT3</f>
        <v>0.375</v>
      </c>
      <c r="EC3" s="9">
        <f t="shared" ref="EC3" si="86">DU3</f>
        <v>0.5</v>
      </c>
      <c r="ED3" s="9">
        <f t="shared" ref="ED3" si="87">DV3</f>
        <v>0.625</v>
      </c>
      <c r="EE3" s="9">
        <f t="shared" ref="EE3" si="88">DW3</f>
        <v>0.75</v>
      </c>
      <c r="EF3" s="22">
        <f t="shared" ref="EF3" si="89">DX3</f>
        <v>0.875</v>
      </c>
      <c r="EG3" s="9">
        <f t="shared" ref="EG3" si="90">DY3</f>
        <v>0</v>
      </c>
      <c r="EH3" s="9">
        <f t="shared" ref="EH3" si="91">DZ3</f>
        <v>0.125</v>
      </c>
      <c r="EI3" s="9">
        <f t="shared" ref="EI3" si="92">EA3</f>
        <v>0.25</v>
      </c>
      <c r="EJ3" s="9">
        <f t="shared" ref="EJ3" si="93">EB3</f>
        <v>0.375</v>
      </c>
      <c r="EK3" s="9">
        <f t="shared" ref="EK3" si="94">EC3</f>
        <v>0.5</v>
      </c>
      <c r="EL3" s="9">
        <f t="shared" ref="EL3" si="95">ED3</f>
        <v>0.625</v>
      </c>
      <c r="EM3" s="9">
        <f t="shared" ref="EM3" si="96">EE3</f>
        <v>0.75</v>
      </c>
      <c r="EN3" s="22">
        <f t="shared" ref="EN3" si="97">EF3</f>
        <v>0.875</v>
      </c>
      <c r="EO3" s="9">
        <f t="shared" ref="EO3" si="98">EG3</f>
        <v>0</v>
      </c>
      <c r="EP3" s="9">
        <f t="shared" ref="EP3" si="99">EH3</f>
        <v>0.125</v>
      </c>
      <c r="EQ3" s="9">
        <f t="shared" ref="EQ3" si="100">EI3</f>
        <v>0.25</v>
      </c>
      <c r="ER3" s="9">
        <f t="shared" ref="ER3" si="101">EJ3</f>
        <v>0.375</v>
      </c>
      <c r="ES3" s="9">
        <f t="shared" ref="ES3" si="102">EK3</f>
        <v>0.5</v>
      </c>
      <c r="ET3" s="9">
        <f t="shared" ref="ET3" si="103">EL3</f>
        <v>0.625</v>
      </c>
      <c r="EU3" s="9">
        <f t="shared" ref="EU3" si="104">EM3</f>
        <v>0.75</v>
      </c>
      <c r="EV3" s="22">
        <f t="shared" ref="EV3" si="105">EN3</f>
        <v>0.875</v>
      </c>
      <c r="EW3" s="9">
        <f t="shared" ref="EW3" si="106">EO3</f>
        <v>0</v>
      </c>
      <c r="EX3" s="9">
        <f t="shared" ref="EX3" si="107">EP3</f>
        <v>0.125</v>
      </c>
      <c r="EY3" s="9">
        <f t="shared" ref="EY3" si="108">EQ3</f>
        <v>0.25</v>
      </c>
      <c r="EZ3" s="9">
        <f t="shared" ref="EZ3" si="109">ER3</f>
        <v>0.375</v>
      </c>
      <c r="FA3" s="9">
        <f t="shared" ref="FA3" si="110">ES3</f>
        <v>0.5</v>
      </c>
      <c r="FB3" s="9">
        <f t="shared" ref="FB3" si="111">ET3</f>
        <v>0.625</v>
      </c>
      <c r="FC3" s="9">
        <f t="shared" ref="FC3" si="112">EU3</f>
        <v>0.75</v>
      </c>
      <c r="FD3" s="9">
        <f t="shared" ref="FD3" si="113">EV3</f>
        <v>0.875</v>
      </c>
    </row>
    <row r="4" spans="3:160" x14ac:dyDescent="0.4">
      <c r="C4" s="1" t="s">
        <v>4</v>
      </c>
      <c r="D4" s="1" t="s">
        <v>5</v>
      </c>
      <c r="E4" s="1">
        <v>0.26300000000000001</v>
      </c>
      <c r="F4" s="1">
        <v>0.155</v>
      </c>
      <c r="G4" s="1">
        <v>0.108</v>
      </c>
      <c r="H4" s="1">
        <v>3.7999999999999999E-2</v>
      </c>
      <c r="I4" s="1">
        <v>3648</v>
      </c>
      <c r="J4" s="1">
        <v>3453</v>
      </c>
      <c r="K4" s="1">
        <v>48</v>
      </c>
      <c r="L4" s="1">
        <v>4447</v>
      </c>
      <c r="M4" s="1">
        <v>5389</v>
      </c>
      <c r="N4" s="1">
        <v>67</v>
      </c>
      <c r="O4" s="1">
        <v>71</v>
      </c>
      <c r="P4" s="1">
        <v>65.5</v>
      </c>
      <c r="Q4" s="1">
        <v>66</v>
      </c>
      <c r="R4" s="1">
        <v>48</v>
      </c>
      <c r="S4" s="1">
        <v>73.5</v>
      </c>
      <c r="T4" s="4">
        <v>0</v>
      </c>
      <c r="U4" s="1">
        <v>2.0510000000000002</v>
      </c>
      <c r="V4" s="1">
        <v>7.9000000000000001E-2</v>
      </c>
      <c r="W4" s="1">
        <v>4.0199999999999996</v>
      </c>
      <c r="X4" s="1">
        <f>H5</f>
        <v>2.1000000000000001E-2</v>
      </c>
      <c r="Y4" s="1">
        <f>H6</f>
        <v>4.8000000000000001E-2</v>
      </c>
      <c r="Z4" s="1">
        <f>H7</f>
        <v>2.7E-2</v>
      </c>
      <c r="AA4" s="1">
        <f>H8</f>
        <v>1.6E-2</v>
      </c>
      <c r="AB4" s="1">
        <f>H9</f>
        <v>2.7E-2</v>
      </c>
      <c r="AC4" s="1">
        <f>1000000*((O4*Q4*S4)^(1/3))/(I4+0.5*J4+240*K4)</f>
        <v>4149.0741650241653</v>
      </c>
      <c r="AE4" s="1" t="s">
        <v>96</v>
      </c>
      <c r="AF4" s="1">
        <v>1</v>
      </c>
      <c r="AG4" s="1">
        <v>0.81499999999999995</v>
      </c>
      <c r="AH4" s="1">
        <v>0.64500000000000002</v>
      </c>
      <c r="AI4" s="1">
        <v>0.39500000000000002</v>
      </c>
      <c r="AJ4" s="1">
        <v>0.36</v>
      </c>
      <c r="AK4" s="1">
        <v>0.245</v>
      </c>
      <c r="AL4" s="1">
        <v>0.14499999999999999</v>
      </c>
      <c r="AM4" s="20">
        <v>6.5000000000000002E-2</v>
      </c>
      <c r="AN4" s="1">
        <v>1</v>
      </c>
      <c r="AO4" s="1">
        <v>0.81499999999999995</v>
      </c>
      <c r="AP4" s="1">
        <v>0.64500000000000002</v>
      </c>
      <c r="AQ4" s="1">
        <v>0.39500000000000002</v>
      </c>
      <c r="AR4" s="1">
        <v>0.36</v>
      </c>
      <c r="AS4" s="1">
        <v>0.245</v>
      </c>
      <c r="AT4" s="1">
        <v>0.14499999999999999</v>
      </c>
      <c r="AU4" s="20">
        <v>6.5000000000000002E-2</v>
      </c>
      <c r="AV4" s="1">
        <v>1</v>
      </c>
      <c r="AW4" s="1">
        <v>0.81499999999999995</v>
      </c>
      <c r="AX4" s="1">
        <v>0.64500000000000002</v>
      </c>
      <c r="AY4" s="1">
        <v>0.39500000000000002</v>
      </c>
      <c r="AZ4" s="1">
        <v>0.36</v>
      </c>
      <c r="BA4" s="1">
        <v>0.245</v>
      </c>
      <c r="BB4" s="1">
        <v>0.14499999999999999</v>
      </c>
      <c r="BC4" s="20">
        <v>6.5000000000000002E-2</v>
      </c>
      <c r="BD4" s="1">
        <v>1</v>
      </c>
      <c r="BE4" s="1">
        <v>0.81499999999999995</v>
      </c>
      <c r="BF4" s="1">
        <v>0.64500000000000002</v>
      </c>
      <c r="BG4" s="1">
        <v>0.39500000000000002</v>
      </c>
      <c r="BH4" s="1">
        <v>0.36</v>
      </c>
      <c r="BI4" s="1">
        <v>0.245</v>
      </c>
      <c r="BJ4" s="1">
        <v>0.14499999999999999</v>
      </c>
      <c r="BK4" s="20">
        <v>6.5000000000000002E-2</v>
      </c>
      <c r="BL4" s="1">
        <v>1</v>
      </c>
      <c r="BM4" s="1">
        <v>0.81499999999999995</v>
      </c>
      <c r="BN4" s="1">
        <v>0.64500000000000002</v>
      </c>
      <c r="BO4" s="1">
        <v>0.39500000000000002</v>
      </c>
      <c r="BP4" s="1">
        <v>0.36</v>
      </c>
      <c r="BQ4" s="1">
        <v>0.245</v>
      </c>
      <c r="BR4" s="1">
        <v>0.14499999999999999</v>
      </c>
      <c r="BS4" s="20">
        <v>6.5000000000000002E-2</v>
      </c>
      <c r="BT4" s="1">
        <v>1</v>
      </c>
      <c r="BU4" s="1">
        <v>0.81499999999999995</v>
      </c>
      <c r="BV4" s="1">
        <v>0.64500000000000002</v>
      </c>
      <c r="BW4" s="1">
        <v>0.39500000000000002</v>
      </c>
      <c r="BX4" s="1">
        <v>0.36</v>
      </c>
      <c r="BY4" s="1">
        <v>0.245</v>
      </c>
      <c r="BZ4" s="1">
        <v>0.14499999999999999</v>
      </c>
      <c r="CA4" s="20">
        <v>6.5000000000000002E-2</v>
      </c>
      <c r="CB4" s="1">
        <v>1</v>
      </c>
      <c r="CC4" s="1">
        <v>0.81499999999999995</v>
      </c>
      <c r="CD4" s="1">
        <v>0.64500000000000002</v>
      </c>
      <c r="CE4" s="1">
        <v>0.39500000000000002</v>
      </c>
      <c r="CF4" s="1">
        <v>0.36</v>
      </c>
      <c r="CG4" s="1">
        <v>0.245</v>
      </c>
      <c r="CH4" s="1">
        <v>0.14499999999999999</v>
      </c>
      <c r="CI4" s="20">
        <v>6.5000000000000002E-2</v>
      </c>
      <c r="CJ4" s="1">
        <v>1</v>
      </c>
      <c r="CK4" s="1">
        <v>0.81499999999999995</v>
      </c>
      <c r="CL4" s="1">
        <v>0.64500000000000002</v>
      </c>
      <c r="CM4" s="1">
        <v>0.39500000000000002</v>
      </c>
      <c r="CN4" s="1">
        <v>0.36</v>
      </c>
      <c r="CO4" s="1">
        <v>0.245</v>
      </c>
      <c r="CP4" s="1">
        <v>0.14499999999999999</v>
      </c>
      <c r="CQ4" s="20">
        <v>6.5000000000000002E-2</v>
      </c>
    </row>
    <row r="5" spans="3:160" x14ac:dyDescent="0.4">
      <c r="C5" s="1" t="s">
        <v>4</v>
      </c>
      <c r="D5" s="1" t="s">
        <v>6</v>
      </c>
      <c r="E5" s="1">
        <v>0.23899999999999999</v>
      </c>
      <c r="F5" s="1">
        <v>0.13100000000000001</v>
      </c>
      <c r="G5" s="1">
        <v>0.107</v>
      </c>
      <c r="H5" s="1">
        <v>2.1000000000000001E-2</v>
      </c>
      <c r="I5" s="1">
        <v>3648</v>
      </c>
      <c r="J5" s="1">
        <v>3453</v>
      </c>
      <c r="K5" s="1">
        <v>48</v>
      </c>
      <c r="L5" s="1">
        <v>4447</v>
      </c>
      <c r="M5" s="1">
        <v>5389</v>
      </c>
      <c r="N5" s="1">
        <v>67</v>
      </c>
      <c r="O5" s="1">
        <v>71</v>
      </c>
      <c r="P5" s="1">
        <v>65.5</v>
      </c>
      <c r="Q5" s="1">
        <v>66</v>
      </c>
      <c r="R5" s="1">
        <v>48</v>
      </c>
      <c r="S5" s="1">
        <v>73.5</v>
      </c>
      <c r="T5" s="4">
        <v>0</v>
      </c>
      <c r="U5" s="1">
        <v>2.0510000000000002</v>
      </c>
      <c r="V5" s="1">
        <v>7.9000000000000001E-2</v>
      </c>
      <c r="W5" s="1">
        <v>4.0199999999999996</v>
      </c>
      <c r="X5" s="1">
        <f>H5</f>
        <v>2.1000000000000001E-2</v>
      </c>
      <c r="Y5" s="1">
        <f>H6</f>
        <v>4.8000000000000001E-2</v>
      </c>
      <c r="Z5" s="1">
        <f>H7</f>
        <v>2.7E-2</v>
      </c>
      <c r="AA5" s="1">
        <f>H8</f>
        <v>1.6E-2</v>
      </c>
      <c r="AB5" s="1">
        <f>H9</f>
        <v>2.7E-2</v>
      </c>
      <c r="AC5" s="1">
        <f t="shared" ref="AC5:AC68" si="114">1000000*(O5*Q5*S5)^(1/3)/(I5+0.5*J5+240*K5)</f>
        <v>4149.0741650241653</v>
      </c>
      <c r="CQ5" s="20"/>
    </row>
    <row r="6" spans="3:160" x14ac:dyDescent="0.4">
      <c r="C6" s="1" t="s">
        <v>4</v>
      </c>
      <c r="D6" s="1" t="s">
        <v>7</v>
      </c>
      <c r="E6" s="1">
        <v>0.27300000000000002</v>
      </c>
      <c r="F6" s="1">
        <v>0.16500000000000001</v>
      </c>
      <c r="G6" s="1">
        <v>0.108</v>
      </c>
      <c r="H6" s="1">
        <v>4.8000000000000001E-2</v>
      </c>
      <c r="I6" s="1">
        <v>3648</v>
      </c>
      <c r="J6" s="1">
        <v>3453</v>
      </c>
      <c r="K6" s="1">
        <v>48</v>
      </c>
      <c r="L6" s="1">
        <v>4447</v>
      </c>
      <c r="M6" s="1">
        <v>5389</v>
      </c>
      <c r="N6" s="1">
        <v>67</v>
      </c>
      <c r="O6" s="1">
        <v>71</v>
      </c>
      <c r="P6" s="1">
        <v>65.5</v>
      </c>
      <c r="Q6" s="1">
        <v>66</v>
      </c>
      <c r="R6" s="1">
        <v>48</v>
      </c>
      <c r="S6" s="1">
        <v>73.5</v>
      </c>
      <c r="T6" s="4">
        <v>0</v>
      </c>
      <c r="U6" s="1">
        <v>2.0510000000000002</v>
      </c>
      <c r="V6" s="1">
        <v>7.9000000000000001E-2</v>
      </c>
      <c r="W6" s="1">
        <v>4.0199999999999996</v>
      </c>
      <c r="X6" s="1">
        <f>H5</f>
        <v>2.1000000000000001E-2</v>
      </c>
      <c r="Y6" s="1">
        <f>H6</f>
        <v>4.8000000000000001E-2</v>
      </c>
      <c r="Z6" s="1">
        <f>H7</f>
        <v>2.7E-2</v>
      </c>
      <c r="AA6" s="1">
        <f>H8</f>
        <v>1.6E-2</v>
      </c>
      <c r="AB6" s="1">
        <f>H9</f>
        <v>2.7E-2</v>
      </c>
      <c r="AC6" s="1">
        <f t="shared" si="114"/>
        <v>4149.0741650241653</v>
      </c>
      <c r="AE6" s="1" t="s">
        <v>97</v>
      </c>
      <c r="AF6" s="1">
        <v>0</v>
      </c>
      <c r="AG6" s="1">
        <v>0.12</v>
      </c>
      <c r="AH6" s="1">
        <v>0.21</v>
      </c>
      <c r="AI6" s="1">
        <v>0.26</v>
      </c>
      <c r="AJ6" s="1">
        <v>0.28000000000000003</v>
      </c>
      <c r="AK6" s="1">
        <v>0.26</v>
      </c>
      <c r="AL6" s="1">
        <v>0.21</v>
      </c>
      <c r="AM6" s="20">
        <v>0.12</v>
      </c>
      <c r="AN6" s="1">
        <v>0</v>
      </c>
      <c r="AO6" s="1">
        <v>0.12</v>
      </c>
      <c r="AP6" s="1">
        <v>0.21</v>
      </c>
      <c r="AQ6" s="1">
        <v>0.26</v>
      </c>
      <c r="AR6" s="1">
        <v>0.28000000000000003</v>
      </c>
      <c r="AS6" s="1">
        <v>0.26</v>
      </c>
      <c r="AT6" s="1">
        <v>0.21</v>
      </c>
      <c r="AU6" s="20">
        <v>0.12</v>
      </c>
      <c r="AV6" s="1">
        <v>0</v>
      </c>
      <c r="AW6" s="1">
        <v>0.12</v>
      </c>
      <c r="AX6" s="1">
        <v>0.21</v>
      </c>
      <c r="AY6" s="1">
        <v>0.26</v>
      </c>
      <c r="AZ6" s="1">
        <v>0.28000000000000003</v>
      </c>
      <c r="BA6" s="1">
        <v>0.26</v>
      </c>
      <c r="BB6" s="1">
        <v>0.21</v>
      </c>
      <c r="BC6" s="20">
        <v>0.12</v>
      </c>
      <c r="BD6" s="1">
        <v>0</v>
      </c>
      <c r="BE6" s="1">
        <v>0.12</v>
      </c>
      <c r="BF6" s="1">
        <v>0.21</v>
      </c>
      <c r="BG6" s="1">
        <v>0.26</v>
      </c>
      <c r="BH6" s="1">
        <v>0.28000000000000003</v>
      </c>
      <c r="BI6" s="1">
        <v>0.26</v>
      </c>
      <c r="BJ6" s="1">
        <v>0.21</v>
      </c>
      <c r="BK6" s="20">
        <v>0.12</v>
      </c>
      <c r="BL6" s="1">
        <v>0</v>
      </c>
      <c r="BM6" s="1">
        <v>0.12</v>
      </c>
      <c r="BN6" s="1">
        <v>0.21</v>
      </c>
      <c r="BO6" s="1">
        <v>0.26</v>
      </c>
      <c r="BP6" s="1">
        <v>0.28000000000000003</v>
      </c>
      <c r="BQ6" s="1">
        <v>0.26</v>
      </c>
      <c r="BR6" s="1">
        <v>0.21</v>
      </c>
      <c r="BS6" s="20">
        <v>0.12</v>
      </c>
      <c r="BT6" s="1">
        <v>0</v>
      </c>
      <c r="BU6" s="1">
        <v>0.12</v>
      </c>
      <c r="BV6" s="1">
        <v>0.21</v>
      </c>
      <c r="BW6" s="1">
        <v>0.26</v>
      </c>
      <c r="BX6" s="1">
        <v>0.28000000000000003</v>
      </c>
      <c r="BY6" s="1">
        <v>0.26</v>
      </c>
      <c r="BZ6" s="1">
        <v>0.21</v>
      </c>
      <c r="CA6" s="20">
        <v>0.12</v>
      </c>
      <c r="CB6" s="1">
        <v>0</v>
      </c>
      <c r="CC6" s="1">
        <v>0.12</v>
      </c>
      <c r="CD6" s="1">
        <v>0.21</v>
      </c>
      <c r="CE6" s="1">
        <v>0.26</v>
      </c>
      <c r="CF6" s="1">
        <v>0.28000000000000003</v>
      </c>
      <c r="CG6" s="1">
        <v>0.26</v>
      </c>
      <c r="CH6" s="1">
        <v>0.21</v>
      </c>
      <c r="CI6" s="20">
        <v>0.12</v>
      </c>
      <c r="CJ6" s="1">
        <v>0</v>
      </c>
      <c r="CK6" s="1">
        <v>0.12</v>
      </c>
      <c r="CL6" s="1">
        <v>0.21</v>
      </c>
      <c r="CM6" s="1">
        <v>0.26</v>
      </c>
      <c r="CN6" s="1">
        <v>0.28000000000000003</v>
      </c>
      <c r="CO6" s="1">
        <v>0.26</v>
      </c>
      <c r="CP6" s="1">
        <v>0.21</v>
      </c>
      <c r="CQ6" s="20">
        <v>0.12</v>
      </c>
    </row>
    <row r="7" spans="3:160" x14ac:dyDescent="0.4">
      <c r="C7" s="1" t="s">
        <v>4</v>
      </c>
      <c r="D7" s="1" t="s">
        <v>8</v>
      </c>
      <c r="E7" s="1">
        <v>0.245</v>
      </c>
      <c r="F7" s="1">
        <v>0.13800000000000001</v>
      </c>
      <c r="G7" s="1">
        <v>0.107</v>
      </c>
      <c r="H7" s="1">
        <v>2.7E-2</v>
      </c>
      <c r="I7" s="1">
        <v>3648</v>
      </c>
      <c r="J7" s="1">
        <v>3453</v>
      </c>
      <c r="K7" s="1">
        <v>48</v>
      </c>
      <c r="L7" s="1">
        <v>4447</v>
      </c>
      <c r="M7" s="1">
        <v>5389</v>
      </c>
      <c r="N7" s="1">
        <v>67</v>
      </c>
      <c r="O7" s="1">
        <v>71</v>
      </c>
      <c r="P7" s="1">
        <v>65.5</v>
      </c>
      <c r="Q7" s="1">
        <v>66</v>
      </c>
      <c r="R7" s="1">
        <v>48</v>
      </c>
      <c r="S7" s="1">
        <v>73.5</v>
      </c>
      <c r="T7" s="4">
        <v>0</v>
      </c>
      <c r="U7" s="1">
        <v>2.0510000000000002</v>
      </c>
      <c r="V7" s="1">
        <v>7.9000000000000001E-2</v>
      </c>
      <c r="W7" s="1">
        <v>4.0199999999999996</v>
      </c>
      <c r="X7" s="1">
        <f>H5</f>
        <v>2.1000000000000001E-2</v>
      </c>
      <c r="Y7" s="1">
        <f>H6</f>
        <v>4.8000000000000001E-2</v>
      </c>
      <c r="Z7" s="1">
        <f>H7</f>
        <v>2.7E-2</v>
      </c>
      <c r="AA7" s="1">
        <f>H8</f>
        <v>1.6E-2</v>
      </c>
      <c r="AB7" s="1">
        <f>H9</f>
        <v>2.7E-2</v>
      </c>
      <c r="AC7" s="1">
        <f t="shared" si="114"/>
        <v>4149.0741650241653</v>
      </c>
      <c r="CQ7" s="20"/>
    </row>
    <row r="8" spans="3:160" x14ac:dyDescent="0.4">
      <c r="C8" s="1" t="s">
        <v>4</v>
      </c>
      <c r="D8" s="1" t="s">
        <v>9</v>
      </c>
      <c r="E8" s="1">
        <v>0.23300000000000001</v>
      </c>
      <c r="F8" s="1">
        <v>0.126</v>
      </c>
      <c r="G8" s="1">
        <v>0.107</v>
      </c>
      <c r="H8" s="1">
        <v>1.6E-2</v>
      </c>
      <c r="I8" s="1">
        <v>3648</v>
      </c>
      <c r="J8" s="1">
        <v>3453</v>
      </c>
      <c r="K8" s="1">
        <v>48</v>
      </c>
      <c r="L8" s="1">
        <v>4447</v>
      </c>
      <c r="M8" s="1">
        <v>5389</v>
      </c>
      <c r="N8" s="1">
        <v>67</v>
      </c>
      <c r="O8" s="1">
        <v>71</v>
      </c>
      <c r="P8" s="1">
        <v>65.5</v>
      </c>
      <c r="Q8" s="1">
        <v>66</v>
      </c>
      <c r="R8" s="1">
        <v>48</v>
      </c>
      <c r="S8" s="1">
        <v>73.5</v>
      </c>
      <c r="T8" s="4">
        <v>0</v>
      </c>
      <c r="U8" s="1">
        <v>2.0510000000000002</v>
      </c>
      <c r="V8" s="1">
        <v>7.9000000000000001E-2</v>
      </c>
      <c r="W8" s="1">
        <v>4.0199999999999996</v>
      </c>
      <c r="X8" s="1">
        <f>H5</f>
        <v>2.1000000000000001E-2</v>
      </c>
      <c r="Y8" s="1">
        <f>H6</f>
        <v>4.8000000000000001E-2</v>
      </c>
      <c r="Z8" s="1">
        <f>H7</f>
        <v>2.7E-2</v>
      </c>
      <c r="AA8" s="1">
        <f>H8</f>
        <v>1.6E-2</v>
      </c>
      <c r="AB8" s="1">
        <f>H9</f>
        <v>2.7E-2</v>
      </c>
      <c r="AC8" s="1">
        <f t="shared" si="114"/>
        <v>4149.0741650241653</v>
      </c>
      <c r="AE8" s="1" t="s">
        <v>98</v>
      </c>
      <c r="AF8" s="1">
        <v>0</v>
      </c>
      <c r="AG8" s="1">
        <v>6.5000000000000002E-2</v>
      </c>
      <c r="AH8" s="1">
        <v>0.14499999999999999</v>
      </c>
      <c r="AI8" s="1">
        <v>0.245</v>
      </c>
      <c r="AJ8" s="1">
        <v>0.36</v>
      </c>
      <c r="AK8" s="1">
        <v>0.39500000000000002</v>
      </c>
      <c r="AL8" s="1">
        <v>0.64500000000000002</v>
      </c>
      <c r="AM8" s="20">
        <v>0.81499999999999995</v>
      </c>
      <c r="AN8" s="1">
        <v>0</v>
      </c>
      <c r="AO8" s="1">
        <v>6.5000000000000002E-2</v>
      </c>
      <c r="AP8" s="1">
        <v>0.14499999999999999</v>
      </c>
      <c r="AQ8" s="1">
        <v>0.245</v>
      </c>
      <c r="AR8" s="1">
        <v>0.36</v>
      </c>
      <c r="AS8" s="1">
        <v>0.39500000000000002</v>
      </c>
      <c r="AT8" s="1">
        <v>0.64500000000000002</v>
      </c>
      <c r="AU8" s="20">
        <v>0.81499999999999995</v>
      </c>
      <c r="AV8" s="1">
        <v>0</v>
      </c>
      <c r="AW8" s="1">
        <v>6.5000000000000002E-2</v>
      </c>
      <c r="AX8" s="1">
        <v>0.14499999999999999</v>
      </c>
      <c r="AY8" s="1">
        <v>0.245</v>
      </c>
      <c r="AZ8" s="1">
        <v>0.36</v>
      </c>
      <c r="BA8" s="1">
        <v>0.39500000000000002</v>
      </c>
      <c r="BB8" s="1">
        <v>0.64500000000000002</v>
      </c>
      <c r="BC8" s="20">
        <v>0.81499999999999995</v>
      </c>
      <c r="BD8" s="1">
        <v>0</v>
      </c>
      <c r="BE8" s="1">
        <v>6.5000000000000002E-2</v>
      </c>
      <c r="BF8" s="1">
        <v>0.14499999999999999</v>
      </c>
      <c r="BG8" s="1">
        <v>0.245</v>
      </c>
      <c r="BH8" s="1">
        <v>0.36</v>
      </c>
      <c r="BI8" s="1">
        <v>0.39500000000000002</v>
      </c>
      <c r="BJ8" s="1">
        <v>0.64500000000000002</v>
      </c>
      <c r="BK8" s="20">
        <v>0.81499999999999995</v>
      </c>
      <c r="BL8" s="1">
        <v>0</v>
      </c>
      <c r="BM8" s="1">
        <v>6.5000000000000002E-2</v>
      </c>
      <c r="BN8" s="1">
        <v>0.14499999999999999</v>
      </c>
      <c r="BO8" s="1">
        <v>0.245</v>
      </c>
      <c r="BP8" s="1">
        <v>0.36</v>
      </c>
      <c r="BQ8" s="1">
        <v>0.39500000000000002</v>
      </c>
      <c r="BR8" s="1">
        <v>0.64500000000000002</v>
      </c>
      <c r="BS8" s="20">
        <v>0.81499999999999995</v>
      </c>
      <c r="BT8" s="1">
        <v>0</v>
      </c>
      <c r="BU8" s="1">
        <v>6.5000000000000002E-2</v>
      </c>
      <c r="BV8" s="1">
        <v>0.14499999999999999</v>
      </c>
      <c r="BW8" s="1">
        <v>0.245</v>
      </c>
      <c r="BX8" s="1">
        <v>0.36</v>
      </c>
      <c r="BY8" s="1">
        <v>0.39500000000000002</v>
      </c>
      <c r="BZ8" s="1">
        <v>0.64500000000000002</v>
      </c>
      <c r="CA8" s="20">
        <v>0.81499999999999995</v>
      </c>
      <c r="CB8" s="1">
        <v>0</v>
      </c>
      <c r="CC8" s="1">
        <v>6.5000000000000002E-2</v>
      </c>
      <c r="CD8" s="1">
        <v>0.14499999999999999</v>
      </c>
      <c r="CE8" s="1">
        <v>0.245</v>
      </c>
      <c r="CF8" s="1">
        <v>0.36</v>
      </c>
      <c r="CG8" s="1">
        <v>0.39500000000000002</v>
      </c>
      <c r="CH8" s="1">
        <v>0.64500000000000002</v>
      </c>
      <c r="CI8" s="20">
        <v>0.81499999999999995</v>
      </c>
      <c r="CJ8" s="1">
        <v>0</v>
      </c>
      <c r="CK8" s="1">
        <v>6.5000000000000002E-2</v>
      </c>
      <c r="CL8" s="1">
        <v>0.14499999999999999</v>
      </c>
      <c r="CM8" s="1">
        <v>0.245</v>
      </c>
      <c r="CN8" s="1">
        <v>0.36</v>
      </c>
      <c r="CO8" s="1">
        <v>0.39500000000000002</v>
      </c>
      <c r="CP8" s="1">
        <v>0.64500000000000002</v>
      </c>
      <c r="CQ8" s="20">
        <v>0.81499999999999995</v>
      </c>
      <c r="CR8" s="1" t="s">
        <v>120</v>
      </c>
    </row>
    <row r="9" spans="3:160" s="2" customFormat="1" x14ac:dyDescent="0.4">
      <c r="C9" s="2" t="s">
        <v>4</v>
      </c>
      <c r="D9" s="2" t="s">
        <v>10</v>
      </c>
      <c r="E9" s="2">
        <v>0.245</v>
      </c>
      <c r="F9" s="2">
        <v>0.13800000000000001</v>
      </c>
      <c r="G9" s="2">
        <v>0.107</v>
      </c>
      <c r="H9" s="2">
        <v>2.7E-2</v>
      </c>
      <c r="I9" s="2">
        <v>3648</v>
      </c>
      <c r="J9" s="2">
        <v>3453</v>
      </c>
      <c r="K9" s="2">
        <v>48</v>
      </c>
      <c r="L9" s="2">
        <v>4447</v>
      </c>
      <c r="M9" s="2">
        <v>5389</v>
      </c>
      <c r="N9" s="2">
        <v>67</v>
      </c>
      <c r="O9" s="2">
        <v>71</v>
      </c>
      <c r="P9" s="2">
        <v>65.5</v>
      </c>
      <c r="Q9" s="2">
        <v>66</v>
      </c>
      <c r="R9" s="2">
        <v>48</v>
      </c>
      <c r="S9" s="2">
        <v>73.5</v>
      </c>
      <c r="T9" s="6">
        <f>(N4*O4*P4*Q4*R4*S4)/(I4*J4*K4*(F4*H4 + F5*H5 + F6*H6 + F7*H7 + F8*H8 + F9*H9))</f>
        <v>4609.9565770855052</v>
      </c>
      <c r="U9" s="2">
        <v>2.0510000000000002</v>
      </c>
      <c r="V9" s="2">
        <v>7.9000000000000001E-2</v>
      </c>
      <c r="W9" s="2">
        <v>4.0199999999999996</v>
      </c>
      <c r="X9" s="2">
        <f>H5</f>
        <v>2.1000000000000001E-2</v>
      </c>
      <c r="Y9" s="2">
        <f>H6</f>
        <v>4.8000000000000001E-2</v>
      </c>
      <c r="Z9" s="2">
        <f>H7</f>
        <v>2.7E-2</v>
      </c>
      <c r="AA9" s="2">
        <f>H8</f>
        <v>1.6E-2</v>
      </c>
      <c r="AB9" s="2">
        <f>H9</f>
        <v>2.7E-2</v>
      </c>
      <c r="AC9" s="1">
        <f t="shared" si="114"/>
        <v>4149.0741650241653</v>
      </c>
      <c r="AE9" s="2" t="s">
        <v>99</v>
      </c>
      <c r="AF9" s="23">
        <f>($O9*$Q9*$S9)^(1/3)/(AF4*((1-AF$2)*$H4+AF$2*$H5) + AF6*((1-AF$2)*$H6+AF$2*$H7) + AF8*((1-AF$2)*$H8+AF$2*$H9))</f>
        <v>1844.6456179210727</v>
      </c>
      <c r="AG9" s="23">
        <f t="shared" ref="AG9:CQ9" si="115">($O9*$Q9*$S9)^(1/3)/(AG4*((1-AG$2)*$H4+AG$2*$H5) + AG6*((1-AG$2)*$H6+AG$2*$H7) + AG8*((1-AG$2)*$H8+AG$2*$H9))</f>
        <v>1855.8785671432556</v>
      </c>
      <c r="AH9" s="23">
        <f t="shared" si="115"/>
        <v>1899.1203869141357</v>
      </c>
      <c r="AI9" s="23">
        <f t="shared" si="115"/>
        <v>2231.6629570519185</v>
      </c>
      <c r="AJ9" s="23">
        <f t="shared" si="115"/>
        <v>2131.889704409999</v>
      </c>
      <c r="AK9" s="23">
        <f t="shared" si="115"/>
        <v>2493.6511377090274</v>
      </c>
      <c r="AL9" s="23">
        <f t="shared" si="115"/>
        <v>2705.385313817088</v>
      </c>
      <c r="AM9" s="23">
        <f t="shared" si="115"/>
        <v>3295.5586968030452</v>
      </c>
      <c r="AN9" s="23">
        <f t="shared" si="115"/>
        <v>1953.9103409338188</v>
      </c>
      <c r="AO9" s="23">
        <f t="shared" si="115"/>
        <v>1957.3203066248029</v>
      </c>
      <c r="AP9" s="23">
        <f t="shared" si="115"/>
        <v>1992.0862090515311</v>
      </c>
      <c r="AQ9" s="23">
        <f t="shared" si="115"/>
        <v>2319.1574352688422</v>
      </c>
      <c r="AR9" s="23">
        <f t="shared" si="115"/>
        <v>2199.1069327372788</v>
      </c>
      <c r="AS9" s="23">
        <f t="shared" si="115"/>
        <v>2553.6077770856373</v>
      </c>
      <c r="AT9" s="23">
        <f t="shared" si="115"/>
        <v>2702.5169534843667</v>
      </c>
      <c r="AU9" s="23">
        <f t="shared" si="115"/>
        <v>3195.2835774815162</v>
      </c>
      <c r="AV9" s="23">
        <f t="shared" si="115"/>
        <v>2076.9343253629859</v>
      </c>
      <c r="AW9" s="23">
        <f t="shared" si="115"/>
        <v>2070.4927922315987</v>
      </c>
      <c r="AX9" s="23">
        <f t="shared" si="115"/>
        <v>2094.6222465561264</v>
      </c>
      <c r="AY9" s="23">
        <f t="shared" si="115"/>
        <v>2413.7924752410727</v>
      </c>
      <c r="AZ9" s="23">
        <f t="shared" si="115"/>
        <v>2270.7007930353343</v>
      </c>
      <c r="BA9" s="23">
        <f t="shared" si="115"/>
        <v>2616.5186069802453</v>
      </c>
      <c r="BB9" s="23">
        <f t="shared" si="115"/>
        <v>2699.6546690160121</v>
      </c>
      <c r="BC9" s="23">
        <f t="shared" si="115"/>
        <v>3100.9304791418167</v>
      </c>
      <c r="BD9" s="23">
        <f t="shared" si="115"/>
        <v>2216.4911772648461</v>
      </c>
      <c r="BE9" s="23">
        <f t="shared" si="115"/>
        <v>2197.5557169370882</v>
      </c>
      <c r="BF9" s="23">
        <f t="shared" si="115"/>
        <v>2208.286476522037</v>
      </c>
      <c r="BG9" s="23">
        <f t="shared" si="115"/>
        <v>2516.4793926045863</v>
      </c>
      <c r="BH9" s="23">
        <f t="shared" si="115"/>
        <v>2347.1131250962917</v>
      </c>
      <c r="BI9" s="23">
        <f t="shared" si="115"/>
        <v>2682.6074810945565</v>
      </c>
      <c r="BJ9" s="23">
        <f t="shared" si="115"/>
        <v>2696.7984411272773</v>
      </c>
      <c r="BK9" s="23">
        <f t="shared" si="115"/>
        <v>3011.9898369750031</v>
      </c>
      <c r="BL9" s="23">
        <f t="shared" si="115"/>
        <v>2376.15367732206</v>
      </c>
      <c r="BM9" s="23">
        <f t="shared" si="115"/>
        <v>2341.2335831997584</v>
      </c>
      <c r="BN9" s="23">
        <f t="shared" si="115"/>
        <v>2334.994453064649</v>
      </c>
      <c r="BO9" s="23">
        <f t="shared" si="115"/>
        <v>2628.2914691038904</v>
      </c>
      <c r="BP9" s="23">
        <f t="shared" si="115"/>
        <v>2428.8473139639905</v>
      </c>
      <c r="BQ9" s="23">
        <f t="shared" si="115"/>
        <v>2752.1214558696806</v>
      </c>
      <c r="BR9" s="23">
        <f t="shared" si="115"/>
        <v>2693.9482506149407</v>
      </c>
      <c r="BS9" s="23">
        <f t="shared" si="115"/>
        <v>2928.0089173350366</v>
      </c>
      <c r="BT9" s="23">
        <f t="shared" si="115"/>
        <v>2560.6039627762834</v>
      </c>
      <c r="BU9" s="23">
        <f t="shared" si="115"/>
        <v>2505.0132576074607</v>
      </c>
      <c r="BV9" s="23">
        <f t="shared" si="115"/>
        <v>2477.1281378567282</v>
      </c>
      <c r="BW9" s="23">
        <f t="shared" si="115"/>
        <v>2750.5016080439773</v>
      </c>
      <c r="BX9" s="23">
        <f t="shared" si="115"/>
        <v>2516.4793926045868</v>
      </c>
      <c r="BY9" s="23">
        <f t="shared" si="115"/>
        <v>2825.3338767029732</v>
      </c>
      <c r="BZ9" s="23">
        <f t="shared" si="115"/>
        <v>2691.1040783568774</v>
      </c>
      <c r="CA9" s="23">
        <f t="shared" si="115"/>
        <v>2848.5841097633142</v>
      </c>
      <c r="CB9" s="23">
        <f t="shared" si="115"/>
        <v>2776.1003358812181</v>
      </c>
      <c r="CC9" s="23">
        <f t="shared" si="115"/>
        <v>2693.4306813064654</v>
      </c>
      <c r="CD9" s="23">
        <f t="shared" si="115"/>
        <v>2637.6870547883636</v>
      </c>
      <c r="CE9" s="23">
        <f t="shared" si="115"/>
        <v>2884.6310074485909</v>
      </c>
      <c r="CF9" s="23">
        <f t="shared" si="115"/>
        <v>2610.6716380260987</v>
      </c>
      <c r="CG9" s="23">
        <f t="shared" si="115"/>
        <v>2902.5479702277748</v>
      </c>
      <c r="CH9" s="23">
        <f t="shared" si="115"/>
        <v>2688.2659053116304</v>
      </c>
      <c r="CI9" s="23">
        <f t="shared" si="115"/>
        <v>2773.354440395678</v>
      </c>
      <c r="CJ9" s="23">
        <f t="shared" si="115"/>
        <v>3031.2014478270594</v>
      </c>
      <c r="CK9" s="23">
        <f t="shared" si="115"/>
        <v>2912.4974958346634</v>
      </c>
      <c r="CL9" s="23">
        <f t="shared" si="115"/>
        <v>2820.5023028267083</v>
      </c>
      <c r="CM9" s="23">
        <f t="shared" si="115"/>
        <v>3032.5128047155849</v>
      </c>
      <c r="CN9" s="23">
        <f t="shared" si="115"/>
        <v>2712.1893395628072</v>
      </c>
      <c r="CO9" s="23">
        <f t="shared" si="115"/>
        <v>2984.101042188197</v>
      </c>
      <c r="CP9" s="23">
        <f t="shared" si="115"/>
        <v>2685.4337125179873</v>
      </c>
      <c r="CQ9" s="23">
        <f t="shared" si="115"/>
        <v>2701.9960867688451</v>
      </c>
      <c r="CR9" s="2" t="s">
        <v>119</v>
      </c>
      <c r="CS9" s="2">
        <f>100*$AF9/AF9</f>
        <v>100</v>
      </c>
      <c r="CT9" s="2">
        <f t="shared" ref="CT9:FD9" si="116">100*$AF9/AG9</f>
        <v>99.39473684210526</v>
      </c>
      <c r="CU9" s="2">
        <f t="shared" si="116"/>
        <v>97.131578947368439</v>
      </c>
      <c r="CV9" s="2">
        <f t="shared" si="116"/>
        <v>82.65789473684211</v>
      </c>
      <c r="CW9" s="2">
        <f t="shared" si="116"/>
        <v>86.526315789473685</v>
      </c>
      <c r="CX9" s="2">
        <f t="shared" si="116"/>
        <v>73.973684210526315</v>
      </c>
      <c r="CY9" s="2">
        <f t="shared" si="116"/>
        <v>68.184210526315809</v>
      </c>
      <c r="CZ9" s="2">
        <f t="shared" si="116"/>
        <v>55.973684210526308</v>
      </c>
      <c r="DA9" s="2">
        <f t="shared" si="116"/>
        <v>94.407894736842124</v>
      </c>
      <c r="DB9" s="2">
        <f t="shared" si="116"/>
        <v>94.243421052631589</v>
      </c>
      <c r="DC9" s="2">
        <f t="shared" si="116"/>
        <v>92.598684210526329</v>
      </c>
      <c r="DD9" s="2">
        <f t="shared" si="116"/>
        <v>79.539473684210535</v>
      </c>
      <c r="DE9" s="2">
        <f t="shared" si="116"/>
        <v>83.881578947368425</v>
      </c>
      <c r="DF9" s="2">
        <f t="shared" si="116"/>
        <v>72.236842105263179</v>
      </c>
      <c r="DG9" s="2">
        <f t="shared" si="116"/>
        <v>68.256578947368425</v>
      </c>
      <c r="DH9" s="2">
        <f t="shared" si="116"/>
        <v>57.73026315789474</v>
      </c>
      <c r="DI9" s="2">
        <f t="shared" si="116"/>
        <v>88.815789473684191</v>
      </c>
      <c r="DJ9" s="2">
        <f t="shared" si="116"/>
        <v>89.092105263157876</v>
      </c>
      <c r="DK9" s="2">
        <f t="shared" si="116"/>
        <v>88.065789473684205</v>
      </c>
      <c r="DL9" s="2">
        <f t="shared" si="116"/>
        <v>76.421052631578959</v>
      </c>
      <c r="DM9" s="2">
        <f t="shared" si="116"/>
        <v>81.23684210526315</v>
      </c>
      <c r="DN9" s="2">
        <f t="shared" si="116"/>
        <v>70.499999999999986</v>
      </c>
      <c r="DO9" s="2">
        <f t="shared" si="116"/>
        <v>68.328947368421055</v>
      </c>
      <c r="DP9" s="2">
        <f t="shared" si="116"/>
        <v>59.486842105263158</v>
      </c>
      <c r="DQ9" s="2">
        <f t="shared" si="116"/>
        <v>83.223684210526315</v>
      </c>
      <c r="DR9" s="2">
        <f t="shared" si="116"/>
        <v>83.940789473684205</v>
      </c>
      <c r="DS9" s="2">
        <f t="shared" si="116"/>
        <v>83.53289473684211</v>
      </c>
      <c r="DT9" s="2">
        <f t="shared" si="116"/>
        <v>73.302631578947384</v>
      </c>
      <c r="DU9" s="2">
        <f t="shared" si="116"/>
        <v>78.592105263157904</v>
      </c>
      <c r="DV9" s="2">
        <f t="shared" si="116"/>
        <v>68.763157894736835</v>
      </c>
      <c r="DW9" s="2">
        <f t="shared" si="116"/>
        <v>68.401315789473685</v>
      </c>
      <c r="DX9" s="2">
        <f t="shared" si="116"/>
        <v>61.243421052631582</v>
      </c>
      <c r="DY9" s="2">
        <f t="shared" si="116"/>
        <v>77.631578947368411</v>
      </c>
      <c r="DZ9" s="2">
        <f t="shared" si="116"/>
        <v>78.78947368421052</v>
      </c>
      <c r="EA9" s="2">
        <f t="shared" si="116"/>
        <v>79</v>
      </c>
      <c r="EB9" s="2">
        <f t="shared" si="116"/>
        <v>70.184210526315795</v>
      </c>
      <c r="EC9" s="2">
        <f t="shared" si="116"/>
        <v>75.94736842105263</v>
      </c>
      <c r="ED9" s="2">
        <f t="shared" si="116"/>
        <v>67.026315789473685</v>
      </c>
      <c r="EE9" s="2">
        <f t="shared" si="116"/>
        <v>68.473684210526329</v>
      </c>
      <c r="EF9" s="2">
        <f t="shared" si="116"/>
        <v>62.999999999999986</v>
      </c>
      <c r="EG9" s="2">
        <f t="shared" si="116"/>
        <v>72.039473684210535</v>
      </c>
      <c r="EH9" s="2">
        <f t="shared" si="116"/>
        <v>73.638157894736835</v>
      </c>
      <c r="EI9" s="2">
        <f t="shared" si="116"/>
        <v>74.46710526315789</v>
      </c>
      <c r="EJ9" s="2">
        <f t="shared" si="116"/>
        <v>67.065789473684205</v>
      </c>
      <c r="EK9" s="2">
        <f t="shared" si="116"/>
        <v>73.30263157894737</v>
      </c>
      <c r="EL9" s="2">
        <f t="shared" si="116"/>
        <v>65.28947368421052</v>
      </c>
      <c r="EM9" s="2">
        <f t="shared" si="116"/>
        <v>68.546052631578945</v>
      </c>
      <c r="EN9" s="2">
        <f t="shared" si="116"/>
        <v>64.756578947368425</v>
      </c>
      <c r="EO9" s="2">
        <f t="shared" si="116"/>
        <v>66.44736842105263</v>
      </c>
      <c r="EP9" s="2">
        <f t="shared" si="116"/>
        <v>68.486842105263165</v>
      </c>
      <c r="EQ9" s="2">
        <f t="shared" si="116"/>
        <v>69.934210526315795</v>
      </c>
      <c r="ER9" s="2">
        <f t="shared" si="116"/>
        <v>63.947368421052637</v>
      </c>
      <c r="ES9" s="2">
        <f t="shared" si="116"/>
        <v>70.657894736842124</v>
      </c>
      <c r="ET9" s="2">
        <f t="shared" si="116"/>
        <v>63.55263157894737</v>
      </c>
      <c r="EU9" s="2">
        <f t="shared" si="116"/>
        <v>68.618421052631575</v>
      </c>
      <c r="EV9" s="2">
        <f t="shared" si="116"/>
        <v>66.51315789473685</v>
      </c>
      <c r="EW9" s="2">
        <f t="shared" si="116"/>
        <v>60.855263157894747</v>
      </c>
      <c r="EX9" s="2">
        <f t="shared" si="116"/>
        <v>63.335526315789473</v>
      </c>
      <c r="EY9" s="2">
        <f t="shared" si="116"/>
        <v>65.401315789473685</v>
      </c>
      <c r="EZ9" s="2">
        <f t="shared" si="116"/>
        <v>60.828947368421069</v>
      </c>
      <c r="FA9" s="2">
        <f t="shared" si="116"/>
        <v>68.01315789473685</v>
      </c>
      <c r="FB9" s="2">
        <f t="shared" si="116"/>
        <v>61.815789473684227</v>
      </c>
      <c r="FC9" s="2">
        <f t="shared" si="116"/>
        <v>68.690789473684205</v>
      </c>
      <c r="FD9" s="2">
        <f t="shared" si="116"/>
        <v>68.26973684210526</v>
      </c>
    </row>
    <row r="10" spans="3:160" x14ac:dyDescent="0.4">
      <c r="C10" s="1" t="s">
        <v>11</v>
      </c>
      <c r="D10" s="1" t="s">
        <v>5</v>
      </c>
      <c r="E10" s="1">
        <v>0.26400000000000001</v>
      </c>
      <c r="F10" s="1">
        <v>0.156</v>
      </c>
      <c r="G10" s="1">
        <v>0.108</v>
      </c>
      <c r="H10" s="1">
        <v>3.9E-2</v>
      </c>
      <c r="I10" s="1">
        <v>3778</v>
      </c>
      <c r="J10" s="1">
        <v>3517</v>
      </c>
      <c r="K10" s="1">
        <v>48</v>
      </c>
      <c r="L10" s="1">
        <v>4568</v>
      </c>
      <c r="M10" s="1">
        <v>5453</v>
      </c>
      <c r="N10" s="1">
        <v>67</v>
      </c>
      <c r="O10" s="1">
        <v>71</v>
      </c>
      <c r="P10" s="1">
        <v>65.5</v>
      </c>
      <c r="Q10" s="1">
        <v>66</v>
      </c>
      <c r="R10" s="1">
        <v>48</v>
      </c>
      <c r="S10" s="1">
        <v>73.5</v>
      </c>
      <c r="T10" s="4">
        <v>0</v>
      </c>
      <c r="U10" s="1">
        <v>2.0089999999999999</v>
      </c>
      <c r="V10" s="1">
        <v>5.7000000000000002E-2</v>
      </c>
      <c r="W10" s="1">
        <v>4.0199999999999996</v>
      </c>
      <c r="X10" s="1">
        <f t="shared" ref="X10" si="117">H11</f>
        <v>1.7000000000000001E-2</v>
      </c>
      <c r="Y10" s="1">
        <f t="shared" ref="Y10" si="118">H12</f>
        <v>4.8000000000000001E-2</v>
      </c>
      <c r="Z10" s="1">
        <f t="shared" ref="Z10" si="119">H13</f>
        <v>1.7999999999999999E-2</v>
      </c>
      <c r="AA10" s="1">
        <f t="shared" ref="AA10" si="120">H14</f>
        <v>1.7999999999999999E-2</v>
      </c>
      <c r="AB10" s="1">
        <f t="shared" ref="AB10" si="121">H15</f>
        <v>1.7999999999999999E-2</v>
      </c>
      <c r="AC10" s="1">
        <f t="shared" si="114"/>
        <v>4109.6669000674683</v>
      </c>
      <c r="AE10" s="1" t="s">
        <v>96</v>
      </c>
      <c r="AF10" s="1">
        <v>1</v>
      </c>
      <c r="AG10" s="1">
        <v>0.81499999999999995</v>
      </c>
      <c r="AH10" s="1">
        <v>0.64500000000000002</v>
      </c>
      <c r="AI10" s="1">
        <v>0.39500000000000002</v>
      </c>
      <c r="AJ10" s="1">
        <v>0.36</v>
      </c>
      <c r="AK10" s="1">
        <v>0.245</v>
      </c>
      <c r="AL10" s="1">
        <v>0.14499999999999999</v>
      </c>
      <c r="AM10" s="20">
        <v>6.5000000000000002E-2</v>
      </c>
      <c r="AN10" s="1">
        <v>1</v>
      </c>
      <c r="AO10" s="1">
        <v>0.81499999999999995</v>
      </c>
      <c r="AP10" s="1">
        <v>0.64500000000000002</v>
      </c>
      <c r="AQ10" s="1">
        <v>0.39500000000000002</v>
      </c>
      <c r="AR10" s="1">
        <v>0.36</v>
      </c>
      <c r="AS10" s="1">
        <v>0.245</v>
      </c>
      <c r="AT10" s="1">
        <v>0.14499999999999999</v>
      </c>
      <c r="AU10" s="20">
        <v>6.5000000000000002E-2</v>
      </c>
      <c r="AV10" s="1">
        <v>1</v>
      </c>
      <c r="AW10" s="1">
        <v>0.81499999999999995</v>
      </c>
      <c r="AX10" s="1">
        <v>0.64500000000000002</v>
      </c>
      <c r="AY10" s="1">
        <v>0.39500000000000002</v>
      </c>
      <c r="AZ10" s="1">
        <v>0.36</v>
      </c>
      <c r="BA10" s="1">
        <v>0.245</v>
      </c>
      <c r="BB10" s="1">
        <v>0.14499999999999999</v>
      </c>
      <c r="BC10" s="20">
        <v>6.5000000000000002E-2</v>
      </c>
      <c r="BD10" s="1">
        <v>1</v>
      </c>
      <c r="BE10" s="1">
        <v>0.81499999999999995</v>
      </c>
      <c r="BF10" s="1">
        <v>0.64500000000000002</v>
      </c>
      <c r="BG10" s="1">
        <v>0.39500000000000002</v>
      </c>
      <c r="BH10" s="1">
        <v>0.36</v>
      </c>
      <c r="BI10" s="1">
        <v>0.245</v>
      </c>
      <c r="BJ10" s="1">
        <v>0.14499999999999999</v>
      </c>
      <c r="BK10" s="20">
        <v>6.5000000000000002E-2</v>
      </c>
      <c r="BL10" s="1">
        <v>1</v>
      </c>
      <c r="BM10" s="1">
        <v>0.81499999999999995</v>
      </c>
      <c r="BN10" s="1">
        <v>0.64500000000000002</v>
      </c>
      <c r="BO10" s="1">
        <v>0.39500000000000002</v>
      </c>
      <c r="BP10" s="1">
        <v>0.36</v>
      </c>
      <c r="BQ10" s="1">
        <v>0.245</v>
      </c>
      <c r="BR10" s="1">
        <v>0.14499999999999999</v>
      </c>
      <c r="BS10" s="20">
        <v>6.5000000000000002E-2</v>
      </c>
      <c r="BT10" s="1">
        <v>1</v>
      </c>
      <c r="BU10" s="1">
        <v>0.81499999999999995</v>
      </c>
      <c r="BV10" s="1">
        <v>0.64500000000000002</v>
      </c>
      <c r="BW10" s="1">
        <v>0.39500000000000002</v>
      </c>
      <c r="BX10" s="1">
        <v>0.36</v>
      </c>
      <c r="BY10" s="1">
        <v>0.245</v>
      </c>
      <c r="BZ10" s="1">
        <v>0.14499999999999999</v>
      </c>
      <c r="CA10" s="20">
        <v>6.5000000000000002E-2</v>
      </c>
      <c r="CB10" s="1">
        <v>1</v>
      </c>
      <c r="CC10" s="1">
        <v>0.81499999999999995</v>
      </c>
      <c r="CD10" s="1">
        <v>0.64500000000000002</v>
      </c>
      <c r="CE10" s="1">
        <v>0.39500000000000002</v>
      </c>
      <c r="CF10" s="1">
        <v>0.36</v>
      </c>
      <c r="CG10" s="1">
        <v>0.245</v>
      </c>
      <c r="CH10" s="1">
        <v>0.14499999999999999</v>
      </c>
      <c r="CI10" s="20">
        <v>6.5000000000000002E-2</v>
      </c>
      <c r="CJ10" s="1">
        <v>1</v>
      </c>
      <c r="CK10" s="1">
        <v>0.81499999999999995</v>
      </c>
      <c r="CL10" s="1">
        <v>0.64500000000000002</v>
      </c>
      <c r="CM10" s="1">
        <v>0.39500000000000002</v>
      </c>
      <c r="CN10" s="1">
        <v>0.36</v>
      </c>
      <c r="CO10" s="1">
        <v>0.245</v>
      </c>
      <c r="CP10" s="1">
        <v>0.14499999999999999</v>
      </c>
      <c r="CQ10" s="20">
        <v>6.5000000000000002E-2</v>
      </c>
    </row>
    <row r="11" spans="3:160" x14ac:dyDescent="0.4">
      <c r="C11" s="1" t="s">
        <v>11</v>
      </c>
      <c r="D11" s="1" t="s">
        <v>6</v>
      </c>
      <c r="E11" s="1">
        <v>0.23499999999999999</v>
      </c>
      <c r="F11" s="1">
        <v>0.128</v>
      </c>
      <c r="G11" s="1">
        <v>0.107</v>
      </c>
      <c r="H11" s="1">
        <v>1.7000000000000001E-2</v>
      </c>
      <c r="I11" s="1">
        <v>3778</v>
      </c>
      <c r="J11" s="1">
        <v>3517</v>
      </c>
      <c r="K11" s="1">
        <v>48</v>
      </c>
      <c r="L11" s="1">
        <v>4568</v>
      </c>
      <c r="M11" s="1">
        <v>5453</v>
      </c>
      <c r="N11" s="1">
        <v>67</v>
      </c>
      <c r="O11" s="1">
        <v>71</v>
      </c>
      <c r="P11" s="1">
        <v>65.5</v>
      </c>
      <c r="Q11" s="1">
        <v>66</v>
      </c>
      <c r="R11" s="1">
        <v>48</v>
      </c>
      <c r="S11" s="1">
        <v>73.5</v>
      </c>
      <c r="T11" s="4">
        <v>0</v>
      </c>
      <c r="U11" s="1">
        <v>2.0089999999999999</v>
      </c>
      <c r="V11" s="1">
        <v>5.7000000000000002E-2</v>
      </c>
      <c r="W11" s="1">
        <v>4.0199999999999996</v>
      </c>
      <c r="X11" s="1">
        <f t="shared" ref="X11" si="122">H11</f>
        <v>1.7000000000000001E-2</v>
      </c>
      <c r="Y11" s="1">
        <f t="shared" ref="Y11" si="123">H12</f>
        <v>4.8000000000000001E-2</v>
      </c>
      <c r="Z11" s="1">
        <f t="shared" ref="Z11" si="124">H13</f>
        <v>1.7999999999999999E-2</v>
      </c>
      <c r="AA11" s="1">
        <f t="shared" ref="AA11" si="125">H14</f>
        <v>1.7999999999999999E-2</v>
      </c>
      <c r="AB11" s="1">
        <f t="shared" ref="AB11" si="126">H15</f>
        <v>1.7999999999999999E-2</v>
      </c>
      <c r="AC11" s="1">
        <f t="shared" si="114"/>
        <v>4109.6669000674683</v>
      </c>
      <c r="CQ11" s="20"/>
    </row>
    <row r="12" spans="3:160" x14ac:dyDescent="0.4">
      <c r="C12" s="1" t="s">
        <v>11</v>
      </c>
      <c r="D12" s="1" t="s">
        <v>7</v>
      </c>
      <c r="E12" s="1">
        <v>0.27300000000000002</v>
      </c>
      <c r="F12" s="1">
        <v>0.16600000000000001</v>
      </c>
      <c r="G12" s="1">
        <v>0.108</v>
      </c>
      <c r="H12" s="1">
        <v>4.8000000000000001E-2</v>
      </c>
      <c r="I12" s="1">
        <v>3778</v>
      </c>
      <c r="J12" s="1">
        <v>3517</v>
      </c>
      <c r="K12" s="1">
        <v>48</v>
      </c>
      <c r="L12" s="1">
        <v>4568</v>
      </c>
      <c r="M12" s="1">
        <v>5453</v>
      </c>
      <c r="N12" s="1">
        <v>67</v>
      </c>
      <c r="O12" s="1">
        <v>71</v>
      </c>
      <c r="P12" s="1">
        <v>65.5</v>
      </c>
      <c r="Q12" s="1">
        <v>66</v>
      </c>
      <c r="R12" s="1">
        <v>48</v>
      </c>
      <c r="S12" s="1">
        <v>73.5</v>
      </c>
      <c r="T12" s="4">
        <v>0</v>
      </c>
      <c r="U12" s="1">
        <v>2.0089999999999999</v>
      </c>
      <c r="V12" s="1">
        <v>5.7000000000000002E-2</v>
      </c>
      <c r="W12" s="1">
        <v>4.0199999999999996</v>
      </c>
      <c r="X12" s="1">
        <f t="shared" ref="X12" si="127">H11</f>
        <v>1.7000000000000001E-2</v>
      </c>
      <c r="Y12" s="1">
        <f t="shared" ref="Y12" si="128">H12</f>
        <v>4.8000000000000001E-2</v>
      </c>
      <c r="Z12" s="1">
        <f t="shared" ref="Z12" si="129">H13</f>
        <v>1.7999999999999999E-2</v>
      </c>
      <c r="AA12" s="1">
        <f t="shared" ref="AA12" si="130">H14</f>
        <v>1.7999999999999999E-2</v>
      </c>
      <c r="AB12" s="1">
        <f t="shared" ref="AB12" si="131">H15</f>
        <v>1.7999999999999999E-2</v>
      </c>
      <c r="AC12" s="1">
        <f t="shared" si="114"/>
        <v>4109.6669000674683</v>
      </c>
      <c r="AE12" s="1" t="s">
        <v>97</v>
      </c>
      <c r="AF12" s="1">
        <v>0</v>
      </c>
      <c r="AG12" s="1">
        <v>0.12</v>
      </c>
      <c r="AH12" s="1">
        <v>0.21</v>
      </c>
      <c r="AI12" s="1">
        <v>0.26</v>
      </c>
      <c r="AJ12" s="1">
        <v>0.28000000000000003</v>
      </c>
      <c r="AK12" s="1">
        <v>0.26</v>
      </c>
      <c r="AL12" s="1">
        <v>0.21</v>
      </c>
      <c r="AM12" s="20">
        <v>0.12</v>
      </c>
      <c r="AN12" s="1">
        <v>0</v>
      </c>
      <c r="AO12" s="1">
        <v>0.12</v>
      </c>
      <c r="AP12" s="1">
        <v>0.21</v>
      </c>
      <c r="AQ12" s="1">
        <v>0.26</v>
      </c>
      <c r="AR12" s="1">
        <v>0.28000000000000003</v>
      </c>
      <c r="AS12" s="1">
        <v>0.26</v>
      </c>
      <c r="AT12" s="1">
        <v>0.21</v>
      </c>
      <c r="AU12" s="20">
        <v>0.12</v>
      </c>
      <c r="AV12" s="1">
        <v>0</v>
      </c>
      <c r="AW12" s="1">
        <v>0.12</v>
      </c>
      <c r="AX12" s="1">
        <v>0.21</v>
      </c>
      <c r="AY12" s="1">
        <v>0.26</v>
      </c>
      <c r="AZ12" s="1">
        <v>0.28000000000000003</v>
      </c>
      <c r="BA12" s="1">
        <v>0.26</v>
      </c>
      <c r="BB12" s="1">
        <v>0.21</v>
      </c>
      <c r="BC12" s="20">
        <v>0.12</v>
      </c>
      <c r="BD12" s="1">
        <v>0</v>
      </c>
      <c r="BE12" s="1">
        <v>0.12</v>
      </c>
      <c r="BF12" s="1">
        <v>0.21</v>
      </c>
      <c r="BG12" s="1">
        <v>0.26</v>
      </c>
      <c r="BH12" s="1">
        <v>0.28000000000000003</v>
      </c>
      <c r="BI12" s="1">
        <v>0.26</v>
      </c>
      <c r="BJ12" s="1">
        <v>0.21</v>
      </c>
      <c r="BK12" s="20">
        <v>0.12</v>
      </c>
      <c r="BL12" s="1">
        <v>0</v>
      </c>
      <c r="BM12" s="1">
        <v>0.12</v>
      </c>
      <c r="BN12" s="1">
        <v>0.21</v>
      </c>
      <c r="BO12" s="1">
        <v>0.26</v>
      </c>
      <c r="BP12" s="1">
        <v>0.28000000000000003</v>
      </c>
      <c r="BQ12" s="1">
        <v>0.26</v>
      </c>
      <c r="BR12" s="1">
        <v>0.21</v>
      </c>
      <c r="BS12" s="20">
        <v>0.12</v>
      </c>
      <c r="BT12" s="1">
        <v>0</v>
      </c>
      <c r="BU12" s="1">
        <v>0.12</v>
      </c>
      <c r="BV12" s="1">
        <v>0.21</v>
      </c>
      <c r="BW12" s="1">
        <v>0.26</v>
      </c>
      <c r="BX12" s="1">
        <v>0.28000000000000003</v>
      </c>
      <c r="BY12" s="1">
        <v>0.26</v>
      </c>
      <c r="BZ12" s="1">
        <v>0.21</v>
      </c>
      <c r="CA12" s="20">
        <v>0.12</v>
      </c>
      <c r="CB12" s="1">
        <v>0</v>
      </c>
      <c r="CC12" s="1">
        <v>0.12</v>
      </c>
      <c r="CD12" s="1">
        <v>0.21</v>
      </c>
      <c r="CE12" s="1">
        <v>0.26</v>
      </c>
      <c r="CF12" s="1">
        <v>0.28000000000000003</v>
      </c>
      <c r="CG12" s="1">
        <v>0.26</v>
      </c>
      <c r="CH12" s="1">
        <v>0.21</v>
      </c>
      <c r="CI12" s="20">
        <v>0.12</v>
      </c>
      <c r="CJ12" s="1">
        <v>0</v>
      </c>
      <c r="CK12" s="1">
        <v>0.12</v>
      </c>
      <c r="CL12" s="1">
        <v>0.21</v>
      </c>
      <c r="CM12" s="1">
        <v>0.26</v>
      </c>
      <c r="CN12" s="1">
        <v>0.28000000000000003</v>
      </c>
      <c r="CO12" s="1">
        <v>0.26</v>
      </c>
      <c r="CP12" s="1">
        <v>0.21</v>
      </c>
      <c r="CQ12" s="20">
        <v>0.12</v>
      </c>
    </row>
    <row r="13" spans="3:160" x14ac:dyDescent="0.4">
      <c r="C13" s="1" t="s">
        <v>11</v>
      </c>
      <c r="D13" s="1" t="s">
        <v>8</v>
      </c>
      <c r="E13" s="1">
        <v>0.23599999999999999</v>
      </c>
      <c r="F13" s="1">
        <v>0.129</v>
      </c>
      <c r="G13" s="1">
        <v>0.107</v>
      </c>
      <c r="H13" s="1">
        <v>1.7999999999999999E-2</v>
      </c>
      <c r="I13" s="1">
        <v>3778</v>
      </c>
      <c r="J13" s="1">
        <v>3517</v>
      </c>
      <c r="K13" s="1">
        <v>48</v>
      </c>
      <c r="L13" s="1">
        <v>4568</v>
      </c>
      <c r="M13" s="1">
        <v>5453</v>
      </c>
      <c r="N13" s="1">
        <v>67</v>
      </c>
      <c r="O13" s="1">
        <v>71</v>
      </c>
      <c r="P13" s="1">
        <v>65.5</v>
      </c>
      <c r="Q13" s="1">
        <v>66</v>
      </c>
      <c r="R13" s="1">
        <v>48</v>
      </c>
      <c r="S13" s="1">
        <v>73.5</v>
      </c>
      <c r="T13" s="4">
        <v>0</v>
      </c>
      <c r="U13" s="1">
        <v>2.0089999999999999</v>
      </c>
      <c r="V13" s="1">
        <v>5.7000000000000002E-2</v>
      </c>
      <c r="W13" s="1">
        <v>4.0199999999999996</v>
      </c>
      <c r="X13" s="1">
        <f t="shared" ref="X13" si="132">H11</f>
        <v>1.7000000000000001E-2</v>
      </c>
      <c r="Y13" s="1">
        <f t="shared" ref="Y13" si="133">H12</f>
        <v>4.8000000000000001E-2</v>
      </c>
      <c r="Z13" s="1">
        <f t="shared" ref="Z13" si="134">H13</f>
        <v>1.7999999999999999E-2</v>
      </c>
      <c r="AA13" s="1">
        <f t="shared" ref="AA13" si="135">H14</f>
        <v>1.7999999999999999E-2</v>
      </c>
      <c r="AB13" s="1">
        <f t="shared" ref="AB13" si="136">H15</f>
        <v>1.7999999999999999E-2</v>
      </c>
      <c r="AC13" s="1">
        <f t="shared" si="114"/>
        <v>4109.6669000674683</v>
      </c>
      <c r="CQ13" s="20"/>
    </row>
    <row r="14" spans="3:160" x14ac:dyDescent="0.4">
      <c r="C14" s="1" t="s">
        <v>11</v>
      </c>
      <c r="D14" s="1" t="s">
        <v>9</v>
      </c>
      <c r="E14" s="1">
        <v>0.23599999999999999</v>
      </c>
      <c r="F14" s="1">
        <v>0.129</v>
      </c>
      <c r="G14" s="1">
        <v>0.107</v>
      </c>
      <c r="H14" s="1">
        <v>1.7999999999999999E-2</v>
      </c>
      <c r="I14" s="1">
        <v>3778</v>
      </c>
      <c r="J14" s="1">
        <v>3517</v>
      </c>
      <c r="K14" s="1">
        <v>48</v>
      </c>
      <c r="L14" s="1">
        <v>4568</v>
      </c>
      <c r="M14" s="1">
        <v>5453</v>
      </c>
      <c r="N14" s="1">
        <v>67</v>
      </c>
      <c r="O14" s="1">
        <v>71</v>
      </c>
      <c r="P14" s="1">
        <v>65.5</v>
      </c>
      <c r="Q14" s="1">
        <v>66</v>
      </c>
      <c r="R14" s="1">
        <v>48</v>
      </c>
      <c r="S14" s="1">
        <v>73.5</v>
      </c>
      <c r="T14" s="4">
        <v>0</v>
      </c>
      <c r="U14" s="1">
        <v>2.0089999999999999</v>
      </c>
      <c r="V14" s="1">
        <v>5.7000000000000002E-2</v>
      </c>
      <c r="W14" s="1">
        <v>4.0199999999999996</v>
      </c>
      <c r="X14" s="1">
        <f t="shared" ref="X14" si="137">H11</f>
        <v>1.7000000000000001E-2</v>
      </c>
      <c r="Y14" s="1">
        <f t="shared" ref="Y14" si="138">H12</f>
        <v>4.8000000000000001E-2</v>
      </c>
      <c r="Z14" s="1">
        <f t="shared" ref="Z14" si="139">H13</f>
        <v>1.7999999999999999E-2</v>
      </c>
      <c r="AA14" s="1">
        <f t="shared" ref="AA14" si="140">H14</f>
        <v>1.7999999999999999E-2</v>
      </c>
      <c r="AB14" s="1">
        <f t="shared" ref="AB14" si="141">H15</f>
        <v>1.7999999999999999E-2</v>
      </c>
      <c r="AC14" s="1">
        <f t="shared" si="114"/>
        <v>4109.6669000674683</v>
      </c>
      <c r="AE14" s="1" t="s">
        <v>98</v>
      </c>
      <c r="AF14" s="1">
        <v>0</v>
      </c>
      <c r="AG14" s="1">
        <v>6.5000000000000002E-2</v>
      </c>
      <c r="AH14" s="1">
        <v>0.14499999999999999</v>
      </c>
      <c r="AI14" s="1">
        <v>0.245</v>
      </c>
      <c r="AJ14" s="1">
        <v>0.36</v>
      </c>
      <c r="AK14" s="1">
        <v>0.39500000000000002</v>
      </c>
      <c r="AL14" s="1">
        <v>0.64500000000000002</v>
      </c>
      <c r="AM14" s="20">
        <v>0.81499999999999995</v>
      </c>
      <c r="AN14" s="1">
        <v>0</v>
      </c>
      <c r="AO14" s="1">
        <v>6.5000000000000002E-2</v>
      </c>
      <c r="AP14" s="1">
        <v>0.14499999999999999</v>
      </c>
      <c r="AQ14" s="1">
        <v>0.245</v>
      </c>
      <c r="AR14" s="1">
        <v>0.36</v>
      </c>
      <c r="AS14" s="1">
        <v>0.39500000000000002</v>
      </c>
      <c r="AT14" s="1">
        <v>0.64500000000000002</v>
      </c>
      <c r="AU14" s="20">
        <v>0.81499999999999995</v>
      </c>
      <c r="AV14" s="1">
        <v>0</v>
      </c>
      <c r="AW14" s="1">
        <v>6.5000000000000002E-2</v>
      </c>
      <c r="AX14" s="1">
        <v>0.14499999999999999</v>
      </c>
      <c r="AY14" s="1">
        <v>0.245</v>
      </c>
      <c r="AZ14" s="1">
        <v>0.36</v>
      </c>
      <c r="BA14" s="1">
        <v>0.39500000000000002</v>
      </c>
      <c r="BB14" s="1">
        <v>0.64500000000000002</v>
      </c>
      <c r="BC14" s="20">
        <v>0.81499999999999995</v>
      </c>
      <c r="BD14" s="1">
        <v>0</v>
      </c>
      <c r="BE14" s="1">
        <v>6.5000000000000002E-2</v>
      </c>
      <c r="BF14" s="1">
        <v>0.14499999999999999</v>
      </c>
      <c r="BG14" s="1">
        <v>0.245</v>
      </c>
      <c r="BH14" s="1">
        <v>0.36</v>
      </c>
      <c r="BI14" s="1">
        <v>0.39500000000000002</v>
      </c>
      <c r="BJ14" s="1">
        <v>0.64500000000000002</v>
      </c>
      <c r="BK14" s="20">
        <v>0.81499999999999995</v>
      </c>
      <c r="BL14" s="1">
        <v>0</v>
      </c>
      <c r="BM14" s="1">
        <v>6.5000000000000002E-2</v>
      </c>
      <c r="BN14" s="1">
        <v>0.14499999999999999</v>
      </c>
      <c r="BO14" s="1">
        <v>0.245</v>
      </c>
      <c r="BP14" s="1">
        <v>0.36</v>
      </c>
      <c r="BQ14" s="1">
        <v>0.39500000000000002</v>
      </c>
      <c r="BR14" s="1">
        <v>0.64500000000000002</v>
      </c>
      <c r="BS14" s="20">
        <v>0.81499999999999995</v>
      </c>
      <c r="BT14" s="1">
        <v>0</v>
      </c>
      <c r="BU14" s="1">
        <v>6.5000000000000002E-2</v>
      </c>
      <c r="BV14" s="1">
        <v>0.14499999999999999</v>
      </c>
      <c r="BW14" s="1">
        <v>0.245</v>
      </c>
      <c r="BX14" s="1">
        <v>0.36</v>
      </c>
      <c r="BY14" s="1">
        <v>0.39500000000000002</v>
      </c>
      <c r="BZ14" s="1">
        <v>0.64500000000000002</v>
      </c>
      <c r="CA14" s="20">
        <v>0.81499999999999995</v>
      </c>
      <c r="CB14" s="1">
        <v>0</v>
      </c>
      <c r="CC14" s="1">
        <v>6.5000000000000002E-2</v>
      </c>
      <c r="CD14" s="1">
        <v>0.14499999999999999</v>
      </c>
      <c r="CE14" s="1">
        <v>0.245</v>
      </c>
      <c r="CF14" s="1">
        <v>0.36</v>
      </c>
      <c r="CG14" s="1">
        <v>0.39500000000000002</v>
      </c>
      <c r="CH14" s="1">
        <v>0.64500000000000002</v>
      </c>
      <c r="CI14" s="20">
        <v>0.81499999999999995</v>
      </c>
      <c r="CJ14" s="1">
        <v>0</v>
      </c>
      <c r="CK14" s="1">
        <v>6.5000000000000002E-2</v>
      </c>
      <c r="CL14" s="1">
        <v>0.14499999999999999</v>
      </c>
      <c r="CM14" s="1">
        <v>0.245</v>
      </c>
      <c r="CN14" s="1">
        <v>0.36</v>
      </c>
      <c r="CO14" s="1">
        <v>0.39500000000000002</v>
      </c>
      <c r="CP14" s="1">
        <v>0.64500000000000002</v>
      </c>
      <c r="CQ14" s="20">
        <v>0.81499999999999995</v>
      </c>
    </row>
    <row r="15" spans="3:160" s="2" customFormat="1" x14ac:dyDescent="0.4">
      <c r="C15" s="2" t="s">
        <v>11</v>
      </c>
      <c r="D15" s="2" t="s">
        <v>10</v>
      </c>
      <c r="E15" s="2">
        <v>0.23599999999999999</v>
      </c>
      <c r="F15" s="2">
        <v>0.129</v>
      </c>
      <c r="G15" s="2">
        <v>0.107</v>
      </c>
      <c r="H15" s="2">
        <v>1.7999999999999999E-2</v>
      </c>
      <c r="I15" s="2">
        <v>3778</v>
      </c>
      <c r="J15" s="2">
        <v>3517</v>
      </c>
      <c r="K15" s="2">
        <v>48</v>
      </c>
      <c r="L15" s="2">
        <v>4568</v>
      </c>
      <c r="M15" s="2">
        <v>5453</v>
      </c>
      <c r="N15" s="2">
        <v>67</v>
      </c>
      <c r="O15" s="2">
        <v>71</v>
      </c>
      <c r="P15" s="2">
        <v>65.5</v>
      </c>
      <c r="Q15" s="2">
        <v>66</v>
      </c>
      <c r="R15" s="2">
        <v>48</v>
      </c>
      <c r="S15" s="2">
        <v>73.5</v>
      </c>
      <c r="T15" s="6">
        <f t="shared" ref="T15" si="142">(N10*O10*P10*Q10*R10*S10)/(I10*J10*K10*(F10*H10 + F11*H11 + F12*H12 + F13*H13 + F14*H14 + F15*H15))</f>
        <v>4904.5114335138051</v>
      </c>
      <c r="U15" s="2">
        <v>2.0089999999999999</v>
      </c>
      <c r="V15" s="2">
        <v>5.7000000000000002E-2</v>
      </c>
      <c r="W15" s="2">
        <v>4.0199999999999996</v>
      </c>
      <c r="X15" s="2">
        <f t="shared" ref="X15" si="143">H11</f>
        <v>1.7000000000000001E-2</v>
      </c>
      <c r="Y15" s="2">
        <f t="shared" ref="Y15" si="144">H12</f>
        <v>4.8000000000000001E-2</v>
      </c>
      <c r="Z15" s="2">
        <f t="shared" ref="Z15" si="145">H13</f>
        <v>1.7999999999999999E-2</v>
      </c>
      <c r="AA15" s="2">
        <f t="shared" ref="AA15" si="146">H14</f>
        <v>1.7999999999999999E-2</v>
      </c>
      <c r="AB15" s="2">
        <f t="shared" ref="AB15" si="147">H15</f>
        <v>1.7999999999999999E-2</v>
      </c>
      <c r="AC15" s="1">
        <f t="shared" si="114"/>
        <v>4109.6669000674683</v>
      </c>
      <c r="AE15" s="2" t="s">
        <v>99</v>
      </c>
      <c r="AF15" s="23">
        <f>($O15*$Q15*$S15)^(1/3)/(AF10*((1-AF$2)*$H10+AF$2*$H11) + AF12*((1-AF$2)*$H12+AF$2*$H13) + AF14*((1-AF$2)*$H14+AF$2*$H15))</f>
        <v>1797.347012333353</v>
      </c>
      <c r="AG15" s="23">
        <f t="shared" ref="AG15:CQ15" si="148">($O15*$Q15*$S15)^(1/3)/(AG10*((1-AG$2)*$H10+AG$2*$H11) + AG12*((1-AG$2)*$H12+AG$2*$H13) + AG14*((1-AG$2)*$H14+AG$2*$H15))</f>
        <v>1810.578160428794</v>
      </c>
      <c r="AH15" s="23">
        <f t="shared" si="148"/>
        <v>1852.2006468754328</v>
      </c>
      <c r="AI15" s="23">
        <f t="shared" si="148"/>
        <v>2170.5073070444578</v>
      </c>
      <c r="AJ15" s="23">
        <f t="shared" si="148"/>
        <v>2064.0910919022599</v>
      </c>
      <c r="AK15" s="23">
        <f t="shared" si="148"/>
        <v>2405.0963623606372</v>
      </c>
      <c r="AL15" s="23">
        <f t="shared" si="148"/>
        <v>2563.413182702533</v>
      </c>
      <c r="AM15" s="23">
        <f t="shared" si="148"/>
        <v>3052.3202038319514</v>
      </c>
      <c r="AN15" s="23">
        <f t="shared" si="148"/>
        <v>1933.6974753379518</v>
      </c>
      <c r="AO15" s="23">
        <f t="shared" si="148"/>
        <v>1945.8422146778378</v>
      </c>
      <c r="AP15" s="23">
        <f t="shared" si="148"/>
        <v>1986.6520276614804</v>
      </c>
      <c r="AQ15" s="23">
        <f t="shared" si="148"/>
        <v>2318.4862440484808</v>
      </c>
      <c r="AR15" s="23">
        <f t="shared" si="148"/>
        <v>2196.0066880012769</v>
      </c>
      <c r="AS15" s="23">
        <f t="shared" si="148"/>
        <v>2549.3124873755787</v>
      </c>
      <c r="AT15" s="23">
        <f t="shared" si="148"/>
        <v>2679.6591381851485</v>
      </c>
      <c r="AU15" s="23">
        <f t="shared" si="148"/>
        <v>3138.2409079859317</v>
      </c>
      <c r="AV15" s="23">
        <f t="shared" si="148"/>
        <v>2092.4338352537538</v>
      </c>
      <c r="AW15" s="23">
        <f t="shared" si="148"/>
        <v>2102.9485781444769</v>
      </c>
      <c r="AX15" s="23">
        <f t="shared" si="148"/>
        <v>2142.1509200397513</v>
      </c>
      <c r="AY15" s="23">
        <f t="shared" si="148"/>
        <v>2488.1190338450883</v>
      </c>
      <c r="AZ15" s="23">
        <f t="shared" si="148"/>
        <v>2345.9348554551793</v>
      </c>
      <c r="BA15" s="23">
        <f t="shared" si="148"/>
        <v>2711.927013482958</v>
      </c>
      <c r="BB15" s="23">
        <f t="shared" si="148"/>
        <v>2806.9489831214642</v>
      </c>
      <c r="BC15" s="23">
        <f t="shared" si="148"/>
        <v>3229.1389372797776</v>
      </c>
      <c r="BD15" s="23">
        <f t="shared" si="148"/>
        <v>2279.5620644227893</v>
      </c>
      <c r="BE15" s="23">
        <f t="shared" si="148"/>
        <v>2287.6525429282669</v>
      </c>
      <c r="BF15" s="23">
        <f t="shared" si="148"/>
        <v>2324.0592973103157</v>
      </c>
      <c r="BG15" s="23">
        <f t="shared" si="148"/>
        <v>2684.5338113265648</v>
      </c>
      <c r="BH15" s="23">
        <f t="shared" si="148"/>
        <v>2517.8352543462915</v>
      </c>
      <c r="BI15" s="23">
        <f t="shared" si="148"/>
        <v>2896.7005932538154</v>
      </c>
      <c r="BJ15" s="23">
        <f t="shared" si="148"/>
        <v>2946.9350351989392</v>
      </c>
      <c r="BK15" s="23">
        <f t="shared" si="148"/>
        <v>3325.4596919172518</v>
      </c>
      <c r="BL15" s="23">
        <f t="shared" si="148"/>
        <v>2503.4476243214558</v>
      </c>
      <c r="BM15" s="23">
        <f t="shared" si="148"/>
        <v>2507.9260637209577</v>
      </c>
      <c r="BN15" s="23">
        <f t="shared" si="148"/>
        <v>2539.7294739493032</v>
      </c>
      <c r="BO15" s="23">
        <f t="shared" si="148"/>
        <v>2914.6167767567881</v>
      </c>
      <c r="BP15" s="23">
        <f t="shared" si="148"/>
        <v>2716.91990236437</v>
      </c>
      <c r="BQ15" s="23">
        <f t="shared" si="148"/>
        <v>3108.493724212894</v>
      </c>
      <c r="BR15" s="23">
        <f t="shared" si="148"/>
        <v>3101.6165257079983</v>
      </c>
      <c r="BS15" s="23">
        <f t="shared" si="148"/>
        <v>3427.7033487041945</v>
      </c>
      <c r="BT15" s="23">
        <f t="shared" si="148"/>
        <v>2776.1003358812181</v>
      </c>
      <c r="BU15" s="23">
        <f t="shared" si="148"/>
        <v>2775.1386541693773</v>
      </c>
      <c r="BV15" s="23">
        <f t="shared" si="148"/>
        <v>2799.522080016005</v>
      </c>
      <c r="BW15" s="23">
        <f t="shared" si="148"/>
        <v>3187.8362108351203</v>
      </c>
      <c r="BX15" s="23">
        <f t="shared" si="148"/>
        <v>2950.1908030724221</v>
      </c>
      <c r="BY15" s="23">
        <f t="shared" si="148"/>
        <v>3353.7005433168233</v>
      </c>
      <c r="BZ15" s="23">
        <f t="shared" si="148"/>
        <v>3273.4356887981212</v>
      </c>
      <c r="CA15" s="23">
        <f t="shared" si="148"/>
        <v>3536.433548893272</v>
      </c>
      <c r="CB15" s="23">
        <f t="shared" si="148"/>
        <v>3115.4014880444784</v>
      </c>
      <c r="CC15" s="23">
        <f t="shared" si="148"/>
        <v>3106.0832383294896</v>
      </c>
      <c r="CD15" s="23">
        <f t="shared" si="148"/>
        <v>3118.520008052531</v>
      </c>
      <c r="CE15" s="23">
        <f t="shared" si="148"/>
        <v>3517.5778939154816</v>
      </c>
      <c r="CF15" s="23">
        <f t="shared" si="148"/>
        <v>3227.2805470074018</v>
      </c>
      <c r="CG15" s="23">
        <f t="shared" si="148"/>
        <v>3640.9055177769519</v>
      </c>
      <c r="CH15" s="23">
        <f t="shared" si="148"/>
        <v>3465.4076618959716</v>
      </c>
      <c r="CI15" s="23">
        <f t="shared" si="148"/>
        <v>3652.2877937215458</v>
      </c>
      <c r="CJ15" s="23">
        <f t="shared" si="148"/>
        <v>3549.1915686582665</v>
      </c>
      <c r="CK15" s="23">
        <f t="shared" si="148"/>
        <v>3526.6478073580661</v>
      </c>
      <c r="CL15" s="23">
        <f t="shared" si="148"/>
        <v>3519.5648518672328</v>
      </c>
      <c r="CM15" s="23">
        <f t="shared" si="148"/>
        <v>3923.4049384174496</v>
      </c>
      <c r="CN15" s="23">
        <f t="shared" si="148"/>
        <v>3561.8157256606078</v>
      </c>
      <c r="CO15" s="23">
        <f t="shared" si="148"/>
        <v>3981.9091660016052</v>
      </c>
      <c r="CP15" s="23">
        <f t="shared" si="148"/>
        <v>3681.2989420863005</v>
      </c>
      <c r="CQ15" s="23">
        <f t="shared" si="148"/>
        <v>3775.989952515024</v>
      </c>
      <c r="CS15" s="2">
        <f>100*$AF15/AF15</f>
        <v>100</v>
      </c>
      <c r="CT15" s="2">
        <f t="shared" ref="CT15:FD15" si="149">100*$AF15/AG15</f>
        <v>99.269230769230774</v>
      </c>
      <c r="CU15" s="2">
        <f t="shared" si="149"/>
        <v>97.038461538461561</v>
      </c>
      <c r="CV15" s="2">
        <f t="shared" si="149"/>
        <v>82.807692307692321</v>
      </c>
      <c r="CW15" s="2">
        <f t="shared" si="149"/>
        <v>87.076923076923109</v>
      </c>
      <c r="CX15" s="2">
        <f t="shared" si="149"/>
        <v>74.730769230769226</v>
      </c>
      <c r="CY15" s="2">
        <f t="shared" si="149"/>
        <v>70.115384615384613</v>
      </c>
      <c r="CZ15" s="2">
        <f t="shared" si="149"/>
        <v>58.884615384615387</v>
      </c>
      <c r="DA15" s="2">
        <f t="shared" si="149"/>
        <v>92.94871794871797</v>
      </c>
      <c r="DB15" s="2">
        <f t="shared" si="149"/>
        <v>92.368589743589752</v>
      </c>
      <c r="DC15" s="2">
        <f t="shared" si="149"/>
        <v>90.471153846153854</v>
      </c>
      <c r="DD15" s="2">
        <f t="shared" si="149"/>
        <v>77.522435897435912</v>
      </c>
      <c r="DE15" s="2">
        <f t="shared" si="149"/>
        <v>81.846153846153854</v>
      </c>
      <c r="DF15" s="2">
        <f t="shared" si="149"/>
        <v>70.503205128205138</v>
      </c>
      <c r="DG15" s="2">
        <f t="shared" si="149"/>
        <v>67.073717948717956</v>
      </c>
      <c r="DH15" s="2">
        <f t="shared" si="149"/>
        <v>57.272435897435898</v>
      </c>
      <c r="DI15" s="2">
        <f t="shared" si="149"/>
        <v>85.897435897435912</v>
      </c>
      <c r="DJ15" s="2">
        <f t="shared" si="149"/>
        <v>85.467948717948715</v>
      </c>
      <c r="DK15" s="2">
        <f t="shared" si="149"/>
        <v>83.90384615384616</v>
      </c>
      <c r="DL15" s="2">
        <f t="shared" si="149"/>
        <v>72.237179487179503</v>
      </c>
      <c r="DM15" s="2">
        <f t="shared" si="149"/>
        <v>76.615384615384627</v>
      </c>
      <c r="DN15" s="2">
        <f t="shared" si="149"/>
        <v>66.275641025641036</v>
      </c>
      <c r="DO15" s="2">
        <f t="shared" si="149"/>
        <v>64.032051282051285</v>
      </c>
      <c r="DP15" s="2">
        <f t="shared" si="149"/>
        <v>55.660256410256409</v>
      </c>
      <c r="DQ15" s="2">
        <f t="shared" si="149"/>
        <v>78.84615384615384</v>
      </c>
      <c r="DR15" s="2">
        <f t="shared" si="149"/>
        <v>78.567307692307708</v>
      </c>
      <c r="DS15" s="2">
        <f t="shared" si="149"/>
        <v>77.336538461538467</v>
      </c>
      <c r="DT15" s="2">
        <f t="shared" si="149"/>
        <v>66.95192307692308</v>
      </c>
      <c r="DU15" s="2">
        <f t="shared" si="149"/>
        <v>71.384615384615401</v>
      </c>
      <c r="DV15" s="2">
        <f t="shared" si="149"/>
        <v>62.048076923076927</v>
      </c>
      <c r="DW15" s="2">
        <f t="shared" si="149"/>
        <v>60.990384615384613</v>
      </c>
      <c r="DX15" s="2">
        <f t="shared" si="149"/>
        <v>54.04807692307692</v>
      </c>
      <c r="DY15" s="2">
        <f t="shared" si="149"/>
        <v>71.794871794871796</v>
      </c>
      <c r="DZ15" s="2">
        <f t="shared" si="149"/>
        <v>71.666666666666671</v>
      </c>
      <c r="EA15" s="2">
        <f t="shared" si="149"/>
        <v>70.769230769230774</v>
      </c>
      <c r="EB15" s="2">
        <f t="shared" si="149"/>
        <v>61.666666666666679</v>
      </c>
      <c r="EC15" s="2">
        <f t="shared" si="149"/>
        <v>66.153846153846175</v>
      </c>
      <c r="ED15" s="2">
        <f t="shared" si="149"/>
        <v>57.820512820512825</v>
      </c>
      <c r="EE15" s="2">
        <f t="shared" si="149"/>
        <v>57.948717948717956</v>
      </c>
      <c r="EF15" s="2">
        <f t="shared" si="149"/>
        <v>52.435897435897431</v>
      </c>
      <c r="EG15" s="2">
        <f t="shared" si="149"/>
        <v>64.743589743589752</v>
      </c>
      <c r="EH15" s="2">
        <f t="shared" si="149"/>
        <v>64.766025641025649</v>
      </c>
      <c r="EI15" s="2">
        <f t="shared" si="149"/>
        <v>64.201923076923094</v>
      </c>
      <c r="EJ15" s="2">
        <f t="shared" si="149"/>
        <v>56.38141025641027</v>
      </c>
      <c r="EK15" s="2">
        <f t="shared" si="149"/>
        <v>60.923076923076941</v>
      </c>
      <c r="EL15" s="2">
        <f t="shared" si="149"/>
        <v>53.59294871794873</v>
      </c>
      <c r="EM15" s="2">
        <f t="shared" si="149"/>
        <v>54.907051282051285</v>
      </c>
      <c r="EN15" s="2">
        <f t="shared" si="149"/>
        <v>50.823717948717949</v>
      </c>
      <c r="EO15" s="2">
        <f t="shared" si="149"/>
        <v>57.692307692307701</v>
      </c>
      <c r="EP15" s="2">
        <f t="shared" si="149"/>
        <v>57.865384615384627</v>
      </c>
      <c r="EQ15" s="2">
        <f t="shared" si="149"/>
        <v>57.634615384615387</v>
      </c>
      <c r="ER15" s="2">
        <f t="shared" si="149"/>
        <v>51.096153846153854</v>
      </c>
      <c r="ES15" s="2">
        <f t="shared" si="149"/>
        <v>55.692307692307693</v>
      </c>
      <c r="ET15" s="2">
        <f t="shared" si="149"/>
        <v>49.36538461538462</v>
      </c>
      <c r="EU15" s="2">
        <f t="shared" si="149"/>
        <v>51.86538461538462</v>
      </c>
      <c r="EV15" s="2">
        <f t="shared" si="149"/>
        <v>49.21153846153846</v>
      </c>
      <c r="EW15" s="2">
        <f t="shared" si="149"/>
        <v>50.641025641025642</v>
      </c>
      <c r="EX15" s="2">
        <f t="shared" si="149"/>
        <v>50.964743589743598</v>
      </c>
      <c r="EY15" s="2">
        <f t="shared" si="149"/>
        <v>51.067307692307686</v>
      </c>
      <c r="EZ15" s="2">
        <f t="shared" si="149"/>
        <v>45.810897435897445</v>
      </c>
      <c r="FA15" s="2">
        <f t="shared" si="149"/>
        <v>50.461538461538467</v>
      </c>
      <c r="FB15" s="2">
        <f t="shared" si="149"/>
        <v>45.137820512820518</v>
      </c>
      <c r="FC15" s="2">
        <f t="shared" si="149"/>
        <v>48.823717948717949</v>
      </c>
      <c r="FD15" s="2">
        <f t="shared" si="149"/>
        <v>47.599358974358971</v>
      </c>
    </row>
    <row r="16" spans="3:160" x14ac:dyDescent="0.4">
      <c r="C16" s="1" t="s">
        <v>12</v>
      </c>
      <c r="D16" s="1" t="s">
        <v>5</v>
      </c>
      <c r="E16" s="1">
        <v>0.26500000000000001</v>
      </c>
      <c r="F16" s="1">
        <v>0.157</v>
      </c>
      <c r="G16" s="1">
        <v>0.108</v>
      </c>
      <c r="H16" s="1">
        <v>0.04</v>
      </c>
      <c r="I16" s="1">
        <v>3839</v>
      </c>
      <c r="J16" s="1">
        <v>3637</v>
      </c>
      <c r="K16" s="1">
        <v>48</v>
      </c>
      <c r="L16" s="1">
        <v>4637</v>
      </c>
      <c r="M16" s="1">
        <v>5573</v>
      </c>
      <c r="N16" s="1">
        <v>67</v>
      </c>
      <c r="O16" s="1">
        <v>71</v>
      </c>
      <c r="P16" s="1">
        <v>65.5</v>
      </c>
      <c r="Q16" s="1">
        <v>66</v>
      </c>
      <c r="R16" s="1">
        <v>48</v>
      </c>
      <c r="S16" s="1">
        <v>73.5</v>
      </c>
      <c r="T16" s="4">
        <v>0</v>
      </c>
      <c r="U16" s="1">
        <v>2.0750000000000002</v>
      </c>
      <c r="V16" s="1">
        <v>5.8999999999999997E-2</v>
      </c>
      <c r="W16" s="1">
        <v>4.0199999999999996</v>
      </c>
      <c r="X16" s="1">
        <f t="shared" ref="X16" si="150">H17</f>
        <v>1.7999999999999999E-2</v>
      </c>
      <c r="Y16" s="1">
        <f t="shared" ref="Y16" si="151">H18</f>
        <v>4.8000000000000001E-2</v>
      </c>
      <c r="Z16" s="1">
        <f t="shared" ref="Z16" si="152">H19</f>
        <v>1.9E-2</v>
      </c>
      <c r="AA16" s="1">
        <f t="shared" ref="AA16" si="153">H20</f>
        <v>1.9E-2</v>
      </c>
      <c r="AB16" s="1">
        <f t="shared" ref="AB16" si="154">H21</f>
        <v>1.9E-2</v>
      </c>
      <c r="AC16" s="1">
        <f t="shared" si="114"/>
        <v>4080.7180020958094</v>
      </c>
      <c r="AE16" s="1" t="s">
        <v>96</v>
      </c>
      <c r="AF16" s="1">
        <v>1</v>
      </c>
      <c r="AG16" s="1">
        <v>0.81499999999999995</v>
      </c>
      <c r="AH16" s="1">
        <v>0.64500000000000002</v>
      </c>
      <c r="AI16" s="1">
        <v>0.39500000000000002</v>
      </c>
      <c r="AJ16" s="1">
        <v>0.36</v>
      </c>
      <c r="AK16" s="1">
        <v>0.245</v>
      </c>
      <c r="AL16" s="1">
        <v>0.14499999999999999</v>
      </c>
      <c r="AM16" s="20">
        <v>6.5000000000000002E-2</v>
      </c>
      <c r="AN16" s="1">
        <v>1</v>
      </c>
      <c r="AO16" s="1">
        <v>0.81499999999999995</v>
      </c>
      <c r="AP16" s="1">
        <v>0.64500000000000002</v>
      </c>
      <c r="AQ16" s="1">
        <v>0.39500000000000002</v>
      </c>
      <c r="AR16" s="1">
        <v>0.36</v>
      </c>
      <c r="AS16" s="1">
        <v>0.245</v>
      </c>
      <c r="AT16" s="1">
        <v>0.14499999999999999</v>
      </c>
      <c r="AU16" s="20">
        <v>6.5000000000000002E-2</v>
      </c>
      <c r="AV16" s="1">
        <v>1</v>
      </c>
      <c r="AW16" s="1">
        <v>0.81499999999999995</v>
      </c>
      <c r="AX16" s="1">
        <v>0.64500000000000002</v>
      </c>
      <c r="AY16" s="1">
        <v>0.39500000000000002</v>
      </c>
      <c r="AZ16" s="1">
        <v>0.36</v>
      </c>
      <c r="BA16" s="1">
        <v>0.245</v>
      </c>
      <c r="BB16" s="1">
        <v>0.14499999999999999</v>
      </c>
      <c r="BC16" s="20">
        <v>6.5000000000000002E-2</v>
      </c>
      <c r="BD16" s="1">
        <v>1</v>
      </c>
      <c r="BE16" s="1">
        <v>0.81499999999999995</v>
      </c>
      <c r="BF16" s="1">
        <v>0.64500000000000002</v>
      </c>
      <c r="BG16" s="1">
        <v>0.39500000000000002</v>
      </c>
      <c r="BH16" s="1">
        <v>0.36</v>
      </c>
      <c r="BI16" s="1">
        <v>0.245</v>
      </c>
      <c r="BJ16" s="1">
        <v>0.14499999999999999</v>
      </c>
      <c r="BK16" s="20">
        <v>6.5000000000000002E-2</v>
      </c>
      <c r="BL16" s="1">
        <v>1</v>
      </c>
      <c r="BM16" s="1">
        <v>0.81499999999999995</v>
      </c>
      <c r="BN16" s="1">
        <v>0.64500000000000002</v>
      </c>
      <c r="BO16" s="1">
        <v>0.39500000000000002</v>
      </c>
      <c r="BP16" s="1">
        <v>0.36</v>
      </c>
      <c r="BQ16" s="1">
        <v>0.245</v>
      </c>
      <c r="BR16" s="1">
        <v>0.14499999999999999</v>
      </c>
      <c r="BS16" s="20">
        <v>6.5000000000000002E-2</v>
      </c>
      <c r="BT16" s="1">
        <v>1</v>
      </c>
      <c r="BU16" s="1">
        <v>0.81499999999999995</v>
      </c>
      <c r="BV16" s="1">
        <v>0.64500000000000002</v>
      </c>
      <c r="BW16" s="1">
        <v>0.39500000000000002</v>
      </c>
      <c r="BX16" s="1">
        <v>0.36</v>
      </c>
      <c r="BY16" s="1">
        <v>0.245</v>
      </c>
      <c r="BZ16" s="1">
        <v>0.14499999999999999</v>
      </c>
      <c r="CA16" s="20">
        <v>6.5000000000000002E-2</v>
      </c>
      <c r="CB16" s="1">
        <v>1</v>
      </c>
      <c r="CC16" s="1">
        <v>0.81499999999999995</v>
      </c>
      <c r="CD16" s="1">
        <v>0.64500000000000002</v>
      </c>
      <c r="CE16" s="1">
        <v>0.39500000000000002</v>
      </c>
      <c r="CF16" s="1">
        <v>0.36</v>
      </c>
      <c r="CG16" s="1">
        <v>0.245</v>
      </c>
      <c r="CH16" s="1">
        <v>0.14499999999999999</v>
      </c>
      <c r="CI16" s="20">
        <v>6.5000000000000002E-2</v>
      </c>
      <c r="CJ16" s="1">
        <v>1</v>
      </c>
      <c r="CK16" s="1">
        <v>0.81499999999999995</v>
      </c>
      <c r="CL16" s="1">
        <v>0.64500000000000002</v>
      </c>
      <c r="CM16" s="1">
        <v>0.39500000000000002</v>
      </c>
      <c r="CN16" s="1">
        <v>0.36</v>
      </c>
      <c r="CO16" s="1">
        <v>0.245</v>
      </c>
      <c r="CP16" s="1">
        <v>0.14499999999999999</v>
      </c>
      <c r="CQ16" s="20">
        <v>6.5000000000000002E-2</v>
      </c>
    </row>
    <row r="17" spans="3:160" x14ac:dyDescent="0.4">
      <c r="C17" s="1" t="s">
        <v>12</v>
      </c>
      <c r="D17" s="1" t="s">
        <v>6</v>
      </c>
      <c r="E17" s="1">
        <v>0.23499999999999999</v>
      </c>
      <c r="F17" s="1">
        <v>0.128</v>
      </c>
      <c r="G17" s="1">
        <v>0.107</v>
      </c>
      <c r="H17" s="1">
        <v>1.7999999999999999E-2</v>
      </c>
      <c r="I17" s="1">
        <v>3839</v>
      </c>
      <c r="J17" s="1">
        <v>3637</v>
      </c>
      <c r="K17" s="1">
        <v>48</v>
      </c>
      <c r="L17" s="1">
        <v>4637</v>
      </c>
      <c r="M17" s="1">
        <v>5573</v>
      </c>
      <c r="N17" s="1">
        <v>67</v>
      </c>
      <c r="O17" s="1">
        <v>71</v>
      </c>
      <c r="P17" s="1">
        <v>65.5</v>
      </c>
      <c r="Q17" s="1">
        <v>66</v>
      </c>
      <c r="R17" s="1">
        <v>48</v>
      </c>
      <c r="S17" s="1">
        <v>73.5</v>
      </c>
      <c r="T17" s="4">
        <v>0</v>
      </c>
      <c r="U17" s="1">
        <v>2.0750000000000002</v>
      </c>
      <c r="V17" s="1">
        <v>5.8999999999999997E-2</v>
      </c>
      <c r="W17" s="1">
        <v>4.0199999999999996</v>
      </c>
      <c r="X17" s="1">
        <f t="shared" ref="X17" si="155">H17</f>
        <v>1.7999999999999999E-2</v>
      </c>
      <c r="Y17" s="1">
        <f t="shared" ref="Y17" si="156">H18</f>
        <v>4.8000000000000001E-2</v>
      </c>
      <c r="Z17" s="1">
        <f t="shared" ref="Z17" si="157">H19</f>
        <v>1.9E-2</v>
      </c>
      <c r="AA17" s="1">
        <f t="shared" ref="AA17" si="158">H20</f>
        <v>1.9E-2</v>
      </c>
      <c r="AB17" s="1">
        <f t="shared" ref="AB17" si="159">H21</f>
        <v>1.9E-2</v>
      </c>
      <c r="AC17" s="1">
        <f t="shared" si="114"/>
        <v>4080.7180020958094</v>
      </c>
      <c r="CQ17" s="20"/>
    </row>
    <row r="18" spans="3:160" x14ac:dyDescent="0.4">
      <c r="C18" s="1" t="s">
        <v>12</v>
      </c>
      <c r="D18" s="1" t="s">
        <v>7</v>
      </c>
      <c r="E18" s="1">
        <v>0.27400000000000002</v>
      </c>
      <c r="F18" s="1">
        <v>0.16600000000000001</v>
      </c>
      <c r="G18" s="1">
        <v>0.108</v>
      </c>
      <c r="H18" s="1">
        <v>4.8000000000000001E-2</v>
      </c>
      <c r="I18" s="1">
        <v>3839</v>
      </c>
      <c r="J18" s="1">
        <v>3637</v>
      </c>
      <c r="K18" s="1">
        <v>48</v>
      </c>
      <c r="L18" s="1">
        <v>4637</v>
      </c>
      <c r="M18" s="1">
        <v>5573</v>
      </c>
      <c r="N18" s="1">
        <v>67</v>
      </c>
      <c r="O18" s="1">
        <v>71</v>
      </c>
      <c r="P18" s="1">
        <v>65.5</v>
      </c>
      <c r="Q18" s="1">
        <v>66</v>
      </c>
      <c r="R18" s="1">
        <v>48</v>
      </c>
      <c r="S18" s="1">
        <v>73.5</v>
      </c>
      <c r="T18" s="4">
        <v>0</v>
      </c>
      <c r="U18" s="1">
        <v>2.0750000000000002</v>
      </c>
      <c r="V18" s="1">
        <v>5.8999999999999997E-2</v>
      </c>
      <c r="W18" s="1">
        <v>4.0199999999999996</v>
      </c>
      <c r="X18" s="1">
        <f t="shared" ref="X18" si="160">H17</f>
        <v>1.7999999999999999E-2</v>
      </c>
      <c r="Y18" s="1">
        <f t="shared" ref="Y18" si="161">H18</f>
        <v>4.8000000000000001E-2</v>
      </c>
      <c r="Z18" s="1">
        <f t="shared" ref="Z18" si="162">H19</f>
        <v>1.9E-2</v>
      </c>
      <c r="AA18" s="1">
        <f t="shared" ref="AA18" si="163">H20</f>
        <v>1.9E-2</v>
      </c>
      <c r="AB18" s="1">
        <f t="shared" ref="AB18" si="164">H21</f>
        <v>1.9E-2</v>
      </c>
      <c r="AC18" s="1">
        <f t="shared" si="114"/>
        <v>4080.7180020958094</v>
      </c>
      <c r="AE18" s="1" t="s">
        <v>97</v>
      </c>
      <c r="AF18" s="1">
        <v>0</v>
      </c>
      <c r="AG18" s="1">
        <v>0.12</v>
      </c>
      <c r="AH18" s="1">
        <v>0.21</v>
      </c>
      <c r="AI18" s="1">
        <v>0.26</v>
      </c>
      <c r="AJ18" s="1">
        <v>0.28000000000000003</v>
      </c>
      <c r="AK18" s="1">
        <v>0.26</v>
      </c>
      <c r="AL18" s="1">
        <v>0.21</v>
      </c>
      <c r="AM18" s="20">
        <v>0.12</v>
      </c>
      <c r="AN18" s="1">
        <v>0</v>
      </c>
      <c r="AO18" s="1">
        <v>0.12</v>
      </c>
      <c r="AP18" s="1">
        <v>0.21</v>
      </c>
      <c r="AQ18" s="1">
        <v>0.26</v>
      </c>
      <c r="AR18" s="1">
        <v>0.28000000000000003</v>
      </c>
      <c r="AS18" s="1">
        <v>0.26</v>
      </c>
      <c r="AT18" s="1">
        <v>0.21</v>
      </c>
      <c r="AU18" s="20">
        <v>0.12</v>
      </c>
      <c r="AV18" s="1">
        <v>0</v>
      </c>
      <c r="AW18" s="1">
        <v>0.12</v>
      </c>
      <c r="AX18" s="1">
        <v>0.21</v>
      </c>
      <c r="AY18" s="1">
        <v>0.26</v>
      </c>
      <c r="AZ18" s="1">
        <v>0.28000000000000003</v>
      </c>
      <c r="BA18" s="1">
        <v>0.26</v>
      </c>
      <c r="BB18" s="1">
        <v>0.21</v>
      </c>
      <c r="BC18" s="20">
        <v>0.12</v>
      </c>
      <c r="BD18" s="1">
        <v>0</v>
      </c>
      <c r="BE18" s="1">
        <v>0.12</v>
      </c>
      <c r="BF18" s="1">
        <v>0.21</v>
      </c>
      <c r="BG18" s="1">
        <v>0.26</v>
      </c>
      <c r="BH18" s="1">
        <v>0.28000000000000003</v>
      </c>
      <c r="BI18" s="1">
        <v>0.26</v>
      </c>
      <c r="BJ18" s="1">
        <v>0.21</v>
      </c>
      <c r="BK18" s="20">
        <v>0.12</v>
      </c>
      <c r="BL18" s="1">
        <v>0</v>
      </c>
      <c r="BM18" s="1">
        <v>0.12</v>
      </c>
      <c r="BN18" s="1">
        <v>0.21</v>
      </c>
      <c r="BO18" s="1">
        <v>0.26</v>
      </c>
      <c r="BP18" s="1">
        <v>0.28000000000000003</v>
      </c>
      <c r="BQ18" s="1">
        <v>0.26</v>
      </c>
      <c r="BR18" s="1">
        <v>0.21</v>
      </c>
      <c r="BS18" s="20">
        <v>0.12</v>
      </c>
      <c r="BT18" s="1">
        <v>0</v>
      </c>
      <c r="BU18" s="1">
        <v>0.12</v>
      </c>
      <c r="BV18" s="1">
        <v>0.21</v>
      </c>
      <c r="BW18" s="1">
        <v>0.26</v>
      </c>
      <c r="BX18" s="1">
        <v>0.28000000000000003</v>
      </c>
      <c r="BY18" s="1">
        <v>0.26</v>
      </c>
      <c r="BZ18" s="1">
        <v>0.21</v>
      </c>
      <c r="CA18" s="20">
        <v>0.12</v>
      </c>
      <c r="CB18" s="1">
        <v>0</v>
      </c>
      <c r="CC18" s="1">
        <v>0.12</v>
      </c>
      <c r="CD18" s="1">
        <v>0.21</v>
      </c>
      <c r="CE18" s="1">
        <v>0.26</v>
      </c>
      <c r="CF18" s="1">
        <v>0.28000000000000003</v>
      </c>
      <c r="CG18" s="1">
        <v>0.26</v>
      </c>
      <c r="CH18" s="1">
        <v>0.21</v>
      </c>
      <c r="CI18" s="20">
        <v>0.12</v>
      </c>
      <c r="CJ18" s="1">
        <v>0</v>
      </c>
      <c r="CK18" s="1">
        <v>0.12</v>
      </c>
      <c r="CL18" s="1">
        <v>0.21</v>
      </c>
      <c r="CM18" s="1">
        <v>0.26</v>
      </c>
      <c r="CN18" s="1">
        <v>0.28000000000000003</v>
      </c>
      <c r="CO18" s="1">
        <v>0.26</v>
      </c>
      <c r="CP18" s="1">
        <v>0.21</v>
      </c>
      <c r="CQ18" s="20">
        <v>0.12</v>
      </c>
    </row>
    <row r="19" spans="3:160" x14ac:dyDescent="0.4">
      <c r="C19" s="1" t="s">
        <v>12</v>
      </c>
      <c r="D19" s="1" t="s">
        <v>8</v>
      </c>
      <c r="E19" s="1">
        <v>0.23699999999999999</v>
      </c>
      <c r="F19" s="1">
        <v>0.129</v>
      </c>
      <c r="G19" s="1">
        <v>0.107</v>
      </c>
      <c r="H19" s="1">
        <v>1.9E-2</v>
      </c>
      <c r="I19" s="1">
        <v>3839</v>
      </c>
      <c r="J19" s="1">
        <v>3637</v>
      </c>
      <c r="K19" s="1">
        <v>48</v>
      </c>
      <c r="L19" s="1">
        <v>4637</v>
      </c>
      <c r="M19" s="1">
        <v>5573</v>
      </c>
      <c r="N19" s="1">
        <v>67</v>
      </c>
      <c r="O19" s="1">
        <v>71</v>
      </c>
      <c r="P19" s="1">
        <v>65.5</v>
      </c>
      <c r="Q19" s="1">
        <v>66</v>
      </c>
      <c r="R19" s="1">
        <v>48</v>
      </c>
      <c r="S19" s="1">
        <v>73.5</v>
      </c>
      <c r="T19" s="4">
        <v>0</v>
      </c>
      <c r="U19" s="1">
        <v>2.0750000000000002</v>
      </c>
      <c r="V19" s="1">
        <v>5.8999999999999997E-2</v>
      </c>
      <c r="W19" s="1">
        <v>4.0199999999999996</v>
      </c>
      <c r="X19" s="1">
        <f t="shared" ref="X19" si="165">H17</f>
        <v>1.7999999999999999E-2</v>
      </c>
      <c r="Y19" s="1">
        <f t="shared" ref="Y19" si="166">H18</f>
        <v>4.8000000000000001E-2</v>
      </c>
      <c r="Z19" s="1">
        <f t="shared" ref="Z19" si="167">H19</f>
        <v>1.9E-2</v>
      </c>
      <c r="AA19" s="1">
        <f t="shared" ref="AA19" si="168">H20</f>
        <v>1.9E-2</v>
      </c>
      <c r="AB19" s="1">
        <f t="shared" ref="AB19" si="169">H21</f>
        <v>1.9E-2</v>
      </c>
      <c r="AC19" s="1">
        <f t="shared" si="114"/>
        <v>4080.7180020958094</v>
      </c>
      <c r="CQ19" s="20"/>
    </row>
    <row r="20" spans="3:160" x14ac:dyDescent="0.4">
      <c r="C20" s="1" t="s">
        <v>12</v>
      </c>
      <c r="D20" s="1" t="s">
        <v>9</v>
      </c>
      <c r="E20" s="1">
        <v>0.23599999999999999</v>
      </c>
      <c r="F20" s="1">
        <v>0.129</v>
      </c>
      <c r="G20" s="1">
        <v>0.107</v>
      </c>
      <c r="H20" s="1">
        <v>1.9E-2</v>
      </c>
      <c r="I20" s="1">
        <v>3839</v>
      </c>
      <c r="J20" s="1">
        <v>3637</v>
      </c>
      <c r="K20" s="1">
        <v>48</v>
      </c>
      <c r="L20" s="1">
        <v>4637</v>
      </c>
      <c r="M20" s="1">
        <v>5573</v>
      </c>
      <c r="N20" s="1">
        <v>67</v>
      </c>
      <c r="O20" s="1">
        <v>71</v>
      </c>
      <c r="P20" s="1">
        <v>65.5</v>
      </c>
      <c r="Q20" s="1">
        <v>66</v>
      </c>
      <c r="R20" s="1">
        <v>48</v>
      </c>
      <c r="S20" s="1">
        <v>73.5</v>
      </c>
      <c r="T20" s="4">
        <v>0</v>
      </c>
      <c r="U20" s="1">
        <v>2.0750000000000002</v>
      </c>
      <c r="V20" s="1">
        <v>5.8999999999999997E-2</v>
      </c>
      <c r="W20" s="1">
        <v>4.0199999999999996</v>
      </c>
      <c r="X20" s="1">
        <f t="shared" ref="X20" si="170">H17</f>
        <v>1.7999999999999999E-2</v>
      </c>
      <c r="Y20" s="1">
        <f t="shared" ref="Y20" si="171">H18</f>
        <v>4.8000000000000001E-2</v>
      </c>
      <c r="Z20" s="1">
        <f t="shared" ref="Z20" si="172">H19</f>
        <v>1.9E-2</v>
      </c>
      <c r="AA20" s="1">
        <f t="shared" ref="AA20" si="173">H20</f>
        <v>1.9E-2</v>
      </c>
      <c r="AB20" s="1">
        <f t="shared" ref="AB20" si="174">H21</f>
        <v>1.9E-2</v>
      </c>
      <c r="AC20" s="1">
        <f t="shared" si="114"/>
        <v>4080.7180020958094</v>
      </c>
      <c r="AE20" s="1" t="s">
        <v>98</v>
      </c>
      <c r="AF20" s="1">
        <v>0</v>
      </c>
      <c r="AG20" s="1">
        <v>6.5000000000000002E-2</v>
      </c>
      <c r="AH20" s="1">
        <v>0.14499999999999999</v>
      </c>
      <c r="AI20" s="1">
        <v>0.245</v>
      </c>
      <c r="AJ20" s="1">
        <v>0.36</v>
      </c>
      <c r="AK20" s="1">
        <v>0.39500000000000002</v>
      </c>
      <c r="AL20" s="1">
        <v>0.64500000000000002</v>
      </c>
      <c r="AM20" s="20">
        <v>0.81499999999999995</v>
      </c>
      <c r="AN20" s="1">
        <v>0</v>
      </c>
      <c r="AO20" s="1">
        <v>6.5000000000000002E-2</v>
      </c>
      <c r="AP20" s="1">
        <v>0.14499999999999999</v>
      </c>
      <c r="AQ20" s="1">
        <v>0.245</v>
      </c>
      <c r="AR20" s="1">
        <v>0.36</v>
      </c>
      <c r="AS20" s="1">
        <v>0.39500000000000002</v>
      </c>
      <c r="AT20" s="1">
        <v>0.64500000000000002</v>
      </c>
      <c r="AU20" s="20">
        <v>0.81499999999999995</v>
      </c>
      <c r="AV20" s="1">
        <v>0</v>
      </c>
      <c r="AW20" s="1">
        <v>6.5000000000000002E-2</v>
      </c>
      <c r="AX20" s="1">
        <v>0.14499999999999999</v>
      </c>
      <c r="AY20" s="1">
        <v>0.245</v>
      </c>
      <c r="AZ20" s="1">
        <v>0.36</v>
      </c>
      <c r="BA20" s="1">
        <v>0.39500000000000002</v>
      </c>
      <c r="BB20" s="1">
        <v>0.64500000000000002</v>
      </c>
      <c r="BC20" s="20">
        <v>0.81499999999999995</v>
      </c>
      <c r="BD20" s="1">
        <v>0</v>
      </c>
      <c r="BE20" s="1">
        <v>6.5000000000000002E-2</v>
      </c>
      <c r="BF20" s="1">
        <v>0.14499999999999999</v>
      </c>
      <c r="BG20" s="1">
        <v>0.245</v>
      </c>
      <c r="BH20" s="1">
        <v>0.36</v>
      </c>
      <c r="BI20" s="1">
        <v>0.39500000000000002</v>
      </c>
      <c r="BJ20" s="1">
        <v>0.64500000000000002</v>
      </c>
      <c r="BK20" s="20">
        <v>0.81499999999999995</v>
      </c>
      <c r="BL20" s="1">
        <v>0</v>
      </c>
      <c r="BM20" s="1">
        <v>6.5000000000000002E-2</v>
      </c>
      <c r="BN20" s="1">
        <v>0.14499999999999999</v>
      </c>
      <c r="BO20" s="1">
        <v>0.245</v>
      </c>
      <c r="BP20" s="1">
        <v>0.36</v>
      </c>
      <c r="BQ20" s="1">
        <v>0.39500000000000002</v>
      </c>
      <c r="BR20" s="1">
        <v>0.64500000000000002</v>
      </c>
      <c r="BS20" s="20">
        <v>0.81499999999999995</v>
      </c>
      <c r="BT20" s="1">
        <v>0</v>
      </c>
      <c r="BU20" s="1">
        <v>6.5000000000000002E-2</v>
      </c>
      <c r="BV20" s="1">
        <v>0.14499999999999999</v>
      </c>
      <c r="BW20" s="1">
        <v>0.245</v>
      </c>
      <c r="BX20" s="1">
        <v>0.36</v>
      </c>
      <c r="BY20" s="1">
        <v>0.39500000000000002</v>
      </c>
      <c r="BZ20" s="1">
        <v>0.64500000000000002</v>
      </c>
      <c r="CA20" s="20">
        <v>0.81499999999999995</v>
      </c>
      <c r="CB20" s="1">
        <v>0</v>
      </c>
      <c r="CC20" s="1">
        <v>6.5000000000000002E-2</v>
      </c>
      <c r="CD20" s="1">
        <v>0.14499999999999999</v>
      </c>
      <c r="CE20" s="1">
        <v>0.245</v>
      </c>
      <c r="CF20" s="1">
        <v>0.36</v>
      </c>
      <c r="CG20" s="1">
        <v>0.39500000000000002</v>
      </c>
      <c r="CH20" s="1">
        <v>0.64500000000000002</v>
      </c>
      <c r="CI20" s="20">
        <v>0.81499999999999995</v>
      </c>
      <c r="CJ20" s="1">
        <v>0</v>
      </c>
      <c r="CK20" s="1">
        <v>6.5000000000000002E-2</v>
      </c>
      <c r="CL20" s="1">
        <v>0.14499999999999999</v>
      </c>
      <c r="CM20" s="1">
        <v>0.245</v>
      </c>
      <c r="CN20" s="1">
        <v>0.36</v>
      </c>
      <c r="CO20" s="1">
        <v>0.39500000000000002</v>
      </c>
      <c r="CP20" s="1">
        <v>0.64500000000000002</v>
      </c>
      <c r="CQ20" s="20">
        <v>0.81499999999999995</v>
      </c>
    </row>
    <row r="21" spans="3:160" s="2" customFormat="1" x14ac:dyDescent="0.4">
      <c r="C21" s="2" t="s">
        <v>12</v>
      </c>
      <c r="D21" s="2" t="s">
        <v>10</v>
      </c>
      <c r="E21" s="2">
        <v>0.23699999999999999</v>
      </c>
      <c r="F21" s="2">
        <v>0.129</v>
      </c>
      <c r="G21" s="2">
        <v>0.107</v>
      </c>
      <c r="H21" s="2">
        <v>1.9E-2</v>
      </c>
      <c r="I21" s="2">
        <v>3839</v>
      </c>
      <c r="J21" s="2">
        <v>3637</v>
      </c>
      <c r="K21" s="2">
        <v>48</v>
      </c>
      <c r="L21" s="2">
        <v>4637</v>
      </c>
      <c r="M21" s="2">
        <v>5573</v>
      </c>
      <c r="N21" s="2">
        <v>67</v>
      </c>
      <c r="O21" s="2">
        <v>71</v>
      </c>
      <c r="P21" s="2">
        <v>65.5</v>
      </c>
      <c r="Q21" s="2">
        <v>66</v>
      </c>
      <c r="R21" s="2">
        <v>48</v>
      </c>
      <c r="S21" s="2">
        <v>73.5</v>
      </c>
      <c r="T21" s="6">
        <f t="shared" ref="T21" si="175">(N16*O16*P16*Q16*R16*S16)/(I16*J16*K16*(F16*H16 + F17*H17 + F18*H18 + F19*H19 + F20*H20 + F21*H21))</f>
        <v>4528.5124371799793</v>
      </c>
      <c r="U21" s="2">
        <v>2.0750000000000002</v>
      </c>
      <c r="V21" s="2">
        <v>5.8999999999999997E-2</v>
      </c>
      <c r="W21" s="2">
        <v>4.0199999999999996</v>
      </c>
      <c r="X21" s="2">
        <f t="shared" ref="X21" si="176">H17</f>
        <v>1.7999999999999999E-2</v>
      </c>
      <c r="Y21" s="2">
        <f t="shared" ref="Y21" si="177">H18</f>
        <v>4.8000000000000001E-2</v>
      </c>
      <c r="Z21" s="2">
        <f t="shared" ref="Z21" si="178">H19</f>
        <v>1.9E-2</v>
      </c>
      <c r="AA21" s="2">
        <f t="shared" ref="AA21" si="179">H20</f>
        <v>1.9E-2</v>
      </c>
      <c r="AB21" s="2">
        <f t="shared" ref="AB21" si="180">H21</f>
        <v>1.9E-2</v>
      </c>
      <c r="AC21" s="1">
        <f t="shared" si="114"/>
        <v>4080.7180020958094</v>
      </c>
      <c r="AE21" s="2" t="s">
        <v>99</v>
      </c>
      <c r="AF21" s="23">
        <f>($O21*$Q21*$S21)^(1/3)/(AF16*((1-AF$2)*$H16+AF$2*$H17) + AF18*((1-AF$2)*$H18+AF$2*$H19) + AF20*((1-AF$2)*$H20+AF$2*$H21))</f>
        <v>1752.413337025019</v>
      </c>
      <c r="AG21" s="23">
        <f t="shared" ref="AG21:CQ21" si="181">($O21*$Q21*$S21)^(1/3)/(AG16*((1-AG$2)*$H16+AG$2*$H17) + AG18*((1-AG$2)*$H18+AG$2*$H19) + AG20*((1-AG$2)*$H20+AG$2*$H21))</f>
        <v>1770.3380093698893</v>
      </c>
      <c r="AH21" s="23">
        <f t="shared" si="181"/>
        <v>1814.3272545878285</v>
      </c>
      <c r="AI21" s="23">
        <f t="shared" si="181"/>
        <v>2128.3295424624489</v>
      </c>
      <c r="AJ21" s="23">
        <f t="shared" si="181"/>
        <v>2021.2379896482341</v>
      </c>
      <c r="AK21" s="23">
        <f t="shared" si="181"/>
        <v>2353.417273157655</v>
      </c>
      <c r="AL21" s="23">
        <f t="shared" si="181"/>
        <v>2491.4353467567357</v>
      </c>
      <c r="AM21" s="23">
        <f t="shared" si="181"/>
        <v>2939.6742915076857</v>
      </c>
      <c r="AN21" s="23">
        <f t="shared" si="181"/>
        <v>1881.7861337181409</v>
      </c>
      <c r="AO21" s="23">
        <f t="shared" si="181"/>
        <v>1898.670282200799</v>
      </c>
      <c r="AP21" s="23">
        <f t="shared" si="181"/>
        <v>1941.7322293906029</v>
      </c>
      <c r="AQ21" s="23">
        <f t="shared" si="181"/>
        <v>2268.0374837128657</v>
      </c>
      <c r="AR21" s="23">
        <f t="shared" si="181"/>
        <v>2145.2649879418746</v>
      </c>
      <c r="AS21" s="23">
        <f t="shared" si="181"/>
        <v>2488.4502677967876</v>
      </c>
      <c r="AT21" s="23">
        <f t="shared" si="181"/>
        <v>2598.5739937349681</v>
      </c>
      <c r="AU21" s="23">
        <f t="shared" si="181"/>
        <v>3017.338002948647</v>
      </c>
      <c r="AV21" s="23">
        <f t="shared" si="181"/>
        <v>2031.7835791594425</v>
      </c>
      <c r="AW21" s="23">
        <f t="shared" si="181"/>
        <v>2047.0623780682126</v>
      </c>
      <c r="AX21" s="23">
        <f t="shared" si="181"/>
        <v>2088.3817512587743</v>
      </c>
      <c r="AY21" s="23">
        <f t="shared" si="181"/>
        <v>2427.3754127261973</v>
      </c>
      <c r="AZ21" s="23">
        <f t="shared" si="181"/>
        <v>2285.5081017607031</v>
      </c>
      <c r="BA21" s="23">
        <f t="shared" si="181"/>
        <v>2639.92217233785</v>
      </c>
      <c r="BB21" s="23">
        <f t="shared" si="181"/>
        <v>2715.3412156111085</v>
      </c>
      <c r="BC21" s="23">
        <f t="shared" si="181"/>
        <v>3099.2166897756501</v>
      </c>
      <c r="BD21" s="23">
        <f t="shared" si="181"/>
        <v>2207.7648340472679</v>
      </c>
      <c r="BE21" s="23">
        <f t="shared" si="181"/>
        <v>2220.616433089162</v>
      </c>
      <c r="BF21" s="23">
        <f t="shared" si="181"/>
        <v>2258.9923777312524</v>
      </c>
      <c r="BG21" s="23">
        <f t="shared" si="181"/>
        <v>2610.7931833325861</v>
      </c>
      <c r="BH21" s="23">
        <f t="shared" si="181"/>
        <v>2445.3700848072831</v>
      </c>
      <c r="BI21" s="23">
        <f t="shared" si="181"/>
        <v>2811.0294643741845</v>
      </c>
      <c r="BJ21" s="23">
        <f t="shared" si="181"/>
        <v>2843.0960649361496</v>
      </c>
      <c r="BK21" s="23">
        <f t="shared" si="181"/>
        <v>3185.6630565699375</v>
      </c>
      <c r="BL21" s="23">
        <f t="shared" si="181"/>
        <v>2417.1218441724404</v>
      </c>
      <c r="BM21" s="23">
        <f t="shared" si="181"/>
        <v>2426.3251464520863</v>
      </c>
      <c r="BN21" s="23">
        <f t="shared" si="181"/>
        <v>2459.9590623267509</v>
      </c>
      <c r="BO21" s="23">
        <f t="shared" si="181"/>
        <v>2824.1955471797241</v>
      </c>
      <c r="BP21" s="23">
        <f t="shared" si="181"/>
        <v>2629.2773248687458</v>
      </c>
      <c r="BQ21" s="23">
        <f t="shared" si="181"/>
        <v>3005.8547804888835</v>
      </c>
      <c r="BR21" s="23">
        <f t="shared" si="181"/>
        <v>2983.4659919557675</v>
      </c>
      <c r="BS21" s="23">
        <f t="shared" si="181"/>
        <v>3277.0702889668428</v>
      </c>
      <c r="BT21" s="23">
        <f t="shared" si="181"/>
        <v>2670.3441326095531</v>
      </c>
      <c r="BU21" s="23">
        <f t="shared" si="181"/>
        <v>2674.0368501645421</v>
      </c>
      <c r="BV21" s="23">
        <f t="shared" si="181"/>
        <v>2700.1746333205228</v>
      </c>
      <c r="BW21" s="23">
        <f t="shared" si="181"/>
        <v>3075.5896881917738</v>
      </c>
      <c r="BX21" s="23">
        <f t="shared" si="181"/>
        <v>2843.0960649361496</v>
      </c>
      <c r="BY21" s="23">
        <f t="shared" si="181"/>
        <v>3229.6968717848649</v>
      </c>
      <c r="BZ21" s="23">
        <f t="shared" si="181"/>
        <v>3138.416542690878</v>
      </c>
      <c r="CA21" s="23">
        <f t="shared" si="181"/>
        <v>3373.8780328981775</v>
      </c>
      <c r="CB21" s="23">
        <f t="shared" si="181"/>
        <v>2982.8312119574794</v>
      </c>
      <c r="CC21" s="23">
        <f t="shared" si="181"/>
        <v>2978.0789583006167</v>
      </c>
      <c r="CD21" s="23">
        <f t="shared" si="181"/>
        <v>2992.3813652508329</v>
      </c>
      <c r="CE21" s="23">
        <f t="shared" si="181"/>
        <v>3376.1123892113551</v>
      </c>
      <c r="CF21" s="23">
        <f t="shared" si="181"/>
        <v>3094.7696901104091</v>
      </c>
      <c r="CG21" s="23">
        <f t="shared" si="181"/>
        <v>3489.5598497075671</v>
      </c>
      <c r="CH21" s="23">
        <f t="shared" si="181"/>
        <v>3310.3439660449003</v>
      </c>
      <c r="CI21" s="23">
        <f t="shared" si="181"/>
        <v>3476.5794658896843</v>
      </c>
      <c r="CJ21" s="23">
        <f t="shared" si="181"/>
        <v>3378.1461918554583</v>
      </c>
      <c r="CK21" s="23">
        <f t="shared" si="181"/>
        <v>3360.131031505819</v>
      </c>
      <c r="CL21" s="23">
        <f t="shared" si="181"/>
        <v>3355.5066290570012</v>
      </c>
      <c r="CM21" s="23">
        <f t="shared" si="181"/>
        <v>3741.724613651872</v>
      </c>
      <c r="CN21" s="23">
        <f t="shared" si="181"/>
        <v>3395.3273664810249</v>
      </c>
      <c r="CO21" s="23">
        <f t="shared" si="181"/>
        <v>3794.8992884077015</v>
      </c>
      <c r="CP21" s="23">
        <f t="shared" si="181"/>
        <v>3502.2000240320144</v>
      </c>
      <c r="CQ21" s="23">
        <f t="shared" si="181"/>
        <v>3585.7297004156671</v>
      </c>
      <c r="CS21" s="2">
        <f>100*$AF21/AF21</f>
        <v>100</v>
      </c>
      <c r="CT21" s="2">
        <f t="shared" ref="CT21:FD21" si="182">100*$AF21/AG21</f>
        <v>98.987499999999997</v>
      </c>
      <c r="CU21" s="2">
        <f t="shared" si="182"/>
        <v>96.587500000000006</v>
      </c>
      <c r="CV21" s="2">
        <f t="shared" si="182"/>
        <v>82.337500000000006</v>
      </c>
      <c r="CW21" s="2">
        <f t="shared" si="182"/>
        <v>86.7</v>
      </c>
      <c r="CX21" s="2">
        <f t="shared" si="182"/>
        <v>74.462500000000006</v>
      </c>
      <c r="CY21" s="2">
        <f t="shared" si="182"/>
        <v>70.337500000000006</v>
      </c>
      <c r="CZ21" s="2">
        <f t="shared" si="182"/>
        <v>59.612499999999997</v>
      </c>
      <c r="DA21" s="2">
        <f t="shared" si="182"/>
        <v>93.125000000000014</v>
      </c>
      <c r="DB21" s="2">
        <f t="shared" si="182"/>
        <v>92.296875000000014</v>
      </c>
      <c r="DC21" s="2">
        <f t="shared" si="182"/>
        <v>90.249999999999986</v>
      </c>
      <c r="DD21" s="2">
        <f t="shared" si="182"/>
        <v>77.265625</v>
      </c>
      <c r="DE21" s="2">
        <f t="shared" si="182"/>
        <v>81.687500000000014</v>
      </c>
      <c r="DF21" s="2">
        <f t="shared" si="182"/>
        <v>70.421875</v>
      </c>
      <c r="DG21" s="2">
        <f t="shared" si="182"/>
        <v>67.4375</v>
      </c>
      <c r="DH21" s="2">
        <f t="shared" si="182"/>
        <v>58.078125</v>
      </c>
      <c r="DI21" s="2">
        <f t="shared" si="182"/>
        <v>86.249999999999986</v>
      </c>
      <c r="DJ21" s="2">
        <f t="shared" si="182"/>
        <v>85.606249999999989</v>
      </c>
      <c r="DK21" s="2">
        <f t="shared" si="182"/>
        <v>83.912499999999994</v>
      </c>
      <c r="DL21" s="2">
        <f t="shared" si="182"/>
        <v>72.193749999999994</v>
      </c>
      <c r="DM21" s="2">
        <f t="shared" si="182"/>
        <v>76.674999999999997</v>
      </c>
      <c r="DN21" s="2">
        <f t="shared" si="182"/>
        <v>66.381249999999994</v>
      </c>
      <c r="DO21" s="2">
        <f t="shared" si="182"/>
        <v>64.537499999999994</v>
      </c>
      <c r="DP21" s="2">
        <f t="shared" si="182"/>
        <v>56.543749999999996</v>
      </c>
      <c r="DQ21" s="2">
        <f t="shared" si="182"/>
        <v>79.375</v>
      </c>
      <c r="DR21" s="2">
        <f t="shared" si="182"/>
        <v>78.915625000000006</v>
      </c>
      <c r="DS21" s="2">
        <f t="shared" si="182"/>
        <v>77.575000000000003</v>
      </c>
      <c r="DT21" s="2">
        <f t="shared" si="182"/>
        <v>67.121874999999989</v>
      </c>
      <c r="DU21" s="2">
        <f t="shared" si="182"/>
        <v>71.662499999999994</v>
      </c>
      <c r="DV21" s="2">
        <f t="shared" si="182"/>
        <v>62.340625000000003</v>
      </c>
      <c r="DW21" s="2">
        <f t="shared" si="182"/>
        <v>61.637499999999996</v>
      </c>
      <c r="DX21" s="2">
        <f t="shared" si="182"/>
        <v>55.009374999999999</v>
      </c>
      <c r="DY21" s="2">
        <f t="shared" si="182"/>
        <v>72.499999999999986</v>
      </c>
      <c r="DZ21" s="2">
        <f t="shared" si="182"/>
        <v>72.22499999999998</v>
      </c>
      <c r="EA21" s="2">
        <f t="shared" si="182"/>
        <v>71.237499999999997</v>
      </c>
      <c r="EB21" s="2">
        <f t="shared" si="182"/>
        <v>62.050000000000004</v>
      </c>
      <c r="EC21" s="2">
        <f t="shared" si="182"/>
        <v>66.649999999999991</v>
      </c>
      <c r="ED21" s="2">
        <f t="shared" si="182"/>
        <v>58.3</v>
      </c>
      <c r="EE21" s="2">
        <f t="shared" si="182"/>
        <v>58.737500000000004</v>
      </c>
      <c r="EF21" s="2">
        <f t="shared" si="182"/>
        <v>53.474999999999994</v>
      </c>
      <c r="EG21" s="2">
        <f t="shared" si="182"/>
        <v>65.624999999999986</v>
      </c>
      <c r="EH21" s="2">
        <f t="shared" si="182"/>
        <v>65.534374999999997</v>
      </c>
      <c r="EI21" s="2">
        <f t="shared" si="182"/>
        <v>64.899999999999991</v>
      </c>
      <c r="EJ21" s="2">
        <f t="shared" si="182"/>
        <v>56.978124999999999</v>
      </c>
      <c r="EK21" s="2">
        <f t="shared" si="182"/>
        <v>61.637499999999996</v>
      </c>
      <c r="EL21" s="2">
        <f t="shared" si="182"/>
        <v>54.259374999999999</v>
      </c>
      <c r="EM21" s="2">
        <f t="shared" si="182"/>
        <v>55.837499999999999</v>
      </c>
      <c r="EN21" s="2">
        <f t="shared" si="182"/>
        <v>51.940624999999997</v>
      </c>
      <c r="EO21" s="2">
        <f t="shared" si="182"/>
        <v>58.749999999999993</v>
      </c>
      <c r="EP21" s="2">
        <f t="shared" si="182"/>
        <v>58.843749999999993</v>
      </c>
      <c r="EQ21" s="2">
        <f t="shared" si="182"/>
        <v>58.5625</v>
      </c>
      <c r="ER21" s="2">
        <f t="shared" si="182"/>
        <v>51.90625</v>
      </c>
      <c r="ES21" s="2">
        <f t="shared" si="182"/>
        <v>56.624999999999993</v>
      </c>
      <c r="ET21" s="2">
        <f t="shared" si="182"/>
        <v>50.218750000000007</v>
      </c>
      <c r="EU21" s="2">
        <f t="shared" si="182"/>
        <v>52.9375</v>
      </c>
      <c r="EV21" s="2">
        <f t="shared" si="182"/>
        <v>50.40625</v>
      </c>
      <c r="EW21" s="2">
        <f t="shared" si="182"/>
        <v>51.875</v>
      </c>
      <c r="EX21" s="2">
        <f t="shared" si="182"/>
        <v>52.153124999999996</v>
      </c>
      <c r="EY21" s="2">
        <f t="shared" si="182"/>
        <v>52.225000000000001</v>
      </c>
      <c r="EZ21" s="2">
        <f t="shared" si="182"/>
        <v>46.834375000000001</v>
      </c>
      <c r="FA21" s="2">
        <f t="shared" si="182"/>
        <v>51.612499999999997</v>
      </c>
      <c r="FB21" s="2">
        <f t="shared" si="182"/>
        <v>46.178125000000001</v>
      </c>
      <c r="FC21" s="2">
        <f t="shared" si="182"/>
        <v>50.037499999999994</v>
      </c>
      <c r="FD21" s="2">
        <f t="shared" si="182"/>
        <v>48.871874999999989</v>
      </c>
    </row>
    <row r="22" spans="3:160" x14ac:dyDescent="0.4">
      <c r="C22" s="1" t="s">
        <v>13</v>
      </c>
      <c r="D22" s="1" t="s">
        <v>5</v>
      </c>
      <c r="E22" s="1">
        <v>0.26400000000000001</v>
      </c>
      <c r="F22" s="1">
        <v>0.156</v>
      </c>
      <c r="G22" s="1">
        <v>0.108</v>
      </c>
      <c r="H22" s="1">
        <v>3.9E-2</v>
      </c>
      <c r="I22" s="1">
        <v>3777</v>
      </c>
      <c r="J22" s="1">
        <v>3517</v>
      </c>
      <c r="K22" s="1">
        <v>48</v>
      </c>
      <c r="L22" s="1">
        <v>4565</v>
      </c>
      <c r="M22" s="1">
        <v>5453</v>
      </c>
      <c r="N22" s="1">
        <v>67</v>
      </c>
      <c r="O22" s="1">
        <v>71</v>
      </c>
      <c r="P22" s="1">
        <v>65.5</v>
      </c>
      <c r="Q22" s="1">
        <v>66</v>
      </c>
      <c r="R22" s="1">
        <v>48</v>
      </c>
      <c r="S22" s="1">
        <v>73.5</v>
      </c>
      <c r="T22" s="4">
        <v>0</v>
      </c>
      <c r="U22" s="1">
        <v>1.9059999999999999</v>
      </c>
      <c r="V22" s="1">
        <v>2.1999999999999999E-2</v>
      </c>
      <c r="W22" s="1">
        <v>4.0199999999999996</v>
      </c>
      <c r="X22" s="1">
        <f t="shared" ref="X22" si="183">H23</f>
        <v>2.3E-2</v>
      </c>
      <c r="Y22" s="1">
        <f t="shared" ref="Y22" si="184">H24</f>
        <v>3.7999999999999999E-2</v>
      </c>
      <c r="Z22" s="1">
        <f t="shared" ref="Z22" si="185">H25</f>
        <v>2.4E-2</v>
      </c>
      <c r="AA22" s="1">
        <f t="shared" ref="AA22" si="186">H26</f>
        <v>1.6E-2</v>
      </c>
      <c r="AB22" s="1">
        <f t="shared" ref="AB22" si="187">H27</f>
        <v>2.4E-2</v>
      </c>
      <c r="AC22" s="1">
        <f t="shared" si="114"/>
        <v>4109.9078585207571</v>
      </c>
      <c r="AE22" s="1" t="s">
        <v>96</v>
      </c>
      <c r="AF22" s="1">
        <v>1</v>
      </c>
      <c r="AG22" s="1">
        <v>0.81499999999999995</v>
      </c>
      <c r="AH22" s="1">
        <v>0.64500000000000002</v>
      </c>
      <c r="AI22" s="1">
        <v>0.39500000000000002</v>
      </c>
      <c r="AJ22" s="1">
        <v>0.36</v>
      </c>
      <c r="AK22" s="1">
        <v>0.245</v>
      </c>
      <c r="AL22" s="1">
        <v>0.14499999999999999</v>
      </c>
      <c r="AM22" s="20">
        <v>6.5000000000000002E-2</v>
      </c>
      <c r="AN22" s="1">
        <v>1</v>
      </c>
      <c r="AO22" s="1">
        <v>0.81499999999999995</v>
      </c>
      <c r="AP22" s="1">
        <v>0.64500000000000002</v>
      </c>
      <c r="AQ22" s="1">
        <v>0.39500000000000002</v>
      </c>
      <c r="AR22" s="1">
        <v>0.36</v>
      </c>
      <c r="AS22" s="1">
        <v>0.245</v>
      </c>
      <c r="AT22" s="1">
        <v>0.14499999999999999</v>
      </c>
      <c r="AU22" s="20">
        <v>6.5000000000000002E-2</v>
      </c>
      <c r="AV22" s="1">
        <v>1</v>
      </c>
      <c r="AW22" s="1">
        <v>0.81499999999999995</v>
      </c>
      <c r="AX22" s="1">
        <v>0.64500000000000002</v>
      </c>
      <c r="AY22" s="1">
        <v>0.39500000000000002</v>
      </c>
      <c r="AZ22" s="1">
        <v>0.36</v>
      </c>
      <c r="BA22" s="1">
        <v>0.245</v>
      </c>
      <c r="BB22" s="1">
        <v>0.14499999999999999</v>
      </c>
      <c r="BC22" s="20">
        <v>6.5000000000000002E-2</v>
      </c>
      <c r="BD22" s="1">
        <v>1</v>
      </c>
      <c r="BE22" s="1">
        <v>0.81499999999999995</v>
      </c>
      <c r="BF22" s="1">
        <v>0.64500000000000002</v>
      </c>
      <c r="BG22" s="1">
        <v>0.39500000000000002</v>
      </c>
      <c r="BH22" s="1">
        <v>0.36</v>
      </c>
      <c r="BI22" s="1">
        <v>0.245</v>
      </c>
      <c r="BJ22" s="1">
        <v>0.14499999999999999</v>
      </c>
      <c r="BK22" s="20">
        <v>6.5000000000000002E-2</v>
      </c>
      <c r="BL22" s="1">
        <v>1</v>
      </c>
      <c r="BM22" s="1">
        <v>0.81499999999999995</v>
      </c>
      <c r="BN22" s="1">
        <v>0.64500000000000002</v>
      </c>
      <c r="BO22" s="1">
        <v>0.39500000000000002</v>
      </c>
      <c r="BP22" s="1">
        <v>0.36</v>
      </c>
      <c r="BQ22" s="1">
        <v>0.245</v>
      </c>
      <c r="BR22" s="1">
        <v>0.14499999999999999</v>
      </c>
      <c r="BS22" s="20">
        <v>6.5000000000000002E-2</v>
      </c>
      <c r="BT22" s="1">
        <v>1</v>
      </c>
      <c r="BU22" s="1">
        <v>0.81499999999999995</v>
      </c>
      <c r="BV22" s="1">
        <v>0.64500000000000002</v>
      </c>
      <c r="BW22" s="1">
        <v>0.39500000000000002</v>
      </c>
      <c r="BX22" s="1">
        <v>0.36</v>
      </c>
      <c r="BY22" s="1">
        <v>0.245</v>
      </c>
      <c r="BZ22" s="1">
        <v>0.14499999999999999</v>
      </c>
      <c r="CA22" s="20">
        <v>6.5000000000000002E-2</v>
      </c>
      <c r="CB22" s="1">
        <v>1</v>
      </c>
      <c r="CC22" s="1">
        <v>0.81499999999999995</v>
      </c>
      <c r="CD22" s="1">
        <v>0.64500000000000002</v>
      </c>
      <c r="CE22" s="1">
        <v>0.39500000000000002</v>
      </c>
      <c r="CF22" s="1">
        <v>0.36</v>
      </c>
      <c r="CG22" s="1">
        <v>0.245</v>
      </c>
      <c r="CH22" s="1">
        <v>0.14499999999999999</v>
      </c>
      <c r="CI22" s="20">
        <v>6.5000000000000002E-2</v>
      </c>
      <c r="CJ22" s="1">
        <v>1</v>
      </c>
      <c r="CK22" s="1">
        <v>0.81499999999999995</v>
      </c>
      <c r="CL22" s="1">
        <v>0.64500000000000002</v>
      </c>
      <c r="CM22" s="1">
        <v>0.39500000000000002</v>
      </c>
      <c r="CN22" s="1">
        <v>0.36</v>
      </c>
      <c r="CO22" s="1">
        <v>0.245</v>
      </c>
      <c r="CP22" s="1">
        <v>0.14499999999999999</v>
      </c>
      <c r="CQ22" s="20">
        <v>6.5000000000000002E-2</v>
      </c>
    </row>
    <row r="23" spans="3:160" x14ac:dyDescent="0.4">
      <c r="C23" s="1" t="s">
        <v>13</v>
      </c>
      <c r="D23" s="1" t="s">
        <v>6</v>
      </c>
      <c r="E23" s="1">
        <v>0.24099999999999999</v>
      </c>
      <c r="F23" s="1">
        <v>0.13400000000000001</v>
      </c>
      <c r="G23" s="1">
        <v>0.107</v>
      </c>
      <c r="H23" s="1">
        <v>2.3E-2</v>
      </c>
      <c r="I23" s="1">
        <v>3777</v>
      </c>
      <c r="J23" s="1">
        <v>3517</v>
      </c>
      <c r="K23" s="1">
        <v>48</v>
      </c>
      <c r="L23" s="1">
        <v>4565</v>
      </c>
      <c r="M23" s="1">
        <v>5453</v>
      </c>
      <c r="N23" s="1">
        <v>67</v>
      </c>
      <c r="O23" s="1">
        <v>71</v>
      </c>
      <c r="P23" s="1">
        <v>65.5</v>
      </c>
      <c r="Q23" s="1">
        <v>66</v>
      </c>
      <c r="R23" s="1">
        <v>48</v>
      </c>
      <c r="S23" s="1">
        <v>73.5</v>
      </c>
      <c r="T23" s="4">
        <v>0</v>
      </c>
      <c r="U23" s="1">
        <v>1.9059999999999999</v>
      </c>
      <c r="V23" s="1">
        <v>2.1999999999999999E-2</v>
      </c>
      <c r="W23" s="1">
        <v>4.0199999999999996</v>
      </c>
      <c r="X23" s="1">
        <f t="shared" ref="X23" si="188">H23</f>
        <v>2.3E-2</v>
      </c>
      <c r="Y23" s="1">
        <f t="shared" ref="Y23" si="189">H24</f>
        <v>3.7999999999999999E-2</v>
      </c>
      <c r="Z23" s="1">
        <f t="shared" ref="Z23" si="190">H25</f>
        <v>2.4E-2</v>
      </c>
      <c r="AA23" s="1">
        <f t="shared" ref="AA23" si="191">H26</f>
        <v>1.6E-2</v>
      </c>
      <c r="AB23" s="1">
        <f t="shared" ref="AB23" si="192">H27</f>
        <v>2.4E-2</v>
      </c>
      <c r="AC23" s="1">
        <f t="shared" si="114"/>
        <v>4109.9078585207571</v>
      </c>
      <c r="CQ23" s="20"/>
    </row>
    <row r="24" spans="3:160" x14ac:dyDescent="0.4">
      <c r="C24" s="1" t="s">
        <v>13</v>
      </c>
      <c r="D24" s="1" t="s">
        <v>7</v>
      </c>
      <c r="E24" s="1">
        <v>0.26300000000000001</v>
      </c>
      <c r="F24" s="1">
        <v>0.155</v>
      </c>
      <c r="G24" s="1">
        <v>0.108</v>
      </c>
      <c r="H24" s="1">
        <v>3.7999999999999999E-2</v>
      </c>
      <c r="I24" s="1">
        <v>3777</v>
      </c>
      <c r="J24" s="1">
        <v>3517</v>
      </c>
      <c r="K24" s="1">
        <v>48</v>
      </c>
      <c r="L24" s="1">
        <v>4565</v>
      </c>
      <c r="M24" s="1">
        <v>5453</v>
      </c>
      <c r="N24" s="1">
        <v>67</v>
      </c>
      <c r="O24" s="1">
        <v>71</v>
      </c>
      <c r="P24" s="1">
        <v>65.5</v>
      </c>
      <c r="Q24" s="1">
        <v>66</v>
      </c>
      <c r="R24" s="1">
        <v>48</v>
      </c>
      <c r="S24" s="1">
        <v>73.5</v>
      </c>
      <c r="T24" s="4">
        <v>0</v>
      </c>
      <c r="U24" s="1">
        <v>1.9059999999999999</v>
      </c>
      <c r="V24" s="1">
        <v>2.1999999999999999E-2</v>
      </c>
      <c r="W24" s="1">
        <v>4.0199999999999996</v>
      </c>
      <c r="X24" s="1">
        <f t="shared" ref="X24" si="193">H23</f>
        <v>2.3E-2</v>
      </c>
      <c r="Y24" s="1">
        <f t="shared" ref="Y24" si="194">H24</f>
        <v>3.7999999999999999E-2</v>
      </c>
      <c r="Z24" s="1">
        <f t="shared" ref="Z24" si="195">H25</f>
        <v>2.4E-2</v>
      </c>
      <c r="AA24" s="1">
        <f t="shared" ref="AA24" si="196">H26</f>
        <v>1.6E-2</v>
      </c>
      <c r="AB24" s="1">
        <f t="shared" ref="AB24" si="197">H27</f>
        <v>2.4E-2</v>
      </c>
      <c r="AC24" s="1">
        <f t="shared" si="114"/>
        <v>4109.9078585207571</v>
      </c>
      <c r="AE24" s="1" t="s">
        <v>97</v>
      </c>
      <c r="AF24" s="1">
        <v>0</v>
      </c>
      <c r="AG24" s="1">
        <v>0.12</v>
      </c>
      <c r="AH24" s="1">
        <v>0.21</v>
      </c>
      <c r="AI24" s="1">
        <v>0.26</v>
      </c>
      <c r="AJ24" s="1">
        <v>0.28000000000000003</v>
      </c>
      <c r="AK24" s="1">
        <v>0.26</v>
      </c>
      <c r="AL24" s="1">
        <v>0.21</v>
      </c>
      <c r="AM24" s="20">
        <v>0.12</v>
      </c>
      <c r="AN24" s="1">
        <v>0</v>
      </c>
      <c r="AO24" s="1">
        <v>0.12</v>
      </c>
      <c r="AP24" s="1">
        <v>0.21</v>
      </c>
      <c r="AQ24" s="1">
        <v>0.26</v>
      </c>
      <c r="AR24" s="1">
        <v>0.28000000000000003</v>
      </c>
      <c r="AS24" s="1">
        <v>0.26</v>
      </c>
      <c r="AT24" s="1">
        <v>0.21</v>
      </c>
      <c r="AU24" s="20">
        <v>0.12</v>
      </c>
      <c r="AV24" s="1">
        <v>0</v>
      </c>
      <c r="AW24" s="1">
        <v>0.12</v>
      </c>
      <c r="AX24" s="1">
        <v>0.21</v>
      </c>
      <c r="AY24" s="1">
        <v>0.26</v>
      </c>
      <c r="AZ24" s="1">
        <v>0.28000000000000003</v>
      </c>
      <c r="BA24" s="1">
        <v>0.26</v>
      </c>
      <c r="BB24" s="1">
        <v>0.21</v>
      </c>
      <c r="BC24" s="20">
        <v>0.12</v>
      </c>
      <c r="BD24" s="1">
        <v>0</v>
      </c>
      <c r="BE24" s="1">
        <v>0.12</v>
      </c>
      <c r="BF24" s="1">
        <v>0.21</v>
      </c>
      <c r="BG24" s="1">
        <v>0.26</v>
      </c>
      <c r="BH24" s="1">
        <v>0.28000000000000003</v>
      </c>
      <c r="BI24" s="1">
        <v>0.26</v>
      </c>
      <c r="BJ24" s="1">
        <v>0.21</v>
      </c>
      <c r="BK24" s="20">
        <v>0.12</v>
      </c>
      <c r="BL24" s="1">
        <v>0</v>
      </c>
      <c r="BM24" s="1">
        <v>0.12</v>
      </c>
      <c r="BN24" s="1">
        <v>0.21</v>
      </c>
      <c r="BO24" s="1">
        <v>0.26</v>
      </c>
      <c r="BP24" s="1">
        <v>0.28000000000000003</v>
      </c>
      <c r="BQ24" s="1">
        <v>0.26</v>
      </c>
      <c r="BR24" s="1">
        <v>0.21</v>
      </c>
      <c r="BS24" s="20">
        <v>0.12</v>
      </c>
      <c r="BT24" s="1">
        <v>0</v>
      </c>
      <c r="BU24" s="1">
        <v>0.12</v>
      </c>
      <c r="BV24" s="1">
        <v>0.21</v>
      </c>
      <c r="BW24" s="1">
        <v>0.26</v>
      </c>
      <c r="BX24" s="1">
        <v>0.28000000000000003</v>
      </c>
      <c r="BY24" s="1">
        <v>0.26</v>
      </c>
      <c r="BZ24" s="1">
        <v>0.21</v>
      </c>
      <c r="CA24" s="20">
        <v>0.12</v>
      </c>
      <c r="CB24" s="1">
        <v>0</v>
      </c>
      <c r="CC24" s="1">
        <v>0.12</v>
      </c>
      <c r="CD24" s="1">
        <v>0.21</v>
      </c>
      <c r="CE24" s="1">
        <v>0.26</v>
      </c>
      <c r="CF24" s="1">
        <v>0.28000000000000003</v>
      </c>
      <c r="CG24" s="1">
        <v>0.26</v>
      </c>
      <c r="CH24" s="1">
        <v>0.21</v>
      </c>
      <c r="CI24" s="20">
        <v>0.12</v>
      </c>
      <c r="CJ24" s="1">
        <v>0</v>
      </c>
      <c r="CK24" s="1">
        <v>0.12</v>
      </c>
      <c r="CL24" s="1">
        <v>0.21</v>
      </c>
      <c r="CM24" s="1">
        <v>0.26</v>
      </c>
      <c r="CN24" s="1">
        <v>0.28000000000000003</v>
      </c>
      <c r="CO24" s="1">
        <v>0.26</v>
      </c>
      <c r="CP24" s="1">
        <v>0.21</v>
      </c>
      <c r="CQ24" s="20">
        <v>0.12</v>
      </c>
    </row>
    <row r="25" spans="3:160" x14ac:dyDescent="0.4">
      <c r="C25" s="1" t="s">
        <v>13</v>
      </c>
      <c r="D25" s="1" t="s">
        <v>8</v>
      </c>
      <c r="E25" s="1">
        <v>0.24199999999999999</v>
      </c>
      <c r="F25" s="1">
        <v>0.13500000000000001</v>
      </c>
      <c r="G25" s="1">
        <v>0.107</v>
      </c>
      <c r="H25" s="1">
        <v>2.4E-2</v>
      </c>
      <c r="I25" s="1">
        <v>3777</v>
      </c>
      <c r="J25" s="1">
        <v>3517</v>
      </c>
      <c r="K25" s="1">
        <v>48</v>
      </c>
      <c r="L25" s="1">
        <v>4565</v>
      </c>
      <c r="M25" s="1">
        <v>5453</v>
      </c>
      <c r="N25" s="1">
        <v>67</v>
      </c>
      <c r="O25" s="1">
        <v>71</v>
      </c>
      <c r="P25" s="1">
        <v>65.5</v>
      </c>
      <c r="Q25" s="1">
        <v>66</v>
      </c>
      <c r="R25" s="1">
        <v>48</v>
      </c>
      <c r="S25" s="1">
        <v>73.5</v>
      </c>
      <c r="T25" s="4">
        <v>0</v>
      </c>
      <c r="U25" s="1">
        <v>1.9059999999999999</v>
      </c>
      <c r="V25" s="1">
        <v>2.1999999999999999E-2</v>
      </c>
      <c r="W25" s="1">
        <v>4.0199999999999996</v>
      </c>
      <c r="X25" s="1">
        <f t="shared" ref="X25" si="198">H23</f>
        <v>2.3E-2</v>
      </c>
      <c r="Y25" s="1">
        <f t="shared" ref="Y25" si="199">H24</f>
        <v>3.7999999999999999E-2</v>
      </c>
      <c r="Z25" s="1">
        <f t="shared" ref="Z25" si="200">H25</f>
        <v>2.4E-2</v>
      </c>
      <c r="AA25" s="1">
        <f t="shared" ref="AA25" si="201">H26</f>
        <v>1.6E-2</v>
      </c>
      <c r="AB25" s="1">
        <f t="shared" ref="AB25" si="202">H27</f>
        <v>2.4E-2</v>
      </c>
      <c r="AC25" s="1">
        <f t="shared" si="114"/>
        <v>4109.9078585207571</v>
      </c>
      <c r="CQ25" s="20"/>
    </row>
    <row r="26" spans="3:160" x14ac:dyDescent="0.4">
      <c r="C26" s="1" t="s">
        <v>13</v>
      </c>
      <c r="D26" s="1" t="s">
        <v>9</v>
      </c>
      <c r="E26" s="1">
        <v>0.23300000000000001</v>
      </c>
      <c r="F26" s="1">
        <v>0.126</v>
      </c>
      <c r="G26" s="1">
        <v>0.107</v>
      </c>
      <c r="H26" s="1">
        <v>1.6E-2</v>
      </c>
      <c r="I26" s="1">
        <v>3777</v>
      </c>
      <c r="J26" s="1">
        <v>3517</v>
      </c>
      <c r="K26" s="1">
        <v>48</v>
      </c>
      <c r="L26" s="1">
        <v>4565</v>
      </c>
      <c r="M26" s="1">
        <v>5453</v>
      </c>
      <c r="N26" s="1">
        <v>67</v>
      </c>
      <c r="O26" s="1">
        <v>71</v>
      </c>
      <c r="P26" s="1">
        <v>65.5</v>
      </c>
      <c r="Q26" s="1">
        <v>66</v>
      </c>
      <c r="R26" s="1">
        <v>48</v>
      </c>
      <c r="S26" s="1">
        <v>73.5</v>
      </c>
      <c r="T26" s="4">
        <v>0</v>
      </c>
      <c r="U26" s="1">
        <v>1.9059999999999999</v>
      </c>
      <c r="V26" s="1">
        <v>2.1999999999999999E-2</v>
      </c>
      <c r="W26" s="1">
        <v>4.0199999999999996</v>
      </c>
      <c r="X26" s="1">
        <f t="shared" ref="X26" si="203">H23</f>
        <v>2.3E-2</v>
      </c>
      <c r="Y26" s="1">
        <f t="shared" ref="Y26" si="204">H24</f>
        <v>3.7999999999999999E-2</v>
      </c>
      <c r="Z26" s="1">
        <f t="shared" ref="Z26" si="205">H25</f>
        <v>2.4E-2</v>
      </c>
      <c r="AA26" s="1">
        <f t="shared" ref="AA26" si="206">H26</f>
        <v>1.6E-2</v>
      </c>
      <c r="AB26" s="1">
        <f t="shared" ref="AB26" si="207">H27</f>
        <v>2.4E-2</v>
      </c>
      <c r="AC26" s="1">
        <f t="shared" si="114"/>
        <v>4109.9078585207571</v>
      </c>
      <c r="AE26" s="1" t="s">
        <v>98</v>
      </c>
      <c r="AF26" s="1">
        <v>0</v>
      </c>
      <c r="AG26" s="1">
        <v>6.5000000000000002E-2</v>
      </c>
      <c r="AH26" s="1">
        <v>0.14499999999999999</v>
      </c>
      <c r="AI26" s="1">
        <v>0.245</v>
      </c>
      <c r="AJ26" s="1">
        <v>0.36</v>
      </c>
      <c r="AK26" s="1">
        <v>0.39500000000000002</v>
      </c>
      <c r="AL26" s="1">
        <v>0.64500000000000002</v>
      </c>
      <c r="AM26" s="20">
        <v>0.81499999999999995</v>
      </c>
      <c r="AN26" s="1">
        <v>0</v>
      </c>
      <c r="AO26" s="1">
        <v>6.5000000000000002E-2</v>
      </c>
      <c r="AP26" s="1">
        <v>0.14499999999999999</v>
      </c>
      <c r="AQ26" s="1">
        <v>0.245</v>
      </c>
      <c r="AR26" s="1">
        <v>0.36</v>
      </c>
      <c r="AS26" s="1">
        <v>0.39500000000000002</v>
      </c>
      <c r="AT26" s="1">
        <v>0.64500000000000002</v>
      </c>
      <c r="AU26" s="20">
        <v>0.81499999999999995</v>
      </c>
      <c r="AV26" s="1">
        <v>0</v>
      </c>
      <c r="AW26" s="1">
        <v>6.5000000000000002E-2</v>
      </c>
      <c r="AX26" s="1">
        <v>0.14499999999999999</v>
      </c>
      <c r="AY26" s="1">
        <v>0.245</v>
      </c>
      <c r="AZ26" s="1">
        <v>0.36</v>
      </c>
      <c r="BA26" s="1">
        <v>0.39500000000000002</v>
      </c>
      <c r="BB26" s="1">
        <v>0.64500000000000002</v>
      </c>
      <c r="BC26" s="20">
        <v>0.81499999999999995</v>
      </c>
      <c r="BD26" s="1">
        <v>0</v>
      </c>
      <c r="BE26" s="1">
        <v>6.5000000000000002E-2</v>
      </c>
      <c r="BF26" s="1">
        <v>0.14499999999999999</v>
      </c>
      <c r="BG26" s="1">
        <v>0.245</v>
      </c>
      <c r="BH26" s="1">
        <v>0.36</v>
      </c>
      <c r="BI26" s="1">
        <v>0.39500000000000002</v>
      </c>
      <c r="BJ26" s="1">
        <v>0.64500000000000002</v>
      </c>
      <c r="BK26" s="20">
        <v>0.81499999999999995</v>
      </c>
      <c r="BL26" s="1">
        <v>0</v>
      </c>
      <c r="BM26" s="1">
        <v>6.5000000000000002E-2</v>
      </c>
      <c r="BN26" s="1">
        <v>0.14499999999999999</v>
      </c>
      <c r="BO26" s="1">
        <v>0.245</v>
      </c>
      <c r="BP26" s="1">
        <v>0.36</v>
      </c>
      <c r="BQ26" s="1">
        <v>0.39500000000000002</v>
      </c>
      <c r="BR26" s="1">
        <v>0.64500000000000002</v>
      </c>
      <c r="BS26" s="20">
        <v>0.81499999999999995</v>
      </c>
      <c r="BT26" s="1">
        <v>0</v>
      </c>
      <c r="BU26" s="1">
        <v>6.5000000000000002E-2</v>
      </c>
      <c r="BV26" s="1">
        <v>0.14499999999999999</v>
      </c>
      <c r="BW26" s="1">
        <v>0.245</v>
      </c>
      <c r="BX26" s="1">
        <v>0.36</v>
      </c>
      <c r="BY26" s="1">
        <v>0.39500000000000002</v>
      </c>
      <c r="BZ26" s="1">
        <v>0.64500000000000002</v>
      </c>
      <c r="CA26" s="20">
        <v>0.81499999999999995</v>
      </c>
      <c r="CB26" s="1">
        <v>0</v>
      </c>
      <c r="CC26" s="1">
        <v>6.5000000000000002E-2</v>
      </c>
      <c r="CD26" s="1">
        <v>0.14499999999999999</v>
      </c>
      <c r="CE26" s="1">
        <v>0.245</v>
      </c>
      <c r="CF26" s="1">
        <v>0.36</v>
      </c>
      <c r="CG26" s="1">
        <v>0.39500000000000002</v>
      </c>
      <c r="CH26" s="1">
        <v>0.64500000000000002</v>
      </c>
      <c r="CI26" s="20">
        <v>0.81499999999999995</v>
      </c>
      <c r="CJ26" s="1">
        <v>0</v>
      </c>
      <c r="CK26" s="1">
        <v>6.5000000000000002E-2</v>
      </c>
      <c r="CL26" s="1">
        <v>0.14499999999999999</v>
      </c>
      <c r="CM26" s="1">
        <v>0.245</v>
      </c>
      <c r="CN26" s="1">
        <v>0.36</v>
      </c>
      <c r="CO26" s="1">
        <v>0.39500000000000002</v>
      </c>
      <c r="CP26" s="1">
        <v>0.64500000000000002</v>
      </c>
      <c r="CQ26" s="20">
        <v>0.81499999999999995</v>
      </c>
    </row>
    <row r="27" spans="3:160" s="2" customFormat="1" x14ac:dyDescent="0.4">
      <c r="C27" s="2" t="s">
        <v>13</v>
      </c>
      <c r="D27" s="2" t="s">
        <v>10</v>
      </c>
      <c r="E27" s="2">
        <v>0.24199999999999999</v>
      </c>
      <c r="F27" s="2">
        <v>0.13500000000000001</v>
      </c>
      <c r="G27" s="2">
        <v>0.107</v>
      </c>
      <c r="H27" s="2">
        <v>2.4E-2</v>
      </c>
      <c r="I27" s="2">
        <v>3777</v>
      </c>
      <c r="J27" s="2">
        <v>3517</v>
      </c>
      <c r="K27" s="2">
        <v>48</v>
      </c>
      <c r="L27" s="2">
        <v>4565</v>
      </c>
      <c r="M27" s="2">
        <v>5453</v>
      </c>
      <c r="N27" s="2">
        <v>67</v>
      </c>
      <c r="O27" s="2">
        <v>71</v>
      </c>
      <c r="P27" s="2">
        <v>65.5</v>
      </c>
      <c r="Q27" s="2">
        <v>66</v>
      </c>
      <c r="R27" s="2">
        <v>48</v>
      </c>
      <c r="S27" s="2">
        <v>73.5</v>
      </c>
      <c r="T27" s="6">
        <f t="shared" ref="T27" si="208">(N22*O22*P22*Q22*R22*S22)/(I22*J22*K22*(F22*H22 + F23*H23 + F24*H24 + F25*H25 + F26*H26 + F27*H27))</f>
        <v>4831.2396429329383</v>
      </c>
      <c r="U27" s="2">
        <v>1.9059999999999999</v>
      </c>
      <c r="V27" s="2">
        <v>2.1999999999999999E-2</v>
      </c>
      <c r="W27" s="2">
        <v>4.0199999999999996</v>
      </c>
      <c r="X27" s="2">
        <f t="shared" ref="X27" si="209">H23</f>
        <v>2.3E-2</v>
      </c>
      <c r="Y27" s="2">
        <f t="shared" ref="Y27" si="210">H24</f>
        <v>3.7999999999999999E-2</v>
      </c>
      <c r="Z27" s="2">
        <f t="shared" ref="Z27" si="211">H25</f>
        <v>2.4E-2</v>
      </c>
      <c r="AA27" s="2">
        <f t="shared" ref="AA27" si="212">H26</f>
        <v>1.6E-2</v>
      </c>
      <c r="AB27" s="2">
        <f t="shared" ref="AB27" si="213">H27</f>
        <v>2.4E-2</v>
      </c>
      <c r="AC27" s="1">
        <f t="shared" si="114"/>
        <v>4109.9078585207571</v>
      </c>
      <c r="AE27" s="2" t="s">
        <v>99</v>
      </c>
      <c r="AF27" s="23">
        <f>($O27*$Q27*$S27)^(1/3)/(AF22*((1-AF$2)*$H22+AF$2*$H23) + AF24*((1-AF$2)*$H24+AF$2*$H25) + AF26*((1-AF$2)*$H26+AF$2*$H27))</f>
        <v>1797.347012333353</v>
      </c>
      <c r="AG27" s="23">
        <f t="shared" ref="AG27:CQ27" si="214">($O27*$Q27*$S27)^(1/3)/(AG22*((1-AG$2)*$H22+AG$2*$H23) + AG24*((1-AG$2)*$H24+AG$2*$H25) + AG26*((1-AG$2)*$H26+AG$2*$H27))</f>
        <v>1874.9908648121107</v>
      </c>
      <c r="AH27" s="23">
        <f t="shared" si="214"/>
        <v>1977.0563666901921</v>
      </c>
      <c r="AI27" s="23">
        <f t="shared" si="214"/>
        <v>2400.1552296182422</v>
      </c>
      <c r="AJ27" s="23">
        <f t="shared" si="214"/>
        <v>2302.7770525952942</v>
      </c>
      <c r="AK27" s="23">
        <f t="shared" si="214"/>
        <v>2721.6669959619785</v>
      </c>
      <c r="AL27" s="23">
        <f t="shared" si="214"/>
        <v>2926.175474055553</v>
      </c>
      <c r="AM27" s="23">
        <f t="shared" si="214"/>
        <v>3481.3277119940781</v>
      </c>
      <c r="AN27" s="23">
        <f t="shared" si="214"/>
        <v>1894.5009048919121</v>
      </c>
      <c r="AO27" s="23">
        <f t="shared" si="214"/>
        <v>1968.4508138444469</v>
      </c>
      <c r="AP27" s="23">
        <f t="shared" si="214"/>
        <v>2065.1552914782574</v>
      </c>
      <c r="AQ27" s="23">
        <f t="shared" si="214"/>
        <v>2485.2520291083406</v>
      </c>
      <c r="AR27" s="23">
        <f t="shared" si="214"/>
        <v>2368.9264441027626</v>
      </c>
      <c r="AS27" s="23">
        <f t="shared" si="214"/>
        <v>2781.0566745090555</v>
      </c>
      <c r="AT27" s="23">
        <f t="shared" si="214"/>
        <v>2927.7031839198398</v>
      </c>
      <c r="AU27" s="23">
        <f t="shared" si="214"/>
        <v>3401.0933275594743</v>
      </c>
      <c r="AV27" s="23">
        <f t="shared" si="214"/>
        <v>2002.7580994571649</v>
      </c>
      <c r="AW27" s="23">
        <f t="shared" si="214"/>
        <v>2071.7166685680741</v>
      </c>
      <c r="AX27" s="23">
        <f t="shared" si="214"/>
        <v>2161.4718927228114</v>
      </c>
      <c r="AY27" s="23">
        <f t="shared" si="214"/>
        <v>2576.6047962139596</v>
      </c>
      <c r="AZ27" s="23">
        <f t="shared" si="214"/>
        <v>2438.9886388657192</v>
      </c>
      <c r="BA27" s="23">
        <f t="shared" si="214"/>
        <v>2843.0960649361496</v>
      </c>
      <c r="BB27" s="23">
        <f t="shared" si="214"/>
        <v>2929.2324898036259</v>
      </c>
      <c r="BC27" s="23">
        <f t="shared" si="214"/>
        <v>3324.4739616315278</v>
      </c>
      <c r="BD27" s="23">
        <f t="shared" si="214"/>
        <v>2124.1373782121441</v>
      </c>
      <c r="BE27" s="23">
        <f t="shared" si="214"/>
        <v>2186.4171391453765</v>
      </c>
      <c r="BF27" s="23">
        <f t="shared" si="214"/>
        <v>2267.2122092989653</v>
      </c>
      <c r="BG27" s="23">
        <f t="shared" si="214"/>
        <v>2674.9297264262837</v>
      </c>
      <c r="BH27" s="23">
        <f t="shared" si="214"/>
        <v>2513.3213869128995</v>
      </c>
      <c r="BI27" s="23">
        <f t="shared" si="214"/>
        <v>2907.9665414229726</v>
      </c>
      <c r="BJ27" s="23">
        <f t="shared" si="214"/>
        <v>2930.7633942092925</v>
      </c>
      <c r="BK27" s="23">
        <f t="shared" si="214"/>
        <v>3251.2306809369552</v>
      </c>
      <c r="BL27" s="23">
        <f t="shared" si="214"/>
        <v>2261.1784993871215</v>
      </c>
      <c r="BM27" s="23">
        <f t="shared" si="214"/>
        <v>2314.5627697210093</v>
      </c>
      <c r="BN27" s="23">
        <f t="shared" si="214"/>
        <v>2383.8304193504769</v>
      </c>
      <c r="BO27" s="23">
        <f t="shared" si="214"/>
        <v>2781.0566745090564</v>
      </c>
      <c r="BP27" s="23">
        <f t="shared" si="214"/>
        <v>2592.3274216346435</v>
      </c>
      <c r="BQ27" s="23">
        <f t="shared" si="214"/>
        <v>2975.8664182127259</v>
      </c>
      <c r="BR27" s="23">
        <f t="shared" si="214"/>
        <v>2932.2958996444577</v>
      </c>
      <c r="BS27" s="23">
        <f t="shared" si="214"/>
        <v>3181.1451545723062</v>
      </c>
      <c r="BT27" s="23">
        <f t="shared" si="214"/>
        <v>2417.1218441724404</v>
      </c>
      <c r="BU27" s="23">
        <f t="shared" si="214"/>
        <v>2458.6648011575157</v>
      </c>
      <c r="BV27" s="23">
        <f t="shared" si="214"/>
        <v>2513.0961183472537</v>
      </c>
      <c r="BW27" s="23">
        <f t="shared" si="214"/>
        <v>2895.9526329684263</v>
      </c>
      <c r="BX27" s="23">
        <f t="shared" si="214"/>
        <v>2676.4617594883834</v>
      </c>
      <c r="BY27" s="23">
        <f t="shared" si="214"/>
        <v>3047.0129746142479</v>
      </c>
      <c r="BZ27" s="23">
        <f t="shared" si="214"/>
        <v>2933.8300086219847</v>
      </c>
      <c r="CA27" s="23">
        <f t="shared" si="214"/>
        <v>3114.0174802754673</v>
      </c>
      <c r="CB27" s="23">
        <f t="shared" si="214"/>
        <v>2596.1679067037317</v>
      </c>
      <c r="CC27" s="23">
        <f t="shared" si="214"/>
        <v>2621.9013832429682</v>
      </c>
      <c r="CD27" s="23">
        <f t="shared" si="214"/>
        <v>2657.1847415087477</v>
      </c>
      <c r="CE27" s="23">
        <f t="shared" si="214"/>
        <v>3020.7512812325253</v>
      </c>
      <c r="CF27" s="23">
        <f t="shared" si="214"/>
        <v>2766.2404688634865</v>
      </c>
      <c r="CG27" s="23">
        <f t="shared" si="214"/>
        <v>3121.6447775996771</v>
      </c>
      <c r="CH27" s="23">
        <f t="shared" si="214"/>
        <v>2935.3657236599984</v>
      </c>
      <c r="CI27" s="23">
        <f t="shared" si="214"/>
        <v>3049.6642802262672</v>
      </c>
      <c r="CJ27" s="23">
        <f t="shared" si="214"/>
        <v>2803.8613392400302</v>
      </c>
      <c r="CK27" s="23">
        <f t="shared" si="214"/>
        <v>2808.3547067708637</v>
      </c>
      <c r="CL27" s="23">
        <f t="shared" si="214"/>
        <v>2818.8009844576559</v>
      </c>
      <c r="CM27" s="23">
        <f t="shared" si="214"/>
        <v>3156.7905192974895</v>
      </c>
      <c r="CN27" s="23">
        <f t="shared" si="214"/>
        <v>2862.2512650469889</v>
      </c>
      <c r="CO27" s="23">
        <f t="shared" si="214"/>
        <v>3200.0243543027054</v>
      </c>
      <c r="CP27" s="23">
        <f t="shared" si="214"/>
        <v>2936.9030472819004</v>
      </c>
      <c r="CQ27" s="23">
        <f t="shared" si="214"/>
        <v>2987.9170281756506</v>
      </c>
      <c r="CS27" s="2">
        <f>100*$AF27/AF27</f>
        <v>100</v>
      </c>
      <c r="CT27" s="2">
        <f t="shared" ref="CT27" si="215">100*$AF27/AG27</f>
        <v>95.858974358974379</v>
      </c>
      <c r="CU27" s="2">
        <f t="shared" ref="CU27" si="216">100*$AF27/AH27</f>
        <v>90.910256410256423</v>
      </c>
      <c r="CV27" s="2">
        <f t="shared" ref="CV27" si="217">100*$AF27/AI27</f>
        <v>74.884615384615387</v>
      </c>
      <c r="CW27" s="2">
        <f t="shared" ref="CW27" si="218">100*$AF27/AJ27</f>
        <v>78.051282051282072</v>
      </c>
      <c r="CX27" s="2">
        <f t="shared" ref="CX27" si="219">100*$AF27/AK27</f>
        <v>66.038461538461547</v>
      </c>
      <c r="CY27" s="2">
        <f t="shared" ref="CY27" si="220">100*$AF27/AL27</f>
        <v>61.42307692307692</v>
      </c>
      <c r="CZ27" s="2">
        <f t="shared" ref="CZ27" si="221">100*$AF27/AM27</f>
        <v>51.628205128205131</v>
      </c>
      <c r="DA27" s="2">
        <f t="shared" ref="DA27" si="222">100*$AF27/AN27</f>
        <v>94.871794871794904</v>
      </c>
      <c r="DB27" s="2">
        <f t="shared" ref="DB27" si="223">100*$AF27/AO27</f>
        <v>91.307692307692321</v>
      </c>
      <c r="DC27" s="2">
        <f t="shared" ref="DC27" si="224">100*$AF27/AP27</f>
        <v>87.032051282051299</v>
      </c>
      <c r="DD27" s="2">
        <f t="shared" ref="DD27" si="225">100*$AF27/AQ27</f>
        <v>72.320512820512846</v>
      </c>
      <c r="DE27" s="2">
        <f t="shared" ref="DE27" si="226">100*$AF27/AR27</f>
        <v>75.87179487179489</v>
      </c>
      <c r="DF27" s="2">
        <f t="shared" ref="DF27" si="227">100*$AF27/AS27</f>
        <v>64.628205128205153</v>
      </c>
      <c r="DG27" s="2">
        <f t="shared" ref="DG27" si="228">100*$AF27/AT27</f>
        <v>61.391025641025642</v>
      </c>
      <c r="DH27" s="2">
        <f t="shared" ref="DH27" si="229">100*$AF27/AU27</f>
        <v>52.846153846153847</v>
      </c>
      <c r="DI27" s="2">
        <f t="shared" ref="DI27" si="230">100*$AF27/AV27</f>
        <v>89.743589743589737</v>
      </c>
      <c r="DJ27" s="2">
        <f t="shared" ref="DJ27" si="231">100*$AF27/AW27</f>
        <v>86.756410256410234</v>
      </c>
      <c r="DK27" s="2">
        <f t="shared" ref="DK27" si="232">100*$AF27/AX27</f>
        <v>83.153846153846146</v>
      </c>
      <c r="DL27" s="2">
        <f t="shared" ref="DL27" si="233">100*$AF27/AY27</f>
        <v>69.756410256410248</v>
      </c>
      <c r="DM27" s="2">
        <f t="shared" ref="DM27" si="234">100*$AF27/AZ27</f>
        <v>73.692307692307693</v>
      </c>
      <c r="DN27" s="2">
        <f t="shared" ref="DN27" si="235">100*$AF27/BA27</f>
        <v>63.217948717948723</v>
      </c>
      <c r="DO27" s="2">
        <f t="shared" ref="DO27" si="236">100*$AF27/BB27</f>
        <v>61.358974358974358</v>
      </c>
      <c r="DP27" s="2">
        <f t="shared" ref="DP27" si="237">100*$AF27/BC27</f>
        <v>54.064102564102569</v>
      </c>
      <c r="DQ27" s="2">
        <f t="shared" ref="DQ27" si="238">100*$AF27/BD27</f>
        <v>84.615384615384627</v>
      </c>
      <c r="DR27" s="2">
        <f t="shared" ref="DR27" si="239">100*$AF27/BE27</f>
        <v>82.205128205128204</v>
      </c>
      <c r="DS27" s="2">
        <f t="shared" ref="DS27" si="240">100*$AF27/BF27</f>
        <v>79.275641025641036</v>
      </c>
      <c r="DT27" s="2">
        <f t="shared" ref="DT27" si="241">100*$AF27/BG27</f>
        <v>67.192307692307693</v>
      </c>
      <c r="DU27" s="2">
        <f t="shared" ref="DU27" si="242">100*$AF27/BH27</f>
        <v>71.512820512820511</v>
      </c>
      <c r="DV27" s="2">
        <f t="shared" ref="DV27" si="243">100*$AF27/BI27</f>
        <v>61.807692307692321</v>
      </c>
      <c r="DW27" s="2">
        <f t="shared" ref="DW27" si="244">100*$AF27/BJ27</f>
        <v>61.326923076923087</v>
      </c>
      <c r="DX27" s="2">
        <f t="shared" ref="DX27" si="245">100*$AF27/BK27</f>
        <v>55.282051282051292</v>
      </c>
      <c r="DY27" s="2">
        <f t="shared" ref="DY27" si="246">100*$AF27/BL27</f>
        <v>79.487179487179489</v>
      </c>
      <c r="DZ27" s="2">
        <f t="shared" ref="DZ27" si="247">100*$AF27/BM27</f>
        <v>77.65384615384616</v>
      </c>
      <c r="EA27" s="2">
        <f t="shared" ref="EA27" si="248">100*$AF27/BN27</f>
        <v>75.397435897435898</v>
      </c>
      <c r="EB27" s="2">
        <f t="shared" ref="EB27" si="249">100*$AF27/BO27</f>
        <v>64.628205128205124</v>
      </c>
      <c r="EC27" s="2">
        <f t="shared" ref="EC27" si="250">100*$AF27/BP27</f>
        <v>69.333333333333343</v>
      </c>
      <c r="ED27" s="2">
        <f t="shared" ref="ED27" si="251">100*$AF27/BQ27</f>
        <v>60.397435897435905</v>
      </c>
      <c r="EE27" s="2">
        <f t="shared" ref="EE27" si="252">100*$AF27/BR27</f>
        <v>61.294871794871803</v>
      </c>
      <c r="EF27" s="2">
        <f t="shared" ref="EF27" si="253">100*$AF27/BS27</f>
        <v>56.5</v>
      </c>
      <c r="EG27" s="2">
        <f t="shared" ref="EG27" si="254">100*$AF27/BT27</f>
        <v>74.358974358974351</v>
      </c>
      <c r="EH27" s="2">
        <f t="shared" ref="EH27" si="255">100*$AF27/BU27</f>
        <v>73.102564102564102</v>
      </c>
      <c r="EI27" s="2">
        <f t="shared" ref="EI27" si="256">100*$AF27/BV27</f>
        <v>71.519230769230759</v>
      </c>
      <c r="EJ27" s="2">
        <f t="shared" ref="EJ27" si="257">100*$AF27/BW27</f>
        <v>62.064102564102576</v>
      </c>
      <c r="EK27" s="2">
        <f t="shared" ref="EK27" si="258">100*$AF27/BX27</f>
        <v>67.15384615384616</v>
      </c>
      <c r="EL27" s="2">
        <f t="shared" ref="EL27" si="259">100*$AF27/BY27</f>
        <v>58.987179487179482</v>
      </c>
      <c r="EM27" s="2">
        <f t="shared" ref="EM27" si="260">100*$AF27/BZ27</f>
        <v>61.262820512820511</v>
      </c>
      <c r="EN27" s="2">
        <f t="shared" ref="EN27" si="261">100*$AF27/CA27</f>
        <v>57.717948717948715</v>
      </c>
      <c r="EO27" s="2">
        <f t="shared" ref="EO27" si="262">100*$AF27/CB27</f>
        <v>69.230769230769241</v>
      </c>
      <c r="EP27" s="2">
        <f t="shared" ref="EP27" si="263">100*$AF27/CC27</f>
        <v>68.551282051282058</v>
      </c>
      <c r="EQ27" s="2">
        <f t="shared" ref="EQ27" si="264">100*$AF27/CD27</f>
        <v>67.641025641025649</v>
      </c>
      <c r="ER27" s="2">
        <f t="shared" ref="ER27" si="265">100*$AF27/CE27</f>
        <v>59.500000000000014</v>
      </c>
      <c r="ES27" s="2">
        <f t="shared" ref="ES27" si="266">100*$AF27/CF27</f>
        <v>64.974358974358992</v>
      </c>
      <c r="ET27" s="2">
        <f t="shared" ref="ET27" si="267">100*$AF27/CG27</f>
        <v>57.576923076923094</v>
      </c>
      <c r="EU27" s="2">
        <f t="shared" ref="EU27" si="268">100*$AF27/CH27</f>
        <v>61.230769230769241</v>
      </c>
      <c r="EV27" s="2">
        <f t="shared" ref="EV27" si="269">100*$AF27/CI27</f>
        <v>58.935897435897452</v>
      </c>
      <c r="EW27" s="2">
        <f t="shared" ref="EW27" si="270">100*$AF27/CJ27</f>
        <v>64.102564102564116</v>
      </c>
      <c r="EX27" s="2">
        <f t="shared" ref="EX27" si="271">100*$AF27/CK27</f>
        <v>64.000000000000014</v>
      </c>
      <c r="EY27" s="2">
        <f t="shared" ref="EY27" si="272">100*$AF27/CL27</f>
        <v>63.762820512820525</v>
      </c>
      <c r="EZ27" s="2">
        <f t="shared" ref="EZ27" si="273">100*$AF27/CM27</f>
        <v>56.935897435897445</v>
      </c>
      <c r="FA27" s="2">
        <f t="shared" ref="FA27" si="274">100*$AF27/CN27</f>
        <v>62.794871794871803</v>
      </c>
      <c r="FB27" s="2">
        <f t="shared" ref="FB27" si="275">100*$AF27/CO27</f>
        <v>56.166666666666671</v>
      </c>
      <c r="FC27" s="2">
        <f t="shared" ref="FC27" si="276">100*$AF27/CP27</f>
        <v>61.198717948717956</v>
      </c>
      <c r="FD27" s="2">
        <f t="shared" ref="FD27" si="277">100*$AF27/CQ27</f>
        <v>60.15384615384616</v>
      </c>
    </row>
    <row r="28" spans="3:160" x14ac:dyDescent="0.4">
      <c r="C28" s="1" t="s">
        <v>14</v>
      </c>
      <c r="D28" s="1" t="s">
        <v>5</v>
      </c>
      <c r="E28" s="1">
        <v>0.26100000000000001</v>
      </c>
      <c r="F28" s="1">
        <v>0.154</v>
      </c>
      <c r="G28" s="1">
        <v>0.108</v>
      </c>
      <c r="H28" s="1">
        <v>3.6999999999999998E-2</v>
      </c>
      <c r="I28" s="1">
        <v>3784</v>
      </c>
      <c r="J28" s="1">
        <v>3453</v>
      </c>
      <c r="K28" s="1">
        <v>48</v>
      </c>
      <c r="L28" s="1">
        <v>4564</v>
      </c>
      <c r="M28" s="1">
        <v>5389</v>
      </c>
      <c r="N28" s="1">
        <v>67</v>
      </c>
      <c r="O28" s="1">
        <v>71</v>
      </c>
      <c r="P28" s="1">
        <v>65.5</v>
      </c>
      <c r="Q28" s="1">
        <v>66</v>
      </c>
      <c r="R28" s="1">
        <v>48</v>
      </c>
      <c r="S28" s="1">
        <v>73.5</v>
      </c>
      <c r="T28" s="4">
        <v>0</v>
      </c>
      <c r="U28" s="1">
        <v>2.0369999999999999</v>
      </c>
      <c r="V28" s="1">
        <v>7.0000000000000007E-2</v>
      </c>
      <c r="W28" s="1">
        <v>4.0199999999999996</v>
      </c>
      <c r="X28" s="1">
        <f t="shared" ref="X28" si="278">H29</f>
        <v>1.6E-2</v>
      </c>
      <c r="Y28" s="1">
        <f t="shared" ref="Y28" si="279">H30</f>
        <v>3.5999999999999997E-2</v>
      </c>
      <c r="Z28" s="1">
        <f t="shared" ref="Z28" si="280">H31</f>
        <v>1.7000000000000001E-2</v>
      </c>
      <c r="AA28" s="1">
        <f t="shared" ref="AA28" si="281">H32</f>
        <v>1.4999999999999999E-2</v>
      </c>
      <c r="AB28" s="1">
        <f t="shared" ref="AB28" si="282">H33</f>
        <v>1.7000000000000001E-2</v>
      </c>
      <c r="AC28" s="1">
        <f t="shared" si="114"/>
        <v>4115.941016470495</v>
      </c>
      <c r="AE28" s="1" t="s">
        <v>96</v>
      </c>
      <c r="AF28" s="1">
        <v>1</v>
      </c>
      <c r="AG28" s="1">
        <v>0.81499999999999995</v>
      </c>
      <c r="AH28" s="1">
        <v>0.64500000000000002</v>
      </c>
      <c r="AI28" s="1">
        <v>0.39500000000000002</v>
      </c>
      <c r="AJ28" s="1">
        <v>0.36</v>
      </c>
      <c r="AK28" s="1">
        <v>0.245</v>
      </c>
      <c r="AL28" s="1">
        <v>0.14499999999999999</v>
      </c>
      <c r="AM28" s="20">
        <v>6.5000000000000002E-2</v>
      </c>
      <c r="AN28" s="1">
        <v>1</v>
      </c>
      <c r="AO28" s="1">
        <v>0.81499999999999995</v>
      </c>
      <c r="AP28" s="1">
        <v>0.64500000000000002</v>
      </c>
      <c r="AQ28" s="1">
        <v>0.39500000000000002</v>
      </c>
      <c r="AR28" s="1">
        <v>0.36</v>
      </c>
      <c r="AS28" s="1">
        <v>0.245</v>
      </c>
      <c r="AT28" s="1">
        <v>0.14499999999999999</v>
      </c>
      <c r="AU28" s="20">
        <v>6.5000000000000002E-2</v>
      </c>
      <c r="AV28" s="1">
        <v>1</v>
      </c>
      <c r="AW28" s="1">
        <v>0.81499999999999995</v>
      </c>
      <c r="AX28" s="1">
        <v>0.64500000000000002</v>
      </c>
      <c r="AY28" s="1">
        <v>0.39500000000000002</v>
      </c>
      <c r="AZ28" s="1">
        <v>0.36</v>
      </c>
      <c r="BA28" s="1">
        <v>0.245</v>
      </c>
      <c r="BB28" s="1">
        <v>0.14499999999999999</v>
      </c>
      <c r="BC28" s="20">
        <v>6.5000000000000002E-2</v>
      </c>
      <c r="BD28" s="1">
        <v>1</v>
      </c>
      <c r="BE28" s="1">
        <v>0.81499999999999995</v>
      </c>
      <c r="BF28" s="1">
        <v>0.64500000000000002</v>
      </c>
      <c r="BG28" s="1">
        <v>0.39500000000000002</v>
      </c>
      <c r="BH28" s="1">
        <v>0.36</v>
      </c>
      <c r="BI28" s="1">
        <v>0.245</v>
      </c>
      <c r="BJ28" s="1">
        <v>0.14499999999999999</v>
      </c>
      <c r="BK28" s="20">
        <v>6.5000000000000002E-2</v>
      </c>
      <c r="BL28" s="1">
        <v>1</v>
      </c>
      <c r="BM28" s="1">
        <v>0.81499999999999995</v>
      </c>
      <c r="BN28" s="1">
        <v>0.64500000000000002</v>
      </c>
      <c r="BO28" s="1">
        <v>0.39500000000000002</v>
      </c>
      <c r="BP28" s="1">
        <v>0.36</v>
      </c>
      <c r="BQ28" s="1">
        <v>0.245</v>
      </c>
      <c r="BR28" s="1">
        <v>0.14499999999999999</v>
      </c>
      <c r="BS28" s="20">
        <v>6.5000000000000002E-2</v>
      </c>
      <c r="BT28" s="1">
        <v>1</v>
      </c>
      <c r="BU28" s="1">
        <v>0.81499999999999995</v>
      </c>
      <c r="BV28" s="1">
        <v>0.64500000000000002</v>
      </c>
      <c r="BW28" s="1">
        <v>0.39500000000000002</v>
      </c>
      <c r="BX28" s="1">
        <v>0.36</v>
      </c>
      <c r="BY28" s="1">
        <v>0.245</v>
      </c>
      <c r="BZ28" s="1">
        <v>0.14499999999999999</v>
      </c>
      <c r="CA28" s="20">
        <v>6.5000000000000002E-2</v>
      </c>
      <c r="CB28" s="1">
        <v>1</v>
      </c>
      <c r="CC28" s="1">
        <v>0.81499999999999995</v>
      </c>
      <c r="CD28" s="1">
        <v>0.64500000000000002</v>
      </c>
      <c r="CE28" s="1">
        <v>0.39500000000000002</v>
      </c>
      <c r="CF28" s="1">
        <v>0.36</v>
      </c>
      <c r="CG28" s="1">
        <v>0.245</v>
      </c>
      <c r="CH28" s="1">
        <v>0.14499999999999999</v>
      </c>
      <c r="CI28" s="20">
        <v>6.5000000000000002E-2</v>
      </c>
      <c r="CJ28" s="1">
        <v>1</v>
      </c>
      <c r="CK28" s="1">
        <v>0.81499999999999995</v>
      </c>
      <c r="CL28" s="1">
        <v>0.64500000000000002</v>
      </c>
      <c r="CM28" s="1">
        <v>0.39500000000000002</v>
      </c>
      <c r="CN28" s="1">
        <v>0.36</v>
      </c>
      <c r="CO28" s="1">
        <v>0.245</v>
      </c>
      <c r="CP28" s="1">
        <v>0.14499999999999999</v>
      </c>
      <c r="CQ28" s="20">
        <v>6.5000000000000002E-2</v>
      </c>
    </row>
    <row r="29" spans="3:160" x14ac:dyDescent="0.4">
      <c r="C29" s="1" t="s">
        <v>14</v>
      </c>
      <c r="D29" s="1" t="s">
        <v>6</v>
      </c>
      <c r="E29" s="1">
        <v>0.23200000000000001</v>
      </c>
      <c r="F29" s="1">
        <v>0.125</v>
      </c>
      <c r="G29" s="1">
        <v>0.107</v>
      </c>
      <c r="H29" s="1">
        <v>1.6E-2</v>
      </c>
      <c r="I29" s="1">
        <v>3784</v>
      </c>
      <c r="J29" s="1">
        <v>3453</v>
      </c>
      <c r="K29" s="1">
        <v>48</v>
      </c>
      <c r="L29" s="1">
        <v>4564</v>
      </c>
      <c r="M29" s="1">
        <v>5389</v>
      </c>
      <c r="N29" s="1">
        <v>67</v>
      </c>
      <c r="O29" s="1">
        <v>71</v>
      </c>
      <c r="P29" s="1">
        <v>65.5</v>
      </c>
      <c r="Q29" s="1">
        <v>66</v>
      </c>
      <c r="R29" s="1">
        <v>48</v>
      </c>
      <c r="S29" s="1">
        <v>73.5</v>
      </c>
      <c r="T29" s="4">
        <v>0</v>
      </c>
      <c r="U29" s="1">
        <v>2.0369999999999999</v>
      </c>
      <c r="V29" s="1">
        <v>7.0000000000000007E-2</v>
      </c>
      <c r="W29" s="1">
        <v>4.0199999999999996</v>
      </c>
      <c r="X29" s="1">
        <f t="shared" ref="X29" si="283">H29</f>
        <v>1.6E-2</v>
      </c>
      <c r="Y29" s="1">
        <f t="shared" ref="Y29" si="284">H30</f>
        <v>3.5999999999999997E-2</v>
      </c>
      <c r="Z29" s="1">
        <f t="shared" ref="Z29" si="285">H31</f>
        <v>1.7000000000000001E-2</v>
      </c>
      <c r="AA29" s="1">
        <f t="shared" ref="AA29" si="286">H32</f>
        <v>1.4999999999999999E-2</v>
      </c>
      <c r="AB29" s="1">
        <f t="shared" ref="AB29" si="287">H33</f>
        <v>1.7000000000000001E-2</v>
      </c>
      <c r="AC29" s="1">
        <f t="shared" si="114"/>
        <v>4115.941016470495</v>
      </c>
      <c r="CQ29" s="20"/>
    </row>
    <row r="30" spans="3:160" x14ac:dyDescent="0.4">
      <c r="C30" s="1" t="s">
        <v>14</v>
      </c>
      <c r="D30" s="1" t="s">
        <v>7</v>
      </c>
      <c r="E30" s="1">
        <v>0.26100000000000001</v>
      </c>
      <c r="F30" s="1">
        <v>0.153</v>
      </c>
      <c r="G30" s="1">
        <v>0.108</v>
      </c>
      <c r="H30" s="1">
        <v>3.5999999999999997E-2</v>
      </c>
      <c r="I30" s="1">
        <v>3784</v>
      </c>
      <c r="J30" s="1">
        <v>3453</v>
      </c>
      <c r="K30" s="1">
        <v>48</v>
      </c>
      <c r="L30" s="1">
        <v>4564</v>
      </c>
      <c r="M30" s="1">
        <v>5389</v>
      </c>
      <c r="N30" s="1">
        <v>67</v>
      </c>
      <c r="O30" s="1">
        <v>71</v>
      </c>
      <c r="P30" s="1">
        <v>65.5</v>
      </c>
      <c r="Q30" s="1">
        <v>66</v>
      </c>
      <c r="R30" s="1">
        <v>48</v>
      </c>
      <c r="S30" s="1">
        <v>73.5</v>
      </c>
      <c r="T30" s="4">
        <v>0</v>
      </c>
      <c r="U30" s="1">
        <v>2.0369999999999999</v>
      </c>
      <c r="V30" s="1">
        <v>7.0000000000000007E-2</v>
      </c>
      <c r="W30" s="1">
        <v>4.0199999999999996</v>
      </c>
      <c r="X30" s="1">
        <f t="shared" ref="X30" si="288">H29</f>
        <v>1.6E-2</v>
      </c>
      <c r="Y30" s="1">
        <f t="shared" ref="Y30" si="289">H30</f>
        <v>3.5999999999999997E-2</v>
      </c>
      <c r="Z30" s="1">
        <f t="shared" ref="Z30" si="290">H31</f>
        <v>1.7000000000000001E-2</v>
      </c>
      <c r="AA30" s="1">
        <f t="shared" ref="AA30" si="291">H32</f>
        <v>1.4999999999999999E-2</v>
      </c>
      <c r="AB30" s="1">
        <f t="shared" ref="AB30" si="292">H33</f>
        <v>1.7000000000000001E-2</v>
      </c>
      <c r="AC30" s="1">
        <f t="shared" si="114"/>
        <v>4115.941016470495</v>
      </c>
      <c r="AE30" s="1" t="s">
        <v>97</v>
      </c>
      <c r="AF30" s="1">
        <v>0</v>
      </c>
      <c r="AG30" s="1">
        <v>0.12</v>
      </c>
      <c r="AH30" s="1">
        <v>0.21</v>
      </c>
      <c r="AI30" s="1">
        <v>0.26</v>
      </c>
      <c r="AJ30" s="1">
        <v>0.28000000000000003</v>
      </c>
      <c r="AK30" s="1">
        <v>0.26</v>
      </c>
      <c r="AL30" s="1">
        <v>0.21</v>
      </c>
      <c r="AM30" s="20">
        <v>0.12</v>
      </c>
      <c r="AN30" s="1">
        <v>0</v>
      </c>
      <c r="AO30" s="1">
        <v>0.12</v>
      </c>
      <c r="AP30" s="1">
        <v>0.21</v>
      </c>
      <c r="AQ30" s="1">
        <v>0.26</v>
      </c>
      <c r="AR30" s="1">
        <v>0.28000000000000003</v>
      </c>
      <c r="AS30" s="1">
        <v>0.26</v>
      </c>
      <c r="AT30" s="1">
        <v>0.21</v>
      </c>
      <c r="AU30" s="20">
        <v>0.12</v>
      </c>
      <c r="AV30" s="1">
        <v>0</v>
      </c>
      <c r="AW30" s="1">
        <v>0.12</v>
      </c>
      <c r="AX30" s="1">
        <v>0.21</v>
      </c>
      <c r="AY30" s="1">
        <v>0.26</v>
      </c>
      <c r="AZ30" s="1">
        <v>0.28000000000000003</v>
      </c>
      <c r="BA30" s="1">
        <v>0.26</v>
      </c>
      <c r="BB30" s="1">
        <v>0.21</v>
      </c>
      <c r="BC30" s="20">
        <v>0.12</v>
      </c>
      <c r="BD30" s="1">
        <v>0</v>
      </c>
      <c r="BE30" s="1">
        <v>0.12</v>
      </c>
      <c r="BF30" s="1">
        <v>0.21</v>
      </c>
      <c r="BG30" s="1">
        <v>0.26</v>
      </c>
      <c r="BH30" s="1">
        <v>0.28000000000000003</v>
      </c>
      <c r="BI30" s="1">
        <v>0.26</v>
      </c>
      <c r="BJ30" s="1">
        <v>0.21</v>
      </c>
      <c r="BK30" s="20">
        <v>0.12</v>
      </c>
      <c r="BL30" s="1">
        <v>0</v>
      </c>
      <c r="BM30" s="1">
        <v>0.12</v>
      </c>
      <c r="BN30" s="1">
        <v>0.21</v>
      </c>
      <c r="BO30" s="1">
        <v>0.26</v>
      </c>
      <c r="BP30" s="1">
        <v>0.28000000000000003</v>
      </c>
      <c r="BQ30" s="1">
        <v>0.26</v>
      </c>
      <c r="BR30" s="1">
        <v>0.21</v>
      </c>
      <c r="BS30" s="20">
        <v>0.12</v>
      </c>
      <c r="BT30" s="1">
        <v>0</v>
      </c>
      <c r="BU30" s="1">
        <v>0.12</v>
      </c>
      <c r="BV30" s="1">
        <v>0.21</v>
      </c>
      <c r="BW30" s="1">
        <v>0.26</v>
      </c>
      <c r="BX30" s="1">
        <v>0.28000000000000003</v>
      </c>
      <c r="BY30" s="1">
        <v>0.26</v>
      </c>
      <c r="BZ30" s="1">
        <v>0.21</v>
      </c>
      <c r="CA30" s="20">
        <v>0.12</v>
      </c>
      <c r="CB30" s="1">
        <v>0</v>
      </c>
      <c r="CC30" s="1">
        <v>0.12</v>
      </c>
      <c r="CD30" s="1">
        <v>0.21</v>
      </c>
      <c r="CE30" s="1">
        <v>0.26</v>
      </c>
      <c r="CF30" s="1">
        <v>0.28000000000000003</v>
      </c>
      <c r="CG30" s="1">
        <v>0.26</v>
      </c>
      <c r="CH30" s="1">
        <v>0.21</v>
      </c>
      <c r="CI30" s="20">
        <v>0.12</v>
      </c>
      <c r="CJ30" s="1">
        <v>0</v>
      </c>
      <c r="CK30" s="1">
        <v>0.12</v>
      </c>
      <c r="CL30" s="1">
        <v>0.21</v>
      </c>
      <c r="CM30" s="1">
        <v>0.26</v>
      </c>
      <c r="CN30" s="1">
        <v>0.28000000000000003</v>
      </c>
      <c r="CO30" s="1">
        <v>0.26</v>
      </c>
      <c r="CP30" s="1">
        <v>0.21</v>
      </c>
      <c r="CQ30" s="20">
        <v>0.12</v>
      </c>
    </row>
    <row r="31" spans="3:160" x14ac:dyDescent="0.4">
      <c r="C31" s="1" t="s">
        <v>14</v>
      </c>
      <c r="D31" s="1" t="s">
        <v>8</v>
      </c>
      <c r="E31" s="1">
        <v>0.23400000000000001</v>
      </c>
      <c r="F31" s="1">
        <v>0.127</v>
      </c>
      <c r="G31" s="1">
        <v>0.107</v>
      </c>
      <c r="H31" s="1">
        <v>1.7000000000000001E-2</v>
      </c>
      <c r="I31" s="1">
        <v>3784</v>
      </c>
      <c r="J31" s="1">
        <v>3453</v>
      </c>
      <c r="K31" s="1">
        <v>48</v>
      </c>
      <c r="L31" s="1">
        <v>4564</v>
      </c>
      <c r="M31" s="1">
        <v>5389</v>
      </c>
      <c r="N31" s="1">
        <v>67</v>
      </c>
      <c r="O31" s="1">
        <v>71</v>
      </c>
      <c r="P31" s="1">
        <v>65.5</v>
      </c>
      <c r="Q31" s="1">
        <v>66</v>
      </c>
      <c r="R31" s="1">
        <v>48</v>
      </c>
      <c r="S31" s="1">
        <v>73.5</v>
      </c>
      <c r="T31" s="4">
        <v>0</v>
      </c>
      <c r="U31" s="1">
        <v>2.0369999999999999</v>
      </c>
      <c r="V31" s="1">
        <v>7.0000000000000007E-2</v>
      </c>
      <c r="W31" s="1">
        <v>4.0199999999999996</v>
      </c>
      <c r="X31" s="1">
        <f t="shared" ref="X31" si="293">H29</f>
        <v>1.6E-2</v>
      </c>
      <c r="Y31" s="1">
        <f t="shared" ref="Y31" si="294">H30</f>
        <v>3.5999999999999997E-2</v>
      </c>
      <c r="Z31" s="1">
        <f t="shared" ref="Z31" si="295">H31</f>
        <v>1.7000000000000001E-2</v>
      </c>
      <c r="AA31" s="1">
        <f t="shared" ref="AA31" si="296">H32</f>
        <v>1.4999999999999999E-2</v>
      </c>
      <c r="AB31" s="1">
        <f t="shared" ref="AB31" si="297">H33</f>
        <v>1.7000000000000001E-2</v>
      </c>
      <c r="AC31" s="1">
        <f t="shared" si="114"/>
        <v>4115.941016470495</v>
      </c>
      <c r="CQ31" s="20"/>
    </row>
    <row r="32" spans="3:160" x14ac:dyDescent="0.4">
      <c r="C32" s="1" t="s">
        <v>14</v>
      </c>
      <c r="D32" s="1" t="s">
        <v>9</v>
      </c>
      <c r="E32" s="1">
        <v>0.23100000000000001</v>
      </c>
      <c r="F32" s="1">
        <v>0.124</v>
      </c>
      <c r="G32" s="1">
        <v>0.107</v>
      </c>
      <c r="H32" s="1">
        <v>1.4999999999999999E-2</v>
      </c>
      <c r="I32" s="1">
        <v>3784</v>
      </c>
      <c r="J32" s="1">
        <v>3453</v>
      </c>
      <c r="K32" s="1">
        <v>48</v>
      </c>
      <c r="L32" s="1">
        <v>4564</v>
      </c>
      <c r="M32" s="1">
        <v>5389</v>
      </c>
      <c r="N32" s="1">
        <v>67</v>
      </c>
      <c r="O32" s="1">
        <v>71</v>
      </c>
      <c r="P32" s="1">
        <v>65.5</v>
      </c>
      <c r="Q32" s="1">
        <v>66</v>
      </c>
      <c r="R32" s="1">
        <v>48</v>
      </c>
      <c r="S32" s="1">
        <v>73.5</v>
      </c>
      <c r="T32" s="4">
        <v>0</v>
      </c>
      <c r="U32" s="1">
        <v>2.0369999999999999</v>
      </c>
      <c r="V32" s="1">
        <v>7.0000000000000007E-2</v>
      </c>
      <c r="W32" s="1">
        <v>4.0199999999999996</v>
      </c>
      <c r="X32" s="1">
        <f t="shared" ref="X32" si="298">H29</f>
        <v>1.6E-2</v>
      </c>
      <c r="Y32" s="1">
        <f t="shared" ref="Y32" si="299">H30</f>
        <v>3.5999999999999997E-2</v>
      </c>
      <c r="Z32" s="1">
        <f t="shared" ref="Z32" si="300">H31</f>
        <v>1.7000000000000001E-2</v>
      </c>
      <c r="AA32" s="1">
        <f t="shared" ref="AA32" si="301">H32</f>
        <v>1.4999999999999999E-2</v>
      </c>
      <c r="AB32" s="1">
        <f t="shared" ref="AB32" si="302">H33</f>
        <v>1.7000000000000001E-2</v>
      </c>
      <c r="AC32" s="1">
        <f t="shared" si="114"/>
        <v>4115.941016470495</v>
      </c>
      <c r="AE32" s="1" t="s">
        <v>98</v>
      </c>
      <c r="AF32" s="1">
        <v>0</v>
      </c>
      <c r="AG32" s="1">
        <v>6.5000000000000002E-2</v>
      </c>
      <c r="AH32" s="1">
        <v>0.14499999999999999</v>
      </c>
      <c r="AI32" s="1">
        <v>0.245</v>
      </c>
      <c r="AJ32" s="1">
        <v>0.36</v>
      </c>
      <c r="AK32" s="1">
        <v>0.39500000000000002</v>
      </c>
      <c r="AL32" s="1">
        <v>0.64500000000000002</v>
      </c>
      <c r="AM32" s="20">
        <v>0.81499999999999995</v>
      </c>
      <c r="AN32" s="1">
        <v>0</v>
      </c>
      <c r="AO32" s="1">
        <v>6.5000000000000002E-2</v>
      </c>
      <c r="AP32" s="1">
        <v>0.14499999999999999</v>
      </c>
      <c r="AQ32" s="1">
        <v>0.245</v>
      </c>
      <c r="AR32" s="1">
        <v>0.36</v>
      </c>
      <c r="AS32" s="1">
        <v>0.39500000000000002</v>
      </c>
      <c r="AT32" s="1">
        <v>0.64500000000000002</v>
      </c>
      <c r="AU32" s="20">
        <v>0.81499999999999995</v>
      </c>
      <c r="AV32" s="1">
        <v>0</v>
      </c>
      <c r="AW32" s="1">
        <v>6.5000000000000002E-2</v>
      </c>
      <c r="AX32" s="1">
        <v>0.14499999999999999</v>
      </c>
      <c r="AY32" s="1">
        <v>0.245</v>
      </c>
      <c r="AZ32" s="1">
        <v>0.36</v>
      </c>
      <c r="BA32" s="1">
        <v>0.39500000000000002</v>
      </c>
      <c r="BB32" s="1">
        <v>0.64500000000000002</v>
      </c>
      <c r="BC32" s="20">
        <v>0.81499999999999995</v>
      </c>
      <c r="BD32" s="1">
        <v>0</v>
      </c>
      <c r="BE32" s="1">
        <v>6.5000000000000002E-2</v>
      </c>
      <c r="BF32" s="1">
        <v>0.14499999999999999</v>
      </c>
      <c r="BG32" s="1">
        <v>0.245</v>
      </c>
      <c r="BH32" s="1">
        <v>0.36</v>
      </c>
      <c r="BI32" s="1">
        <v>0.39500000000000002</v>
      </c>
      <c r="BJ32" s="1">
        <v>0.64500000000000002</v>
      </c>
      <c r="BK32" s="20">
        <v>0.81499999999999995</v>
      </c>
      <c r="BL32" s="1">
        <v>0</v>
      </c>
      <c r="BM32" s="1">
        <v>6.5000000000000002E-2</v>
      </c>
      <c r="BN32" s="1">
        <v>0.14499999999999999</v>
      </c>
      <c r="BO32" s="1">
        <v>0.245</v>
      </c>
      <c r="BP32" s="1">
        <v>0.36</v>
      </c>
      <c r="BQ32" s="1">
        <v>0.39500000000000002</v>
      </c>
      <c r="BR32" s="1">
        <v>0.64500000000000002</v>
      </c>
      <c r="BS32" s="20">
        <v>0.81499999999999995</v>
      </c>
      <c r="BT32" s="1">
        <v>0</v>
      </c>
      <c r="BU32" s="1">
        <v>6.5000000000000002E-2</v>
      </c>
      <c r="BV32" s="1">
        <v>0.14499999999999999</v>
      </c>
      <c r="BW32" s="1">
        <v>0.245</v>
      </c>
      <c r="BX32" s="1">
        <v>0.36</v>
      </c>
      <c r="BY32" s="1">
        <v>0.39500000000000002</v>
      </c>
      <c r="BZ32" s="1">
        <v>0.64500000000000002</v>
      </c>
      <c r="CA32" s="20">
        <v>0.81499999999999995</v>
      </c>
      <c r="CB32" s="1">
        <v>0</v>
      </c>
      <c r="CC32" s="1">
        <v>6.5000000000000002E-2</v>
      </c>
      <c r="CD32" s="1">
        <v>0.14499999999999999</v>
      </c>
      <c r="CE32" s="1">
        <v>0.245</v>
      </c>
      <c r="CF32" s="1">
        <v>0.36</v>
      </c>
      <c r="CG32" s="1">
        <v>0.39500000000000002</v>
      </c>
      <c r="CH32" s="1">
        <v>0.64500000000000002</v>
      </c>
      <c r="CI32" s="20">
        <v>0.81499999999999995</v>
      </c>
      <c r="CJ32" s="1">
        <v>0</v>
      </c>
      <c r="CK32" s="1">
        <v>6.5000000000000002E-2</v>
      </c>
      <c r="CL32" s="1">
        <v>0.14499999999999999</v>
      </c>
      <c r="CM32" s="1">
        <v>0.245</v>
      </c>
      <c r="CN32" s="1">
        <v>0.36</v>
      </c>
      <c r="CO32" s="1">
        <v>0.39500000000000002</v>
      </c>
      <c r="CP32" s="1">
        <v>0.64500000000000002</v>
      </c>
      <c r="CQ32" s="20">
        <v>0.81499999999999995</v>
      </c>
    </row>
    <row r="33" spans="3:160" s="2" customFormat="1" x14ac:dyDescent="0.4">
      <c r="C33" s="2" t="s">
        <v>14</v>
      </c>
      <c r="D33" s="2" t="s">
        <v>10</v>
      </c>
      <c r="E33" s="2">
        <v>0.23400000000000001</v>
      </c>
      <c r="F33" s="2">
        <v>0.127</v>
      </c>
      <c r="G33" s="2">
        <v>0.107</v>
      </c>
      <c r="H33" s="2">
        <v>1.7000000000000001E-2</v>
      </c>
      <c r="I33" s="2">
        <v>3784</v>
      </c>
      <c r="J33" s="2">
        <v>3453</v>
      </c>
      <c r="K33" s="2">
        <v>48</v>
      </c>
      <c r="L33" s="2">
        <v>4564</v>
      </c>
      <c r="M33" s="2">
        <v>5389</v>
      </c>
      <c r="N33" s="2">
        <v>67</v>
      </c>
      <c r="O33" s="2">
        <v>71</v>
      </c>
      <c r="P33" s="2">
        <v>65.5</v>
      </c>
      <c r="Q33" s="2">
        <v>66</v>
      </c>
      <c r="R33" s="2">
        <v>48</v>
      </c>
      <c r="S33" s="2">
        <v>73.5</v>
      </c>
      <c r="T33" s="6">
        <f t="shared" ref="T33" si="303">(N28*O28*P28*Q28*R28*S28)/(I28*J28*K28*(F28*H28 + F29*H29 + F30*H30 + F31*H31 + F32*H32 + F33*H33))</f>
        <v>5967.8049292087553</v>
      </c>
      <c r="U33" s="2">
        <v>2.0369999999999999</v>
      </c>
      <c r="V33" s="2">
        <v>7.0000000000000007E-2</v>
      </c>
      <c r="W33" s="2">
        <v>4.0199999999999996</v>
      </c>
      <c r="X33" s="2">
        <f t="shared" ref="X33" si="304">H29</f>
        <v>1.6E-2</v>
      </c>
      <c r="Y33" s="2">
        <f t="shared" ref="Y33" si="305">H30</f>
        <v>3.5999999999999997E-2</v>
      </c>
      <c r="Z33" s="2">
        <f t="shared" ref="Z33" si="306">H31</f>
        <v>1.7000000000000001E-2</v>
      </c>
      <c r="AA33" s="2">
        <f t="shared" ref="AA33" si="307">H32</f>
        <v>1.4999999999999999E-2</v>
      </c>
      <c r="AB33" s="2">
        <f t="shared" ref="AB33" si="308">H33</f>
        <v>1.7000000000000001E-2</v>
      </c>
      <c r="AC33" s="1">
        <f t="shared" si="114"/>
        <v>4115.941016470495</v>
      </c>
      <c r="AE33" s="2" t="s">
        <v>99</v>
      </c>
      <c r="AF33" s="24">
        <f>($O33*$Q33*$S33)^(1/3)/(AF28*((1-AF$2)*$H28+AF$2*$H29) + AF30*((1-AF$2)*$H30+AF$2*$H31) + AF32*((1-AF$2)*$H32+AF$2*$H33))</f>
        <v>1894.5009048919126</v>
      </c>
      <c r="AG33" s="24">
        <f t="shared" ref="AG33:CQ33" si="309">($O33*$Q33*$S33)^(1/3)/(AG28*((1-AG$2)*$H28+AG$2*$H29) + AG30*((1-AG$2)*$H30+AG$2*$H31) + AG32*((1-AG$2)*$H32+AG$2*$H33))</f>
        <v>1977.3352180818272</v>
      </c>
      <c r="AH33" s="23">
        <f t="shared" si="309"/>
        <v>2086.2063536012129</v>
      </c>
      <c r="AI33" s="23">
        <f t="shared" si="309"/>
        <v>2535.1368347559046</v>
      </c>
      <c r="AJ33" s="23">
        <f t="shared" si="309"/>
        <v>2433.9074125347493</v>
      </c>
      <c r="AK33" s="23">
        <f t="shared" si="309"/>
        <v>2878.7077404928446</v>
      </c>
      <c r="AL33" s="23">
        <f t="shared" si="309"/>
        <v>3101.6165257079983</v>
      </c>
      <c r="AM33" s="23">
        <f t="shared" si="309"/>
        <v>3699.0255135092752</v>
      </c>
      <c r="AN33" s="24">
        <f t="shared" si="309"/>
        <v>2039.1718830836583</v>
      </c>
      <c r="AO33" s="24">
        <f t="shared" si="309"/>
        <v>2121.4453925814068</v>
      </c>
      <c r="AP33" s="23">
        <f t="shared" si="309"/>
        <v>2229.2233024507805</v>
      </c>
      <c r="AQ33" s="23">
        <f t="shared" si="309"/>
        <v>2690.1358463361685</v>
      </c>
      <c r="AR33" s="23">
        <f t="shared" si="309"/>
        <v>2569.521022030819</v>
      </c>
      <c r="AS33" s="23">
        <f t="shared" si="309"/>
        <v>3022.94961239862</v>
      </c>
      <c r="AT33" s="23">
        <f t="shared" si="309"/>
        <v>3203.4061743338152</v>
      </c>
      <c r="AU33" s="23">
        <f t="shared" si="309"/>
        <v>3748.8536139854004</v>
      </c>
      <c r="AV33" s="24">
        <f t="shared" si="309"/>
        <v>2207.7648340472679</v>
      </c>
      <c r="AW33" s="23">
        <f t="shared" si="309"/>
        <v>2288.2126243440898</v>
      </c>
      <c r="AX33" s="23">
        <f t="shared" si="309"/>
        <v>2393.2920824890366</v>
      </c>
      <c r="AY33" s="23">
        <f t="shared" si="309"/>
        <v>2865.3225070155136</v>
      </c>
      <c r="AZ33" s="23">
        <f t="shared" si="309"/>
        <v>2721.138722088539</v>
      </c>
      <c r="BA33" s="23">
        <f t="shared" si="309"/>
        <v>3182.4088749106531</v>
      </c>
      <c r="BB33" s="23">
        <f t="shared" si="309"/>
        <v>3312.1036433052159</v>
      </c>
      <c r="BC33" s="23">
        <f t="shared" si="309"/>
        <v>3800.0424737277644</v>
      </c>
      <c r="BD33" s="23">
        <f t="shared" si="309"/>
        <v>2406.7479306781379</v>
      </c>
      <c r="BE33" s="23">
        <f t="shared" si="309"/>
        <v>2483.4360082726516</v>
      </c>
      <c r="BF33" s="23">
        <f t="shared" si="309"/>
        <v>2583.4301607721468</v>
      </c>
      <c r="BG33" s="23">
        <f t="shared" si="309"/>
        <v>3064.9155185309</v>
      </c>
      <c r="BH33" s="23">
        <f t="shared" si="309"/>
        <v>2891.7711832096024</v>
      </c>
      <c r="BI33" s="23">
        <f t="shared" si="309"/>
        <v>3359.6277617230689</v>
      </c>
      <c r="BJ33" s="23">
        <f t="shared" si="309"/>
        <v>3428.4368162382298</v>
      </c>
      <c r="BK33" s="23">
        <f t="shared" si="309"/>
        <v>3852.6486060115153</v>
      </c>
      <c r="BL33" s="23">
        <f t="shared" si="309"/>
        <v>2645.1522068302174</v>
      </c>
      <c r="BM33" s="23">
        <f t="shared" si="309"/>
        <v>2715.0782795003688</v>
      </c>
      <c r="BN33" s="23">
        <f t="shared" si="309"/>
        <v>2806.3870876188876</v>
      </c>
      <c r="BO33" s="23">
        <f t="shared" si="309"/>
        <v>3294.3970617319123</v>
      </c>
      <c r="BP33" s="23">
        <f t="shared" si="309"/>
        <v>3085.2347482834848</v>
      </c>
      <c r="BQ33" s="23">
        <f t="shared" si="309"/>
        <v>3557.7481782007744</v>
      </c>
      <c r="BR33" s="23">
        <f t="shared" si="309"/>
        <v>3553.2395630972378</v>
      </c>
      <c r="BS33" s="23">
        <f t="shared" si="309"/>
        <v>3906.7316974223636</v>
      </c>
      <c r="BT33" s="23">
        <f t="shared" si="309"/>
        <v>2935.9804599372046</v>
      </c>
      <c r="BU33" s="23">
        <f t="shared" si="309"/>
        <v>2994.3786829422293</v>
      </c>
      <c r="BV33" s="23">
        <f t="shared" si="309"/>
        <v>3071.4625104642259</v>
      </c>
      <c r="BW33" s="23">
        <f t="shared" si="309"/>
        <v>3561.0240853977216</v>
      </c>
      <c r="BX33" s="23">
        <f t="shared" si="309"/>
        <v>3306.4402585377716</v>
      </c>
      <c r="BY33" s="23">
        <f t="shared" si="309"/>
        <v>3780.6995978291325</v>
      </c>
      <c r="BZ33" s="23">
        <f t="shared" si="309"/>
        <v>3687.4717596449518</v>
      </c>
      <c r="CA33" s="23">
        <f t="shared" si="309"/>
        <v>3962.3548337608622</v>
      </c>
      <c r="CB33" s="23">
        <f t="shared" si="309"/>
        <v>3298.6603991059187</v>
      </c>
      <c r="CC33" s="23">
        <f t="shared" si="309"/>
        <v>3337.7314912684133</v>
      </c>
      <c r="CD33" s="23">
        <f t="shared" si="309"/>
        <v>3391.8361328736842</v>
      </c>
      <c r="CE33" s="23">
        <f t="shared" si="309"/>
        <v>3874.6097412285367</v>
      </c>
      <c r="CF33" s="23">
        <f t="shared" si="309"/>
        <v>3561.8157256606078</v>
      </c>
      <c r="CG33" s="23">
        <f t="shared" si="309"/>
        <v>4033.4623307775742</v>
      </c>
      <c r="CH33" s="23">
        <f t="shared" si="309"/>
        <v>3832.2440227431562</v>
      </c>
      <c r="CI33" s="23">
        <f t="shared" si="309"/>
        <v>4019.5847455236621</v>
      </c>
      <c r="CJ33" s="23">
        <f t="shared" si="309"/>
        <v>3763.5722674362828</v>
      </c>
      <c r="CK33" s="23">
        <f t="shared" si="309"/>
        <v>3770.0243224848305</v>
      </c>
      <c r="CL33" s="23">
        <f t="shared" si="309"/>
        <v>3786.8269429584775</v>
      </c>
      <c r="CM33" s="23">
        <f t="shared" si="309"/>
        <v>4248.7575697844914</v>
      </c>
      <c r="CN33" s="23">
        <f t="shared" si="309"/>
        <v>3859.9412709802182</v>
      </c>
      <c r="CO33" s="23">
        <f t="shared" si="309"/>
        <v>4322.4439653756208</v>
      </c>
      <c r="CP33" s="23">
        <f t="shared" si="309"/>
        <v>3988.8485104954725</v>
      </c>
      <c r="CQ33" s="23">
        <f t="shared" si="309"/>
        <v>4078.4920749700432</v>
      </c>
      <c r="CS33" s="2">
        <f t="shared" ref="CS33" si="310">100*$AF33/AF33</f>
        <v>100</v>
      </c>
      <c r="CT33" s="2">
        <f t="shared" ref="CT33" si="311">100*$AF33/AG33</f>
        <v>95.810810810810807</v>
      </c>
      <c r="CU33" s="2">
        <f t="shared" ref="CU33" si="312">100*$AF33/AH33</f>
        <v>90.810810810810835</v>
      </c>
      <c r="CV33" s="2">
        <f t="shared" ref="CV33" si="313">100*$AF33/AI33</f>
        <v>74.72972972972974</v>
      </c>
      <c r="CW33" s="2">
        <f t="shared" ref="CW33" si="314">100*$AF33/AJ33</f>
        <v>77.837837837837824</v>
      </c>
      <c r="CX33" s="2">
        <f t="shared" ref="CX33" si="315">100*$AF33/AK33</f>
        <v>65.810810810810807</v>
      </c>
      <c r="CY33" s="2">
        <f t="shared" ref="CY33" si="316">100*$AF33/AL33</f>
        <v>61.081081081081088</v>
      </c>
      <c r="CZ33" s="2">
        <f t="shared" ref="CZ33" si="317">100*$AF33/AM33</f>
        <v>51.216216216216218</v>
      </c>
      <c r="DA33" s="2">
        <f t="shared" ref="DA33" si="318">100*$AF33/AN33</f>
        <v>92.905405405405432</v>
      </c>
      <c r="DB33" s="2">
        <f t="shared" ref="DB33" si="319">100*$AF33/AO33</f>
        <v>89.302364864864856</v>
      </c>
      <c r="DC33" s="2">
        <f t="shared" ref="DC33" si="320">100*$AF33/AP33</f>
        <v>84.984797297297305</v>
      </c>
      <c r="DD33" s="2">
        <f t="shared" ref="DD33" si="321">100*$AF33/AQ33</f>
        <v>70.423986486486498</v>
      </c>
      <c r="DE33" s="2">
        <f t="shared" ref="DE33" si="322">100*$AF33/AR33</f>
        <v>73.729729729729755</v>
      </c>
      <c r="DF33" s="2">
        <f t="shared" ref="DF33" si="323">100*$AF33/AS33</f>
        <v>62.670608108108119</v>
      </c>
      <c r="DG33" s="2">
        <f t="shared" ref="DG33" si="324">100*$AF33/AT33</f>
        <v>59.140202702702716</v>
      </c>
      <c r="DH33" s="2">
        <f t="shared" ref="DH33" si="325">100*$AF33/AU33</f>
        <v>50.535472972972975</v>
      </c>
      <c r="DI33" s="2">
        <f t="shared" ref="DI33" si="326">100*$AF33/AV33</f>
        <v>85.810810810810821</v>
      </c>
      <c r="DJ33" s="2">
        <f t="shared" ref="DJ33" si="327">100*$AF33/AW33</f>
        <v>82.793918918918934</v>
      </c>
      <c r="DK33" s="2">
        <f t="shared" ref="DK33" si="328">100*$AF33/AX33</f>
        <v>79.158783783783775</v>
      </c>
      <c r="DL33" s="2">
        <f t="shared" ref="DL33" si="329">100*$AF33/AY33</f>
        <v>66.118243243243242</v>
      </c>
      <c r="DM33" s="2">
        <f t="shared" ref="DM33" si="330">100*$AF33/AZ33</f>
        <v>69.621621621621628</v>
      </c>
      <c r="DN33" s="2">
        <f t="shared" ref="DN33" si="331">100*$AF33/BA33</f>
        <v>59.530405405405403</v>
      </c>
      <c r="DO33" s="2">
        <f t="shared" ref="DO33" si="332">100*$AF33/BB33</f>
        <v>57.19932432432433</v>
      </c>
      <c r="DP33" s="2">
        <f t="shared" ref="DP33" si="333">100*$AF33/BC33</f>
        <v>49.854729729729726</v>
      </c>
      <c r="DQ33" s="2">
        <f t="shared" ref="DQ33" si="334">100*$AF33/BD33</f>
        <v>78.716216216216225</v>
      </c>
      <c r="DR33" s="2">
        <f t="shared" ref="DR33" si="335">100*$AF33/BE33</f>
        <v>76.285472972972983</v>
      </c>
      <c r="DS33" s="2">
        <f t="shared" ref="DS33" si="336">100*$AF33/BF33</f>
        <v>73.332770270270288</v>
      </c>
      <c r="DT33" s="2">
        <f t="shared" ref="DT33" si="337">100*$AF33/BG33</f>
        <v>61.8125</v>
      </c>
      <c r="DU33" s="2">
        <f t="shared" ref="DU33" si="338">100*$AF33/BH33</f>
        <v>65.513513513513516</v>
      </c>
      <c r="DV33" s="2">
        <f t="shared" ref="DV33" si="339">100*$AF33/BI33</f>
        <v>56.390202702702709</v>
      </c>
      <c r="DW33" s="2">
        <f t="shared" ref="DW33" si="340">100*$AF33/BJ33</f>
        <v>55.258445945945958</v>
      </c>
      <c r="DX33" s="2">
        <f t="shared" ref="DX33" si="341">100*$AF33/BK33</f>
        <v>49.173986486486491</v>
      </c>
      <c r="DY33" s="2">
        <f t="shared" ref="DY33" si="342">100*$AF33/BL33</f>
        <v>71.621621621621628</v>
      </c>
      <c r="DZ33" s="2">
        <f t="shared" ref="DZ33" si="343">100*$AF33/BM33</f>
        <v>69.777027027027017</v>
      </c>
      <c r="EA33" s="2">
        <f t="shared" ref="EA33" si="344">100*$AF33/BN33</f>
        <v>67.506756756756758</v>
      </c>
      <c r="EB33" s="2">
        <f t="shared" ref="EB33" si="345">100*$AF33/BO33</f>
        <v>57.506756756756758</v>
      </c>
      <c r="EC33" s="2">
        <f t="shared" ref="EC33" si="346">100*$AF33/BP33</f>
        <v>61.405405405405396</v>
      </c>
      <c r="ED33" s="2">
        <f t="shared" ref="ED33" si="347">100*$AF33/BQ33</f>
        <v>53.250000000000007</v>
      </c>
      <c r="EE33" s="2">
        <f t="shared" ref="EE33" si="348">100*$AF33/BR33</f>
        <v>53.317567567567572</v>
      </c>
      <c r="EF33" s="2">
        <f t="shared" ref="EF33" si="349">100*$AF33/BS33</f>
        <v>48.493243243243249</v>
      </c>
      <c r="EG33" s="2">
        <f t="shared" ref="EG33" si="350">100*$AF33/BT33</f>
        <v>64.527027027027032</v>
      </c>
      <c r="EH33" s="2">
        <f t="shared" ref="EH33" si="351">100*$AF33/BU33</f>
        <v>63.268581081081102</v>
      </c>
      <c r="EI33" s="2">
        <f t="shared" ref="EI33" si="352">100*$AF33/BV33</f>
        <v>61.680743243243256</v>
      </c>
      <c r="EJ33" s="2">
        <f t="shared" ref="EJ33" si="353">100*$AF33/BW33</f>
        <v>53.201013513513509</v>
      </c>
      <c r="EK33" s="2">
        <f t="shared" ref="EK33" si="354">100*$AF33/BX33</f>
        <v>57.297297297297305</v>
      </c>
      <c r="EL33" s="2">
        <f t="shared" ref="EL33" si="355">100*$AF33/BY33</f>
        <v>50.109797297297305</v>
      </c>
      <c r="EM33" s="2">
        <f t="shared" ref="EM33" si="356">100*$AF33/BZ33</f>
        <v>51.3766891891892</v>
      </c>
      <c r="EN33" s="2">
        <f t="shared" ref="EN33" si="357">100*$AF33/CA33</f>
        <v>47.812500000000007</v>
      </c>
      <c r="EO33" s="2">
        <f t="shared" ref="EO33" si="358">100*$AF33/CB33</f>
        <v>57.432432432432428</v>
      </c>
      <c r="EP33" s="2">
        <f t="shared" ref="EP33" si="359">100*$AF33/CC33</f>
        <v>56.760135135135137</v>
      </c>
      <c r="EQ33" s="2">
        <f t="shared" ref="EQ33" si="360">100*$AF33/CD33</f>
        <v>55.854729729729726</v>
      </c>
      <c r="ER33" s="2">
        <f t="shared" ref="ER33" si="361">100*$AF33/CE33</f>
        <v>48.895270270270274</v>
      </c>
      <c r="ES33" s="2">
        <f t="shared" ref="ES33" si="362">100*$AF33/CF33</f>
        <v>53.189189189189193</v>
      </c>
      <c r="ET33" s="2">
        <f t="shared" ref="ET33" si="363">100*$AF33/CG33</f>
        <v>46.969594594594597</v>
      </c>
      <c r="EU33" s="2">
        <f t="shared" ref="EU33" si="364">100*$AF33/CH33</f>
        <v>49.435810810810821</v>
      </c>
      <c r="EV33" s="2">
        <f t="shared" ref="EV33" si="365">100*$AF33/CI33</f>
        <v>47.131756756756758</v>
      </c>
      <c r="EW33" s="2">
        <f t="shared" ref="EW33" si="366">100*$AF33/CJ33</f>
        <v>50.337837837837839</v>
      </c>
      <c r="EX33" s="2">
        <f t="shared" ref="EX33" si="367">100*$AF33/CK33</f>
        <v>50.251689189189193</v>
      </c>
      <c r="EY33" s="2">
        <f t="shared" ref="EY33" si="368">100*$AF33/CL33</f>
        <v>50.028716216216218</v>
      </c>
      <c r="EZ33" s="2">
        <f t="shared" ref="EZ33" si="369">100*$AF33/CM33</f>
        <v>44.589527027027032</v>
      </c>
      <c r="FA33" s="2">
        <f t="shared" ref="FA33" si="370">100*$AF33/CN33</f>
        <v>49.081081081081088</v>
      </c>
      <c r="FB33" s="2">
        <f t="shared" ref="FB33" si="371">100*$AF33/CO33</f>
        <v>43.829391891891888</v>
      </c>
      <c r="FC33" s="2">
        <f t="shared" ref="FC33" si="372">100*$AF33/CP33</f>
        <v>47.494932432432442</v>
      </c>
      <c r="FD33" s="2">
        <f t="shared" ref="FD33" si="373">100*$AF33/CQ33</f>
        <v>46.451013513513516</v>
      </c>
    </row>
    <row r="34" spans="3:160" x14ac:dyDescent="0.4">
      <c r="C34" s="1" t="s">
        <v>15</v>
      </c>
      <c r="D34" s="1" t="s">
        <v>5</v>
      </c>
      <c r="E34" s="1">
        <v>0.26100000000000001</v>
      </c>
      <c r="F34" s="1">
        <v>0.154</v>
      </c>
      <c r="G34" s="1">
        <v>0.108</v>
      </c>
      <c r="H34" s="1">
        <v>3.7999999999999999E-2</v>
      </c>
      <c r="I34" s="1">
        <v>3793</v>
      </c>
      <c r="J34" s="1">
        <v>3637</v>
      </c>
      <c r="K34" s="1">
        <v>48</v>
      </c>
      <c r="L34" s="1">
        <v>4579</v>
      </c>
      <c r="M34" s="1">
        <v>5573</v>
      </c>
      <c r="N34" s="1">
        <v>67</v>
      </c>
      <c r="O34" s="1">
        <v>71</v>
      </c>
      <c r="P34" s="1">
        <v>65.5</v>
      </c>
      <c r="Q34" s="1">
        <v>66</v>
      </c>
      <c r="R34" s="1">
        <v>48</v>
      </c>
      <c r="S34" s="1">
        <v>73.5</v>
      </c>
      <c r="T34" s="4">
        <v>0</v>
      </c>
      <c r="U34" s="1">
        <v>1.8180000000000001</v>
      </c>
      <c r="V34" s="1">
        <v>6.8000000000000005E-2</v>
      </c>
      <c r="W34" s="1">
        <v>4.0199999999999996</v>
      </c>
      <c r="X34" s="1">
        <f t="shared" ref="X34" si="374">H35</f>
        <v>1.6E-2</v>
      </c>
      <c r="Y34" s="1">
        <f t="shared" ref="Y34" si="375">H36</f>
        <v>3.6999999999999998E-2</v>
      </c>
      <c r="Z34" s="1">
        <f t="shared" ref="Z34" si="376">H37</f>
        <v>1.7000000000000001E-2</v>
      </c>
      <c r="AA34" s="1">
        <f t="shared" ref="AA34" si="377">H38</f>
        <v>1.4999999999999999E-2</v>
      </c>
      <c r="AB34" s="1">
        <f t="shared" ref="AB34" si="378">H39</f>
        <v>1.7000000000000001E-2</v>
      </c>
      <c r="AC34" s="1">
        <f t="shared" si="114"/>
        <v>4091.6751878703421</v>
      </c>
      <c r="AE34" s="1" t="s">
        <v>96</v>
      </c>
      <c r="AF34" s="1">
        <v>1</v>
      </c>
      <c r="AG34" s="1">
        <v>0.81499999999999995</v>
      </c>
      <c r="AH34" s="1">
        <v>0.64500000000000002</v>
      </c>
      <c r="AI34" s="1">
        <v>0.39500000000000002</v>
      </c>
      <c r="AJ34" s="1">
        <v>0.36</v>
      </c>
      <c r="AK34" s="1">
        <v>0.245</v>
      </c>
      <c r="AL34" s="1">
        <v>0.14499999999999999</v>
      </c>
      <c r="AM34" s="20">
        <v>6.5000000000000002E-2</v>
      </c>
      <c r="AN34" s="1">
        <v>1</v>
      </c>
      <c r="AO34" s="1">
        <v>0.81499999999999995</v>
      </c>
      <c r="AP34" s="1">
        <v>0.64500000000000002</v>
      </c>
      <c r="AQ34" s="1">
        <v>0.39500000000000002</v>
      </c>
      <c r="AR34" s="1">
        <v>0.36</v>
      </c>
      <c r="AS34" s="1">
        <v>0.245</v>
      </c>
      <c r="AT34" s="1">
        <v>0.14499999999999999</v>
      </c>
      <c r="AU34" s="20">
        <v>6.5000000000000002E-2</v>
      </c>
      <c r="AV34" s="1">
        <v>1</v>
      </c>
      <c r="AW34" s="1">
        <v>0.81499999999999995</v>
      </c>
      <c r="AX34" s="1">
        <v>0.64500000000000002</v>
      </c>
      <c r="AY34" s="1">
        <v>0.39500000000000002</v>
      </c>
      <c r="AZ34" s="1">
        <v>0.36</v>
      </c>
      <c r="BA34" s="1">
        <v>0.245</v>
      </c>
      <c r="BB34" s="1">
        <v>0.14499999999999999</v>
      </c>
      <c r="BC34" s="20">
        <v>6.5000000000000002E-2</v>
      </c>
      <c r="BD34" s="1">
        <v>1</v>
      </c>
      <c r="BE34" s="1">
        <v>0.81499999999999995</v>
      </c>
      <c r="BF34" s="1">
        <v>0.64500000000000002</v>
      </c>
      <c r="BG34" s="1">
        <v>0.39500000000000002</v>
      </c>
      <c r="BH34" s="1">
        <v>0.36</v>
      </c>
      <c r="BI34" s="1">
        <v>0.245</v>
      </c>
      <c r="BJ34" s="1">
        <v>0.14499999999999999</v>
      </c>
      <c r="BK34" s="20">
        <v>6.5000000000000002E-2</v>
      </c>
      <c r="BL34" s="1">
        <v>1</v>
      </c>
      <c r="BM34" s="1">
        <v>0.81499999999999995</v>
      </c>
      <c r="BN34" s="1">
        <v>0.64500000000000002</v>
      </c>
      <c r="BO34" s="1">
        <v>0.39500000000000002</v>
      </c>
      <c r="BP34" s="1">
        <v>0.36</v>
      </c>
      <c r="BQ34" s="1">
        <v>0.245</v>
      </c>
      <c r="BR34" s="1">
        <v>0.14499999999999999</v>
      </c>
      <c r="BS34" s="20">
        <v>6.5000000000000002E-2</v>
      </c>
      <c r="BT34" s="1">
        <v>1</v>
      </c>
      <c r="BU34" s="1">
        <v>0.81499999999999995</v>
      </c>
      <c r="BV34" s="1">
        <v>0.64500000000000002</v>
      </c>
      <c r="BW34" s="1">
        <v>0.39500000000000002</v>
      </c>
      <c r="BX34" s="1">
        <v>0.36</v>
      </c>
      <c r="BY34" s="1">
        <v>0.245</v>
      </c>
      <c r="BZ34" s="1">
        <v>0.14499999999999999</v>
      </c>
      <c r="CA34" s="20">
        <v>6.5000000000000002E-2</v>
      </c>
      <c r="CB34" s="1">
        <v>1</v>
      </c>
      <c r="CC34" s="1">
        <v>0.81499999999999995</v>
      </c>
      <c r="CD34" s="1">
        <v>0.64500000000000002</v>
      </c>
      <c r="CE34" s="1">
        <v>0.39500000000000002</v>
      </c>
      <c r="CF34" s="1">
        <v>0.36</v>
      </c>
      <c r="CG34" s="1">
        <v>0.245</v>
      </c>
      <c r="CH34" s="1">
        <v>0.14499999999999999</v>
      </c>
      <c r="CI34" s="20">
        <v>6.5000000000000002E-2</v>
      </c>
      <c r="CJ34" s="1">
        <v>1</v>
      </c>
      <c r="CK34" s="1">
        <v>0.81499999999999995</v>
      </c>
      <c r="CL34" s="1">
        <v>0.64500000000000002</v>
      </c>
      <c r="CM34" s="1">
        <v>0.39500000000000002</v>
      </c>
      <c r="CN34" s="1">
        <v>0.36</v>
      </c>
      <c r="CO34" s="1">
        <v>0.245</v>
      </c>
      <c r="CP34" s="1">
        <v>0.14499999999999999</v>
      </c>
      <c r="CQ34" s="20">
        <v>6.5000000000000002E-2</v>
      </c>
    </row>
    <row r="35" spans="3:160" x14ac:dyDescent="0.4">
      <c r="C35" s="1" t="s">
        <v>15</v>
      </c>
      <c r="D35" s="1" t="s">
        <v>6</v>
      </c>
      <c r="E35" s="1">
        <v>0.23300000000000001</v>
      </c>
      <c r="F35" s="1">
        <v>0.126</v>
      </c>
      <c r="G35" s="1">
        <v>0.107</v>
      </c>
      <c r="H35" s="1">
        <v>1.6E-2</v>
      </c>
      <c r="I35" s="1">
        <v>3793</v>
      </c>
      <c r="J35" s="1">
        <v>3637</v>
      </c>
      <c r="K35" s="1">
        <v>48</v>
      </c>
      <c r="L35" s="1">
        <v>4579</v>
      </c>
      <c r="M35" s="1">
        <v>5573</v>
      </c>
      <c r="N35" s="1">
        <v>67</v>
      </c>
      <c r="O35" s="1">
        <v>71</v>
      </c>
      <c r="P35" s="1">
        <v>65.5</v>
      </c>
      <c r="Q35" s="1">
        <v>66</v>
      </c>
      <c r="R35" s="1">
        <v>48</v>
      </c>
      <c r="S35" s="1">
        <v>73.5</v>
      </c>
      <c r="T35" s="4">
        <v>0</v>
      </c>
      <c r="U35" s="1">
        <v>1.8180000000000001</v>
      </c>
      <c r="V35" s="1">
        <v>6.8000000000000005E-2</v>
      </c>
      <c r="W35" s="1">
        <v>4.0199999999999996</v>
      </c>
      <c r="X35" s="1">
        <f t="shared" ref="X35" si="379">H35</f>
        <v>1.6E-2</v>
      </c>
      <c r="Y35" s="1">
        <f t="shared" ref="Y35" si="380">H36</f>
        <v>3.6999999999999998E-2</v>
      </c>
      <c r="Z35" s="1">
        <f t="shared" ref="Z35" si="381">H37</f>
        <v>1.7000000000000001E-2</v>
      </c>
      <c r="AA35" s="1">
        <f t="shared" ref="AA35" si="382">H38</f>
        <v>1.4999999999999999E-2</v>
      </c>
      <c r="AB35" s="1">
        <f t="shared" ref="AB35" si="383">H39</f>
        <v>1.7000000000000001E-2</v>
      </c>
      <c r="AC35" s="1">
        <f t="shared" si="114"/>
        <v>4091.6751878703421</v>
      </c>
      <c r="CQ35" s="20"/>
    </row>
    <row r="36" spans="3:160" x14ac:dyDescent="0.4">
      <c r="C36" s="1" t="s">
        <v>15</v>
      </c>
      <c r="D36" s="1" t="s">
        <v>7</v>
      </c>
      <c r="E36" s="1">
        <v>0.26100000000000001</v>
      </c>
      <c r="F36" s="1">
        <v>0.153</v>
      </c>
      <c r="G36" s="1">
        <v>0.108</v>
      </c>
      <c r="H36" s="1">
        <v>3.6999999999999998E-2</v>
      </c>
      <c r="I36" s="1">
        <v>3793</v>
      </c>
      <c r="J36" s="1">
        <v>3637</v>
      </c>
      <c r="K36" s="1">
        <v>48</v>
      </c>
      <c r="L36" s="1">
        <v>4579</v>
      </c>
      <c r="M36" s="1">
        <v>5573</v>
      </c>
      <c r="N36" s="1">
        <v>67</v>
      </c>
      <c r="O36" s="1">
        <v>71</v>
      </c>
      <c r="P36" s="1">
        <v>65.5</v>
      </c>
      <c r="Q36" s="1">
        <v>66</v>
      </c>
      <c r="R36" s="1">
        <v>48</v>
      </c>
      <c r="S36" s="1">
        <v>73.5</v>
      </c>
      <c r="T36" s="4">
        <v>0</v>
      </c>
      <c r="U36" s="1">
        <v>1.8180000000000001</v>
      </c>
      <c r="V36" s="1">
        <v>6.8000000000000005E-2</v>
      </c>
      <c r="W36" s="1">
        <v>4.0199999999999996</v>
      </c>
      <c r="X36" s="1">
        <f t="shared" ref="X36" si="384">H35</f>
        <v>1.6E-2</v>
      </c>
      <c r="Y36" s="1">
        <f t="shared" ref="Y36" si="385">H36</f>
        <v>3.6999999999999998E-2</v>
      </c>
      <c r="Z36" s="1">
        <f t="shared" ref="Z36" si="386">H37</f>
        <v>1.7000000000000001E-2</v>
      </c>
      <c r="AA36" s="1">
        <f t="shared" ref="AA36" si="387">H38</f>
        <v>1.4999999999999999E-2</v>
      </c>
      <c r="AB36" s="1">
        <f t="shared" ref="AB36" si="388">H39</f>
        <v>1.7000000000000001E-2</v>
      </c>
      <c r="AC36" s="1">
        <f t="shared" si="114"/>
        <v>4091.6751878703421</v>
      </c>
      <c r="AE36" s="1" t="s">
        <v>97</v>
      </c>
      <c r="AF36" s="1">
        <v>0</v>
      </c>
      <c r="AG36" s="1">
        <v>0.12</v>
      </c>
      <c r="AH36" s="1">
        <v>0.21</v>
      </c>
      <c r="AI36" s="1">
        <v>0.26</v>
      </c>
      <c r="AJ36" s="1">
        <v>0.28000000000000003</v>
      </c>
      <c r="AK36" s="1">
        <v>0.26</v>
      </c>
      <c r="AL36" s="1">
        <v>0.21</v>
      </c>
      <c r="AM36" s="20">
        <v>0.12</v>
      </c>
      <c r="AN36" s="1">
        <v>0</v>
      </c>
      <c r="AO36" s="1">
        <v>0.12</v>
      </c>
      <c r="AP36" s="1">
        <v>0.21</v>
      </c>
      <c r="AQ36" s="1">
        <v>0.26</v>
      </c>
      <c r="AR36" s="1">
        <v>0.28000000000000003</v>
      </c>
      <c r="AS36" s="1">
        <v>0.26</v>
      </c>
      <c r="AT36" s="1">
        <v>0.21</v>
      </c>
      <c r="AU36" s="20">
        <v>0.12</v>
      </c>
      <c r="AV36" s="1">
        <v>0</v>
      </c>
      <c r="AW36" s="1">
        <v>0.12</v>
      </c>
      <c r="AX36" s="1">
        <v>0.21</v>
      </c>
      <c r="AY36" s="1">
        <v>0.26</v>
      </c>
      <c r="AZ36" s="1">
        <v>0.28000000000000003</v>
      </c>
      <c r="BA36" s="1">
        <v>0.26</v>
      </c>
      <c r="BB36" s="1">
        <v>0.21</v>
      </c>
      <c r="BC36" s="20">
        <v>0.12</v>
      </c>
      <c r="BD36" s="1">
        <v>0</v>
      </c>
      <c r="BE36" s="1">
        <v>0.12</v>
      </c>
      <c r="BF36" s="1">
        <v>0.21</v>
      </c>
      <c r="BG36" s="1">
        <v>0.26</v>
      </c>
      <c r="BH36" s="1">
        <v>0.28000000000000003</v>
      </c>
      <c r="BI36" s="1">
        <v>0.26</v>
      </c>
      <c r="BJ36" s="1">
        <v>0.21</v>
      </c>
      <c r="BK36" s="20">
        <v>0.12</v>
      </c>
      <c r="BL36" s="1">
        <v>0</v>
      </c>
      <c r="BM36" s="1">
        <v>0.12</v>
      </c>
      <c r="BN36" s="1">
        <v>0.21</v>
      </c>
      <c r="BO36" s="1">
        <v>0.26</v>
      </c>
      <c r="BP36" s="1">
        <v>0.28000000000000003</v>
      </c>
      <c r="BQ36" s="1">
        <v>0.26</v>
      </c>
      <c r="BR36" s="1">
        <v>0.21</v>
      </c>
      <c r="BS36" s="20">
        <v>0.12</v>
      </c>
      <c r="BT36" s="1">
        <v>0</v>
      </c>
      <c r="BU36" s="1">
        <v>0.12</v>
      </c>
      <c r="BV36" s="1">
        <v>0.21</v>
      </c>
      <c r="BW36" s="1">
        <v>0.26</v>
      </c>
      <c r="BX36" s="1">
        <v>0.28000000000000003</v>
      </c>
      <c r="BY36" s="1">
        <v>0.26</v>
      </c>
      <c r="BZ36" s="1">
        <v>0.21</v>
      </c>
      <c r="CA36" s="20">
        <v>0.12</v>
      </c>
      <c r="CB36" s="1">
        <v>0</v>
      </c>
      <c r="CC36" s="1">
        <v>0.12</v>
      </c>
      <c r="CD36" s="1">
        <v>0.21</v>
      </c>
      <c r="CE36" s="1">
        <v>0.26</v>
      </c>
      <c r="CF36" s="1">
        <v>0.28000000000000003</v>
      </c>
      <c r="CG36" s="1">
        <v>0.26</v>
      </c>
      <c r="CH36" s="1">
        <v>0.21</v>
      </c>
      <c r="CI36" s="20">
        <v>0.12</v>
      </c>
      <c r="CJ36" s="1">
        <v>0</v>
      </c>
      <c r="CK36" s="1">
        <v>0.12</v>
      </c>
      <c r="CL36" s="1">
        <v>0.21</v>
      </c>
      <c r="CM36" s="1">
        <v>0.26</v>
      </c>
      <c r="CN36" s="1">
        <v>0.28000000000000003</v>
      </c>
      <c r="CO36" s="1">
        <v>0.26</v>
      </c>
      <c r="CP36" s="1">
        <v>0.21</v>
      </c>
      <c r="CQ36" s="20">
        <v>0.12</v>
      </c>
    </row>
    <row r="37" spans="3:160" x14ac:dyDescent="0.4">
      <c r="C37" s="1" t="s">
        <v>15</v>
      </c>
      <c r="D37" s="1" t="s">
        <v>8</v>
      </c>
      <c r="E37" s="1">
        <v>0.23400000000000001</v>
      </c>
      <c r="F37" s="1">
        <v>0.127</v>
      </c>
      <c r="G37" s="1">
        <v>0.107</v>
      </c>
      <c r="H37" s="1">
        <v>1.7000000000000001E-2</v>
      </c>
      <c r="I37" s="1">
        <v>3793</v>
      </c>
      <c r="J37" s="1">
        <v>3637</v>
      </c>
      <c r="K37" s="1">
        <v>48</v>
      </c>
      <c r="L37" s="1">
        <v>4579</v>
      </c>
      <c r="M37" s="1">
        <v>5573</v>
      </c>
      <c r="N37" s="1">
        <v>67</v>
      </c>
      <c r="O37" s="1">
        <v>71</v>
      </c>
      <c r="P37" s="1">
        <v>65.5</v>
      </c>
      <c r="Q37" s="1">
        <v>66</v>
      </c>
      <c r="R37" s="1">
        <v>48</v>
      </c>
      <c r="S37" s="1">
        <v>73.5</v>
      </c>
      <c r="T37" s="4">
        <v>0</v>
      </c>
      <c r="U37" s="1">
        <v>1.8180000000000001</v>
      </c>
      <c r="V37" s="1">
        <v>6.8000000000000005E-2</v>
      </c>
      <c r="W37" s="1">
        <v>4.0199999999999996</v>
      </c>
      <c r="X37" s="1">
        <f t="shared" ref="X37" si="389">H35</f>
        <v>1.6E-2</v>
      </c>
      <c r="Y37" s="1">
        <f t="shared" ref="Y37" si="390">H36</f>
        <v>3.6999999999999998E-2</v>
      </c>
      <c r="Z37" s="1">
        <f t="shared" ref="Z37" si="391">H37</f>
        <v>1.7000000000000001E-2</v>
      </c>
      <c r="AA37" s="1">
        <f t="shared" ref="AA37" si="392">H38</f>
        <v>1.4999999999999999E-2</v>
      </c>
      <c r="AB37" s="1">
        <f t="shared" ref="AB37" si="393">H39</f>
        <v>1.7000000000000001E-2</v>
      </c>
      <c r="AC37" s="1">
        <f t="shared" si="114"/>
        <v>4091.6751878703421</v>
      </c>
      <c r="CQ37" s="20"/>
    </row>
    <row r="38" spans="3:160" x14ac:dyDescent="0.4">
      <c r="C38" s="1" t="s">
        <v>15</v>
      </c>
      <c r="D38" s="1" t="s">
        <v>9</v>
      </c>
      <c r="E38" s="1">
        <v>0.23100000000000001</v>
      </c>
      <c r="F38" s="1">
        <v>0.124</v>
      </c>
      <c r="G38" s="1">
        <v>0.107</v>
      </c>
      <c r="H38" s="1">
        <v>1.4999999999999999E-2</v>
      </c>
      <c r="I38" s="1">
        <v>3793</v>
      </c>
      <c r="J38" s="1">
        <v>3637</v>
      </c>
      <c r="K38" s="1">
        <v>48</v>
      </c>
      <c r="L38" s="1">
        <v>4579</v>
      </c>
      <c r="M38" s="1">
        <v>5573</v>
      </c>
      <c r="N38" s="1">
        <v>67</v>
      </c>
      <c r="O38" s="1">
        <v>71</v>
      </c>
      <c r="P38" s="1">
        <v>65.5</v>
      </c>
      <c r="Q38" s="1">
        <v>66</v>
      </c>
      <c r="R38" s="1">
        <v>48</v>
      </c>
      <c r="S38" s="1">
        <v>73.5</v>
      </c>
      <c r="T38" s="4">
        <v>0</v>
      </c>
      <c r="U38" s="1">
        <v>1.8180000000000001</v>
      </c>
      <c r="V38" s="1">
        <v>6.8000000000000005E-2</v>
      </c>
      <c r="W38" s="1">
        <v>4.0199999999999996</v>
      </c>
      <c r="X38" s="1">
        <f t="shared" ref="X38" si="394">H35</f>
        <v>1.6E-2</v>
      </c>
      <c r="Y38" s="1">
        <f t="shared" ref="Y38" si="395">H36</f>
        <v>3.6999999999999998E-2</v>
      </c>
      <c r="Z38" s="1">
        <f t="shared" ref="Z38" si="396">H37</f>
        <v>1.7000000000000001E-2</v>
      </c>
      <c r="AA38" s="1">
        <f t="shared" ref="AA38" si="397">H38</f>
        <v>1.4999999999999999E-2</v>
      </c>
      <c r="AB38" s="1">
        <f t="shared" ref="AB38" si="398">H39</f>
        <v>1.7000000000000001E-2</v>
      </c>
      <c r="AC38" s="1">
        <f t="shared" si="114"/>
        <v>4091.6751878703421</v>
      </c>
      <c r="AE38" s="1" t="s">
        <v>98</v>
      </c>
      <c r="AF38" s="1">
        <v>0</v>
      </c>
      <c r="AG38" s="1">
        <v>6.5000000000000002E-2</v>
      </c>
      <c r="AH38" s="1">
        <v>0.14499999999999999</v>
      </c>
      <c r="AI38" s="1">
        <v>0.245</v>
      </c>
      <c r="AJ38" s="1">
        <v>0.36</v>
      </c>
      <c r="AK38" s="1">
        <v>0.39500000000000002</v>
      </c>
      <c r="AL38" s="1">
        <v>0.64500000000000002</v>
      </c>
      <c r="AM38" s="20">
        <v>0.81499999999999995</v>
      </c>
      <c r="AN38" s="1">
        <v>0</v>
      </c>
      <c r="AO38" s="1">
        <v>6.5000000000000002E-2</v>
      </c>
      <c r="AP38" s="1">
        <v>0.14499999999999999</v>
      </c>
      <c r="AQ38" s="1">
        <v>0.245</v>
      </c>
      <c r="AR38" s="1">
        <v>0.36</v>
      </c>
      <c r="AS38" s="1">
        <v>0.39500000000000002</v>
      </c>
      <c r="AT38" s="1">
        <v>0.64500000000000002</v>
      </c>
      <c r="AU38" s="20">
        <v>0.81499999999999995</v>
      </c>
      <c r="AV38" s="1">
        <v>0</v>
      </c>
      <c r="AW38" s="1">
        <v>6.5000000000000002E-2</v>
      </c>
      <c r="AX38" s="1">
        <v>0.14499999999999999</v>
      </c>
      <c r="AY38" s="1">
        <v>0.245</v>
      </c>
      <c r="AZ38" s="1">
        <v>0.36</v>
      </c>
      <c r="BA38" s="1">
        <v>0.39500000000000002</v>
      </c>
      <c r="BB38" s="1">
        <v>0.64500000000000002</v>
      </c>
      <c r="BC38" s="20">
        <v>0.81499999999999995</v>
      </c>
      <c r="BD38" s="1">
        <v>0</v>
      </c>
      <c r="BE38" s="1">
        <v>6.5000000000000002E-2</v>
      </c>
      <c r="BF38" s="1">
        <v>0.14499999999999999</v>
      </c>
      <c r="BG38" s="1">
        <v>0.245</v>
      </c>
      <c r="BH38" s="1">
        <v>0.36</v>
      </c>
      <c r="BI38" s="1">
        <v>0.39500000000000002</v>
      </c>
      <c r="BJ38" s="1">
        <v>0.64500000000000002</v>
      </c>
      <c r="BK38" s="20">
        <v>0.81499999999999995</v>
      </c>
      <c r="BL38" s="1">
        <v>0</v>
      </c>
      <c r="BM38" s="1">
        <v>6.5000000000000002E-2</v>
      </c>
      <c r="BN38" s="1">
        <v>0.14499999999999999</v>
      </c>
      <c r="BO38" s="1">
        <v>0.245</v>
      </c>
      <c r="BP38" s="1">
        <v>0.36</v>
      </c>
      <c r="BQ38" s="1">
        <v>0.39500000000000002</v>
      </c>
      <c r="BR38" s="1">
        <v>0.64500000000000002</v>
      </c>
      <c r="BS38" s="20">
        <v>0.81499999999999995</v>
      </c>
      <c r="BT38" s="1">
        <v>0</v>
      </c>
      <c r="BU38" s="1">
        <v>6.5000000000000002E-2</v>
      </c>
      <c r="BV38" s="1">
        <v>0.14499999999999999</v>
      </c>
      <c r="BW38" s="1">
        <v>0.245</v>
      </c>
      <c r="BX38" s="1">
        <v>0.36</v>
      </c>
      <c r="BY38" s="1">
        <v>0.39500000000000002</v>
      </c>
      <c r="BZ38" s="1">
        <v>0.64500000000000002</v>
      </c>
      <c r="CA38" s="20">
        <v>0.81499999999999995</v>
      </c>
      <c r="CB38" s="1">
        <v>0</v>
      </c>
      <c r="CC38" s="1">
        <v>6.5000000000000002E-2</v>
      </c>
      <c r="CD38" s="1">
        <v>0.14499999999999999</v>
      </c>
      <c r="CE38" s="1">
        <v>0.245</v>
      </c>
      <c r="CF38" s="1">
        <v>0.36</v>
      </c>
      <c r="CG38" s="1">
        <v>0.39500000000000002</v>
      </c>
      <c r="CH38" s="1">
        <v>0.64500000000000002</v>
      </c>
      <c r="CI38" s="20">
        <v>0.81499999999999995</v>
      </c>
      <c r="CJ38" s="1">
        <v>0</v>
      </c>
      <c r="CK38" s="1">
        <v>6.5000000000000002E-2</v>
      </c>
      <c r="CL38" s="1">
        <v>0.14499999999999999</v>
      </c>
      <c r="CM38" s="1">
        <v>0.245</v>
      </c>
      <c r="CN38" s="1">
        <v>0.36</v>
      </c>
      <c r="CO38" s="1">
        <v>0.39500000000000002</v>
      </c>
      <c r="CP38" s="1">
        <v>0.64500000000000002</v>
      </c>
      <c r="CQ38" s="20">
        <v>0.81499999999999995</v>
      </c>
    </row>
    <row r="39" spans="3:160" s="2" customFormat="1" x14ac:dyDescent="0.4">
      <c r="C39" s="2" t="s">
        <v>15</v>
      </c>
      <c r="D39" s="2" t="s">
        <v>10</v>
      </c>
      <c r="E39" s="2">
        <v>0.23400000000000001</v>
      </c>
      <c r="F39" s="2">
        <v>0.127</v>
      </c>
      <c r="G39" s="2">
        <v>0.107</v>
      </c>
      <c r="H39" s="2">
        <v>1.7000000000000001E-2</v>
      </c>
      <c r="I39" s="2">
        <v>3793</v>
      </c>
      <c r="J39" s="2">
        <v>3637</v>
      </c>
      <c r="K39" s="2">
        <v>48</v>
      </c>
      <c r="L39" s="2">
        <v>4579</v>
      </c>
      <c r="M39" s="2">
        <v>5573</v>
      </c>
      <c r="N39" s="2">
        <v>67</v>
      </c>
      <c r="O39" s="2">
        <v>71</v>
      </c>
      <c r="P39" s="2">
        <v>65.5</v>
      </c>
      <c r="Q39" s="2">
        <v>66</v>
      </c>
      <c r="R39" s="2">
        <v>48</v>
      </c>
      <c r="S39" s="2">
        <v>73.5</v>
      </c>
      <c r="T39" s="6">
        <f t="shared" ref="T39:T87" si="399">(N34*O34*P34*Q34*R34*S34)/(I34*J34*K34*(F34*H34 + F35*H35 + F36*H36 + F37*H37 + F38*H38 + F39*H39))</f>
        <v>5559.7986749434831</v>
      </c>
      <c r="U39" s="2">
        <v>1.8180000000000001</v>
      </c>
      <c r="V39" s="2">
        <v>6.8000000000000005E-2</v>
      </c>
      <c r="W39" s="2">
        <v>4.0199999999999996</v>
      </c>
      <c r="X39" s="2">
        <f t="shared" ref="X39" si="400">H35</f>
        <v>1.6E-2</v>
      </c>
      <c r="Y39" s="2">
        <f t="shared" ref="Y39" si="401">H36</f>
        <v>3.6999999999999998E-2</v>
      </c>
      <c r="Z39" s="2">
        <f t="shared" ref="Z39" si="402">H37</f>
        <v>1.7000000000000001E-2</v>
      </c>
      <c r="AA39" s="2">
        <f t="shared" ref="AA39" si="403">H38</f>
        <v>1.4999999999999999E-2</v>
      </c>
      <c r="AB39" s="2">
        <f t="shared" ref="AB39" si="404">H39</f>
        <v>1.7000000000000001E-2</v>
      </c>
      <c r="AC39" s="1">
        <f t="shared" si="114"/>
        <v>4091.6751878703421</v>
      </c>
      <c r="AE39" s="2" t="s">
        <v>99</v>
      </c>
      <c r="AF39" s="23">
        <f>($O39*$Q39*$S39)^(1/3)/(AF34*((1-AF$2)*$H34+AF$2*$H35) + AF36*((1-AF$2)*$H36+AF$2*$H37) + AF38*((1-AF$2)*$H38+AF$2*$H39))</f>
        <v>1844.6456179210727</v>
      </c>
      <c r="AG39" s="23">
        <f t="shared" ref="AG39" si="405">($O39*$Q39*$S39)^(1/3)/(AG34*((1-AG$2)*$H34+AG$2*$H35) + AG36*((1-AG$2)*$H36+AG$2*$H37) + AG38*((1-AG$2)*$H38+AG$2*$H39))</f>
        <v>1926.5228385598673</v>
      </c>
      <c r="AH39" s="23">
        <f t="shared" ref="AH39" si="406">($O39*$Q39*$S39)^(1/3)/(AH34*((1-AH$2)*$H34+AH$2*$H35) + AH36*((1-AH$2)*$H36+AH$2*$H37) + AH38*((1-AH$2)*$H38+AH$2*$H39))</f>
        <v>2034.4371928892981</v>
      </c>
      <c r="AI39" s="23">
        <f t="shared" ref="AI39" si="407">($O39*$Q39*$S39)^(1/3)/(AI34*((1-AI$2)*$H34+AI$2*$H35) + AI36*((1-AI$2)*$H36+AI$2*$H37) + AI38*((1-AI$2)*$H38+AI$2*$H39))</f>
        <v>2476.4717711005392</v>
      </c>
      <c r="AJ39" s="23">
        <f t="shared" ref="AJ39" si="408">($O39*$Q39*$S39)^(1/3)/(AJ34*((1-AJ$2)*$H34+AJ$2*$H35) + AJ36*((1-AJ$2)*$H36+AJ$2*$H37) + AJ38*((1-AJ$2)*$H38+AJ$2*$H39))</f>
        <v>2380.9963818274719</v>
      </c>
      <c r="AK39" s="23">
        <f t="shared" ref="AK39" si="409">($O39*$Q39*$S39)^(1/3)/(AK34*((1-AK$2)*$H34+AK$2*$H35) + AK36*((1-AK$2)*$H36+AK$2*$H37) + AK38*((1-AK$2)*$H38+AK$2*$H39))</f>
        <v>2820.2186071615679</v>
      </c>
      <c r="AL39" s="23">
        <f t="shared" ref="AL39" si="410">($O39*$Q39*$S39)^(1/3)/(AL34*((1-AL$2)*$H34+AL$2*$H35) + AL36*((1-AL$2)*$H36+AL$2*$H37) + AL38*((1-AL$2)*$H38+AL$2*$H39))</f>
        <v>3053.6499011544661</v>
      </c>
      <c r="AM39" s="23">
        <f t="shared" ref="AM39" si="411">($O39*$Q39*$S39)^(1/3)/(AM34*((1-AM$2)*$H34+AM$2*$H35) + AM36*((1-AM$2)*$H36+AM$2*$H37) + AM38*((1-AM$2)*$H38+AM$2*$H39))</f>
        <v>3663.2627897047696</v>
      </c>
      <c r="AN39" s="23">
        <f t="shared" ref="AN39" si="412">($O39*$Q39*$S39)^(1/3)/(AN34*((1-AN$2)*$H34+AN$2*$H35) + AN36*((1-AN$2)*$H36+AN$2*$H37) + AN38*((1-AN$2)*$H38+AN$2*$H39))</f>
        <v>1988.5541413049859</v>
      </c>
      <c r="AO39" s="23">
        <f t="shared" ref="AO39" si="413">($O39*$Q39*$S39)^(1/3)/(AO34*((1-AO$2)*$H34+AO$2*$H35) + AO36*((1-AO$2)*$H36+AO$2*$H37) + AO38*((1-AO$2)*$H38+AO$2*$H39))</f>
        <v>2070.1870490549545</v>
      </c>
      <c r="AP39" s="23">
        <f t="shared" ref="AP39" si="414">($O39*$Q39*$S39)^(1/3)/(AP34*((1-AP$2)*$H34+AP$2*$H35) + AP36*((1-AP$2)*$H36+AP$2*$H37) + AP38*((1-AP$2)*$H38+AP$2*$H39))</f>
        <v>2177.4181402811446</v>
      </c>
      <c r="AQ39" s="23">
        <f t="shared" ref="AQ39" si="415">($O39*$Q39*$S39)^(1/3)/(AQ34*((1-AQ$2)*$H34+AQ$2*$H35) + AQ36*((1-AQ$2)*$H36+AQ$2*$H37) + AQ38*((1-AQ$2)*$H38+AQ$2*$H39))</f>
        <v>2632.2393346226345</v>
      </c>
      <c r="AR39" s="23">
        <f t="shared" ref="AR39" si="416">($O39*$Q39*$S39)^(1/3)/(AR34*((1-AR$2)*$H34+AR$2*$H35) + AR36*((1-AR$2)*$H36+AR$2*$H37) + AR38*((1-AR$2)*$H38+AR$2*$H39))</f>
        <v>2517.8352543462915</v>
      </c>
      <c r="AS39" s="23">
        <f t="shared" ref="AS39" si="417">($O39*$Q39*$S39)^(1/3)/(AS34*((1-AS$2)*$H34+AS$2*$H35) + AS36*((1-AS$2)*$H36+AS$2*$H37) + AS38*((1-AS$2)*$H38+AS$2*$H39))</f>
        <v>2966.4212222175515</v>
      </c>
      <c r="AT39" s="23">
        <f t="shared" ref="AT39" si="418">($O39*$Q39*$S39)^(1/3)/(AT34*((1-AT$2)*$H34+AT$2*$H35) + AT36*((1-AT$2)*$H36+AT$2*$H37) + AT38*((1-AT$2)*$H38+AT$2*$H39))</f>
        <v>3158.5685921370173</v>
      </c>
      <c r="AU39" s="23">
        <f t="shared" ref="AU39" si="419">($O39*$Q39*$S39)^(1/3)/(AU34*((1-AU$2)*$H34+AU$2*$H35) + AU36*((1-AU$2)*$H36+AU$2*$H37) + AU38*((1-AU$2)*$H38+AU$2*$H39))</f>
        <v>3716.6772789501993</v>
      </c>
      <c r="AV39" s="23">
        <f t="shared" ref="AV39" si="420">($O39*$Q39*$S39)^(1/3)/(AV34*((1-AV$2)*$H34+AV$2*$H35) + AV36*((1-AV$2)*$H36+AV$2*$H37) + AV38*((1-AV$2)*$H38+AV$2*$H39))</f>
        <v>2156.8164148000233</v>
      </c>
      <c r="AW39" s="23">
        <f t="shared" ref="AW39" si="421">($O39*$Q39*$S39)^(1/3)/(AW34*((1-AW$2)*$H34+AW$2*$H35) + AW36*((1-AW$2)*$H36+AW$2*$H37) + AW38*((1-AW$2)*$H38+AW$2*$H39))</f>
        <v>2237.0044193713343</v>
      </c>
      <c r="AX39" s="23">
        <f t="shared" ref="AX39" si="422">($O39*$Q39*$S39)^(1/3)/(AX34*((1-AX$2)*$H34+AX$2*$H35) + AX36*((1-AX$2)*$H36+AX$2*$H37) + AX38*((1-AX$2)*$H38+AX$2*$H39))</f>
        <v>2342.0158196124544</v>
      </c>
      <c r="AY39" s="23">
        <f t="shared" ref="AY39" si="423">($O39*$Q39*$S39)^(1/3)/(AY34*((1-AY$2)*$H34+AY$2*$H35) + AY36*((1-AY$2)*$H36+AY$2*$H37) + AY38*((1-AY$2)*$H38+AY$2*$H39))</f>
        <v>2808.9173905430075</v>
      </c>
      <c r="AZ39" s="23">
        <f t="shared" ref="AZ39" si="424">($O39*$Q39*$S39)^(1/3)/(AZ34*((1-AZ$2)*$H34+AZ$2*$H35) + AZ36*((1-AZ$2)*$H36+AZ$2*$H37) + AZ38*((1-AZ$2)*$H38+AZ$2*$H39))</f>
        <v>2671.3617942454557</v>
      </c>
      <c r="BA39" s="23">
        <f t="shared" ref="BA39" si="425">($O39*$Q39*$S39)^(1/3)/(BA34*((1-BA$2)*$H34+BA$2*$H35) + BA36*((1-BA$2)*$H36+BA$2*$H37) + BA38*((1-BA$2)*$H38+BA$2*$H39))</f>
        <v>3128.6111796920668</v>
      </c>
      <c r="BB39" s="23">
        <f t="shared" ref="BB39" si="426">($O39*$Q39*$S39)^(1/3)/(BB34*((1-BB$2)*$H34+BB$2*$H35) + BB36*((1-BB$2)*$H36+BB$2*$H37) + BB38*((1-BB$2)*$H38+BB$2*$H39))</f>
        <v>3270.9534988801106</v>
      </c>
      <c r="BC39" s="23">
        <f t="shared" ref="BC39" si="427">($O39*$Q39*$S39)^(1/3)/(BC34*((1-BC$2)*$H34+BC$2*$H35) + BC36*((1-BC$2)*$H36+BC$2*$H37) + BC38*((1-BC$2)*$H38+BC$2*$H39))</f>
        <v>3771.6725036858088</v>
      </c>
      <c r="BD39" s="23">
        <f t="shared" ref="BD39" si="428">($O39*$Q39*$S39)^(1/3)/(BD34*((1-BD$2)*$H34+BD$2*$H35) + BD36*((1-BD$2)*$H36+BD$2*$H37) + BD38*((1-BD$2)*$H38+BD$2*$H39))</f>
        <v>2356.1859993613702</v>
      </c>
      <c r="BE39" s="23">
        <f t="shared" ref="BE39" si="429">($O39*$Q39*$S39)^(1/3)/(BE34*((1-BE$2)*$H34+BE$2*$H35) + BE36*((1-BE$2)*$H36+BE$2*$H37) + BE38*((1-BE$2)*$H38+BE$2*$H39))</f>
        <v>2433.0625991322722</v>
      </c>
      <c r="BF39" s="23">
        <f t="shared" ref="BF39" si="430">($O39*$Q39*$S39)^(1/3)/(BF34*((1-BF$2)*$H34+BF$2*$H35) + BF36*((1-BF$2)*$H36+BF$2*$H37) + BF38*((1-BF$2)*$H38+BF$2*$H39))</f>
        <v>2533.5333326466343</v>
      </c>
      <c r="BG39" s="23">
        <f t="shared" ref="BG39" si="431">($O39*$Q39*$S39)^(1/3)/(BG34*((1-BG$2)*$H34+BG$2*$H35) + BG36*((1-BG$2)*$H36+BG$2*$H37) + BG38*((1-BG$2)*$H38+BG$2*$H39))</f>
        <v>3011.0194794244312</v>
      </c>
      <c r="BH39" s="23">
        <f t="shared" ref="BH39" si="432">($O39*$Q39*$S39)^(1/3)/(BH34*((1-BH$2)*$H34+BH$2*$H35) + BH36*((1-BH$2)*$H36+BH$2*$H37) + BH38*((1-BH$2)*$H38+BH$2*$H39))</f>
        <v>2844.8268458198359</v>
      </c>
      <c r="BI39" s="23">
        <f t="shared" ref="BI39" si="433">($O39*$Q39*$S39)^(1/3)/(BI34*((1-BI$2)*$H34+BI$2*$H35) + BI36*((1-BI$2)*$H36+BI$2*$H37) + BI38*((1-BI$2)*$H38+BI$2*$H39))</f>
        <v>3309.5624872993749</v>
      </c>
      <c r="BJ39" s="23">
        <f t="shared" ref="BJ39" si="434">($O39*$Q39*$S39)^(1/3)/(BJ34*((1-BJ$2)*$H34+BJ$2*$H35) + BJ36*((1-BJ$2)*$H36+BJ$2*$H37) + BJ38*((1-BJ$2)*$H38+BJ$2*$H39))</f>
        <v>3391.6309897665788</v>
      </c>
      <c r="BK39" s="23">
        <f t="shared" ref="BK39" si="435">($O39*$Q39*$S39)^(1/3)/(BK34*((1-BK$2)*$H34+BK$2*$H35) + BK36*((1-BK$2)*$H36+BK$2*$H37) + BK38*((1-BK$2)*$H38+BK$2*$H39))</f>
        <v>3828.3196876570596</v>
      </c>
      <c r="BL39" s="23">
        <f t="shared" ref="BL39" si="436">($O39*$Q39*$S39)^(1/3)/(BL34*((1-BL$2)*$H34+BL$2*$H35) + BL36*((1-BL$2)*$H36+BL$2*$H37) + BL38*((1-BL$2)*$H38+BL$2*$H39))</f>
        <v>2596.1679067037321</v>
      </c>
      <c r="BM39" s="23">
        <f t="shared" ref="BM39" si="437">($O39*$Q39*$S39)^(1/3)/(BM34*((1-BM$2)*$H34+BM$2*$H35) + BM36*((1-BM$2)*$H36+BM$2*$H37) + BM38*((1-BM$2)*$H38+BM$2*$H39))</f>
        <v>2666.7884147232558</v>
      </c>
      <c r="BN39" s="23">
        <f t="shared" ref="BN39" si="438">($O39*$Q39*$S39)^(1/3)/(BN34*((1-BN$2)*$H34+BN$2*$H35) + BN36*((1-BN$2)*$H36+BN$2*$H37) + BN38*((1-BN$2)*$H38+BN$2*$H39))</f>
        <v>2759.1629002558852</v>
      </c>
      <c r="BO39" s="23">
        <f t="shared" ref="BO39" si="439">($O39*$Q39*$S39)^(1/3)/(BO34*((1-BO$2)*$H34+BO$2*$H35) + BO36*((1-BO$2)*$H36+BO$2*$H37) + BO38*((1-BO$2)*$H38+BO$2*$H39))</f>
        <v>3244.4588512381747</v>
      </c>
      <c r="BP39" s="23">
        <f t="shared" ref="BP39" si="440">($O39*$Q39*$S39)^(1/3)/(BP34*((1-BP$2)*$H34+BP$2*$H35) + BP36*((1-BP$2)*$H36+BP$2*$H37) + BP38*((1-BP$2)*$H38+BP$2*$H39))</f>
        <v>3042.384265668436</v>
      </c>
      <c r="BQ39" s="23">
        <f t="shared" ref="BQ39" si="441">($O39*$Q39*$S39)^(1/3)/(BQ34*((1-BQ$2)*$H34+BQ$2*$H35) + BQ36*((1-BQ$2)*$H36+BQ$2*$H37) + BQ38*((1-BQ$2)*$H38+BQ$2*$H39))</f>
        <v>3512.7303172638817</v>
      </c>
      <c r="BR39" s="23">
        <f t="shared" ref="BR39" si="442">($O39*$Q39*$S39)^(1/3)/(BR34*((1-BR$2)*$H34+BR$2*$H35) + BR36*((1-BR$2)*$H36+BR$2*$H37) + BR38*((1-BR$2)*$H38+BR$2*$H39))</f>
        <v>3521.5540558151602</v>
      </c>
      <c r="BS39" s="23">
        <f t="shared" ref="BS39" si="443">($O39*$Q39*$S39)^(1/3)/(BS34*((1-BS$2)*$H34+BS$2*$H35) + BS36*((1-BS$2)*$H36+BS$2*$H37) + BS38*((1-BS$2)*$H38+BS$2*$H39))</f>
        <v>3886.6943987247446</v>
      </c>
      <c r="BT39" s="23">
        <f t="shared" ref="BT39" si="444">($O39*$Q39*$S39)^(1/3)/(BT34*((1-BT$2)*$H34+BT$2*$H35) + BT36*((1-BT$2)*$H36+BT$2*$H37) + BT38*((1-BT$2)*$H38+BT$2*$H39))</f>
        <v>2890.578700247454</v>
      </c>
      <c r="BU39" s="23">
        <f t="shared" ref="BU39" si="445">($O39*$Q39*$S39)^(1/3)/(BU34*((1-BU$2)*$H34+BU$2*$H35) + BU36*((1-BU$2)*$H36+BU$2*$H37) + BU38*((1-BU$2)*$H38+BU$2*$H39))</f>
        <v>2950.1908030724221</v>
      </c>
      <c r="BV39" s="23">
        <f t="shared" ref="BV39" si="446">($O39*$Q39*$S39)^(1/3)/(BV34*((1-BV$2)*$H34+BV$2*$H35) + BV36*((1-BV$2)*$H36+BV$2*$H37) + BV38*((1-BV$2)*$H38+BV$2*$H39))</f>
        <v>3028.9093002484933</v>
      </c>
      <c r="BW39" s="23">
        <f t="shared" ref="BW39" si="447">($O39*$Q39*$S39)^(1/3)/(BW34*((1-BW$2)*$H34+BW$2*$H35) + BW36*((1-BW$2)*$H36+BW$2*$H37) + BW38*((1-BW$2)*$H38+BW$2*$H39))</f>
        <v>3517.1366523332035</v>
      </c>
      <c r="BX39" s="23">
        <f t="shared" ref="BX39" si="448">($O39*$Q39*$S39)^(1/3)/(BX34*((1-BX$2)*$H34+BX$2*$H35) + BX36*((1-BX$2)*$H36+BX$2*$H37) + BX38*((1-BX$2)*$H38+BX$2*$H39))</f>
        <v>3269.4278675839905</v>
      </c>
      <c r="BY39" s="23">
        <f t="shared" ref="BY39" si="449">($O39*$Q39*$S39)^(1/3)/(BY34*((1-BY$2)*$H34+BY$2*$H35) + BY36*((1-BY$2)*$H36+BY$2*$H37) + BY38*((1-BY$2)*$H38+BY$2*$H39))</f>
        <v>3742.4737576615457</v>
      </c>
      <c r="BZ39" s="23">
        <f t="shared" ref="BZ39" si="450">($O39*$Q39*$S39)^(1/3)/(BZ34*((1-BZ$2)*$H34+BZ$2*$H35) + BZ36*((1-BZ$2)*$H36+BZ$2*$H37) + BZ38*((1-BZ$2)*$H38+BZ$2*$H39))</f>
        <v>3661.8275293718566</v>
      </c>
      <c r="CA39" s="23">
        <f t="shared" ref="CA39" si="451">($O39*$Q39*$S39)^(1/3)/(CA34*((1-CA$2)*$H34+CA$2*$H35) + CA36*((1-CA$2)*$H36+CA$2*$H37) + CA38*((1-CA$2)*$H38+CA$2*$H39))</f>
        <v>3946.8768851914842</v>
      </c>
      <c r="CB39" s="23">
        <f t="shared" ref="CB39" si="452">($O39*$Q39*$S39)^(1/3)/(CB34*((1-CB$2)*$H34+CB$2*$H35) + CB36*((1-CB$2)*$H36+CB$2*$H37) + CB38*((1-CB$2)*$H38+CB$2*$H39))</f>
        <v>3260.3038828372451</v>
      </c>
      <c r="CC39" s="23">
        <f t="shared" ref="CC39" si="453">($O39*$Q39*$S39)^(1/3)/(CC34*((1-CC$2)*$H34+CC$2*$H35) + CC36*((1-CC$2)*$H36+CC$2*$H37) + CC38*((1-CC$2)*$H38+CC$2*$H39))</f>
        <v>3300.9905100541923</v>
      </c>
      <c r="CD39" s="23">
        <f t="shared" ref="CD39" si="454">($O39*$Q39*$S39)^(1/3)/(CD34*((1-CD$2)*$H34+CD$2*$H35) + CD36*((1-CD$2)*$H36+CD$2*$H37) + CD38*((1-CD$2)*$H38+CD$2*$H39))</f>
        <v>3357.1136724617222</v>
      </c>
      <c r="CE39" s="23">
        <f t="shared" ref="CE39" si="455">($O39*$Q39*$S39)^(1/3)/(CE34*((1-CE$2)*$H34+CE$2*$H35) + CE36*((1-CE$2)*$H36+CE$2*$H37) + CE38*((1-CE$2)*$H38+CE$2*$H39))</f>
        <v>3839.85392938925</v>
      </c>
      <c r="CF39" s="23">
        <f t="shared" ref="CF39" si="456">($O39*$Q39*$S39)^(1/3)/(CF34*((1-CF$2)*$H34+CF$2*$H35) + CF36*((1-CF$2)*$H36+CF$2*$H37) + CF38*((1-CF$2)*$H38+CF$2*$H39))</f>
        <v>3533.0914052923772</v>
      </c>
      <c r="CG39" s="23">
        <f t="shared" ref="CG39" si="457">($O39*$Q39*$S39)^(1/3)/(CG34*((1-CG$2)*$H34+CG$2*$H35) + CG36*((1-CG$2)*$H36+CG$2*$H37) + CG38*((1-CG$2)*$H38+CG$2*$H39))</f>
        <v>4004.3720926021574</v>
      </c>
      <c r="CH39" s="23">
        <f t="shared" ref="CH39" si="458">($O39*$Q39*$S39)^(1/3)/(CH34*((1-CH$2)*$H34+CH$2*$H35) + CH36*((1-CH$2)*$H36+CH$2*$H37) + CH38*((1-CH$2)*$H38+CH$2*$H39))</f>
        <v>3813.7395800326854</v>
      </c>
      <c r="CI39" s="23">
        <f t="shared" ref="CI39" si="459">($O39*$Q39*$S39)^(1/3)/(CI34*((1-CI$2)*$H34+CI$2*$H35) + CI36*((1-CI$2)*$H36+CI$2*$H37) + CI38*((1-CI$2)*$H38+CI$2*$H39))</f>
        <v>4008.9524438662143</v>
      </c>
      <c r="CJ39" s="23">
        <f t="shared" ref="CJ39" si="460">($O39*$Q39*$S39)^(1/3)/(CJ34*((1-CJ$2)*$H34+CJ$2*$H35) + CJ36*((1-CJ$2)*$H36+CJ$2*$H37) + CJ38*((1-CJ$2)*$H38+CJ$2*$H39))</f>
        <v>3738.4817856533741</v>
      </c>
      <c r="CK39" s="23">
        <f t="shared" ref="CK39" si="461">($O39*$Q39*$S39)^(1/3)/(CK34*((1-CK$2)*$H34+CK$2*$H35) + CK36*((1-CK$2)*$H36+CK$2*$H37) + CK38*((1-CK$2)*$H38+CK$2*$H39))</f>
        <v>3746.4742640834193</v>
      </c>
      <c r="CL39" s="23">
        <f t="shared" ref="CL39" si="462">($O39*$Q39*$S39)^(1/3)/(CL34*((1-CL$2)*$H34+CL$2*$H35) + CL36*((1-CL$2)*$H36+CL$2*$H37) + CL38*((1-CL$2)*$H38+CL$2*$H39))</f>
        <v>3765.0884104203442</v>
      </c>
      <c r="CM39" s="23">
        <f t="shared" ref="CM39" si="463">($O39*$Q39*$S39)^(1/3)/(CM34*((1-CM$2)*$H34+CM$2*$H35) + CM36*((1-CM$2)*$H36+CM$2*$H37) + CM38*((1-CM$2)*$H38+CM$2*$H39))</f>
        <v>4227.7764463812291</v>
      </c>
      <c r="CN39" s="23">
        <f t="shared" ref="CN39" si="464">($O39*$Q39*$S39)^(1/3)/(CN34*((1-CN$2)*$H34+CN$2*$H35) + CN36*((1-CN$2)*$H36+CN$2*$H37) + CN38*((1-CN$2)*$H38+CN$2*$H39))</f>
        <v>3843.0117040022351</v>
      </c>
      <c r="CO39" s="23">
        <f t="shared" ref="CO39" si="465">($O39*$Q39*$S39)^(1/3)/(CO34*((1-CO$2)*$H34+CO$2*$H35) + CO36*((1-CO$2)*$H36+CO$2*$H37) + CO38*((1-CO$2)*$H38+CO$2*$H39))</f>
        <v>4305.683874754347</v>
      </c>
      <c r="CP39" s="23">
        <f t="shared" ref="CP39" si="466">($O39*$Q39*$S39)^(1/3)/(CP34*((1-CP$2)*$H34+CP$2*$H35) + CP36*((1-CP$2)*$H36+CP$2*$H37) + CP38*((1-CP$2)*$H38+CP$2*$H39))</f>
        <v>3978.8013895842632</v>
      </c>
      <c r="CQ39" s="23">
        <f t="shared" ref="CQ39" si="467">($O39*$Q39*$S39)^(1/3)/(CQ34*((1-CQ$2)*$H34+CQ$2*$H35) + CQ36*((1-CQ$2)*$H36+CQ$2*$H37) + CQ38*((1-CQ$2)*$H38+CQ$2*$H39))</f>
        <v>4073.0118234166625</v>
      </c>
      <c r="CS39" s="2">
        <f t="shared" ref="CS39" si="468">100*$AF39/AF39</f>
        <v>100</v>
      </c>
      <c r="CT39" s="2">
        <f t="shared" ref="CT39" si="469">100*$AF39/AG39</f>
        <v>95.749999999999986</v>
      </c>
      <c r="CU39" s="2">
        <f t="shared" ref="CU39" si="470">100*$AF39/AH39</f>
        <v>90.671052631578945</v>
      </c>
      <c r="CV39" s="2">
        <f t="shared" ref="CV39" si="471">100*$AF39/AI39</f>
        <v>74.486842105263165</v>
      </c>
      <c r="CW39" s="2">
        <f t="shared" ref="CW39" si="472">100*$AF39/AJ39</f>
        <v>77.473684210526301</v>
      </c>
      <c r="CX39" s="2">
        <f t="shared" ref="CX39" si="473">100*$AF39/AK39</f>
        <v>65.407894736842096</v>
      </c>
      <c r="CY39" s="2">
        <f t="shared" ref="CY39" si="474">100*$AF39/AL39</f>
        <v>60.407894736842103</v>
      </c>
      <c r="CZ39" s="2">
        <f t="shared" ref="CZ39" si="475">100*$AF39/AM39</f>
        <v>50.355263157894733</v>
      </c>
      <c r="DA39" s="2">
        <f t="shared" ref="DA39" si="476">100*$AF39/AN39</f>
        <v>92.76315789473685</v>
      </c>
      <c r="DB39" s="2">
        <f t="shared" ref="DB39" si="477">100*$AF39/AO39</f>
        <v>89.10526315789474</v>
      </c>
      <c r="DC39" s="2">
        <f t="shared" ref="DC39" si="478">100*$AF39/AP39</f>
        <v>84.717105263157919</v>
      </c>
      <c r="DD39" s="2">
        <f t="shared" ref="DD39" si="479">100*$AF39/AQ39</f>
        <v>70.078947368421055</v>
      </c>
      <c r="DE39" s="2">
        <f t="shared" ref="DE39" si="480">100*$AF39/AR39</f>
        <v>73.26315789473685</v>
      </c>
      <c r="DF39" s="2">
        <f t="shared" ref="DF39" si="481">100*$AF39/AS39</f>
        <v>62.184210526315809</v>
      </c>
      <c r="DG39" s="2">
        <f t="shared" ref="DG39" si="482">100*$AF39/AT39</f>
        <v>58.401315789473692</v>
      </c>
      <c r="DH39" s="2">
        <f t="shared" ref="DH39" si="483">100*$AF39/AU39</f>
        <v>49.631578947368425</v>
      </c>
      <c r="DI39" s="2">
        <f t="shared" ref="DI39" si="484">100*$AF39/AV39</f>
        <v>85.526315789473685</v>
      </c>
      <c r="DJ39" s="2">
        <f t="shared" ref="DJ39" si="485">100*$AF39/AW39</f>
        <v>82.46052631578948</v>
      </c>
      <c r="DK39" s="2">
        <f t="shared" ref="DK39" si="486">100*$AF39/AX39</f>
        <v>78.76315789473685</v>
      </c>
      <c r="DL39" s="2">
        <f t="shared" ref="DL39" si="487">100*$AF39/AY39</f>
        <v>65.671052631578959</v>
      </c>
      <c r="DM39" s="2">
        <f t="shared" ref="DM39" si="488">100*$AF39/AZ39</f>
        <v>69.05263157894737</v>
      </c>
      <c r="DN39" s="2">
        <f t="shared" ref="DN39" si="489">100*$AF39/BA39</f>
        <v>58.96052631578948</v>
      </c>
      <c r="DO39" s="2">
        <f t="shared" ref="DO39" si="490">100*$AF39/BB39</f>
        <v>56.39473684210526</v>
      </c>
      <c r="DP39" s="2">
        <f t="shared" ref="DP39" si="491">100*$AF39/BC39</f>
        <v>48.90789473684211</v>
      </c>
      <c r="DQ39" s="2">
        <f t="shared" ref="DQ39" si="492">100*$AF39/BD39</f>
        <v>78.28947368421052</v>
      </c>
      <c r="DR39" s="2">
        <f t="shared" ref="DR39" si="493">100*$AF39/BE39</f>
        <v>75.815789473684205</v>
      </c>
      <c r="DS39" s="2">
        <f t="shared" ref="DS39" si="494">100*$AF39/BF39</f>
        <v>72.809210526315795</v>
      </c>
      <c r="DT39" s="2">
        <f t="shared" ref="DT39" si="495">100*$AF39/BG39</f>
        <v>61.263157894736842</v>
      </c>
      <c r="DU39" s="2">
        <f t="shared" ref="DU39" si="496">100*$AF39/BH39</f>
        <v>64.842105263157904</v>
      </c>
      <c r="DV39" s="2">
        <f t="shared" ref="DV39" si="497">100*$AF39/BI39</f>
        <v>55.736842105263158</v>
      </c>
      <c r="DW39" s="2">
        <f t="shared" ref="DW39" si="498">100*$AF39/BJ39</f>
        <v>54.388157894736842</v>
      </c>
      <c r="DX39" s="2">
        <f t="shared" ref="DX39" si="499">100*$AF39/BK39</f>
        <v>48.184210526315788</v>
      </c>
      <c r="DY39" s="2">
        <f t="shared" ref="DY39" si="500">100*$AF39/BL39</f>
        <v>71.05263157894737</v>
      </c>
      <c r="DZ39" s="2">
        <f t="shared" ref="DZ39" si="501">100*$AF39/BM39</f>
        <v>69.171052631578931</v>
      </c>
      <c r="EA39" s="2">
        <f t="shared" ref="EA39" si="502">100*$AF39/BN39</f>
        <v>66.85526315789474</v>
      </c>
      <c r="EB39" s="2">
        <f t="shared" ref="EB39" si="503">100*$AF39/BO39</f>
        <v>56.855263157894733</v>
      </c>
      <c r="EC39" s="2">
        <f t="shared" ref="EC39" si="504">100*$AF39/BP39</f>
        <v>60.631578947368418</v>
      </c>
      <c r="ED39" s="2">
        <f t="shared" ref="ED39" si="505">100*$AF39/BQ39</f>
        <v>52.513157894736842</v>
      </c>
      <c r="EE39" s="2">
        <f t="shared" ref="EE39" si="506">100*$AF39/BR39</f>
        <v>52.381578947368418</v>
      </c>
      <c r="EF39" s="2">
        <f t="shared" ref="EF39" si="507">100*$AF39/BS39</f>
        <v>47.460526315789473</v>
      </c>
      <c r="EG39" s="2">
        <f t="shared" ref="EG39" si="508">100*$AF39/BT39</f>
        <v>63.815789473684212</v>
      </c>
      <c r="EH39" s="2">
        <f t="shared" ref="EH39" si="509">100*$AF39/BU39</f>
        <v>62.526315789473699</v>
      </c>
      <c r="EI39" s="2">
        <f t="shared" ref="EI39" si="510">100*$AF39/BV39</f>
        <v>60.901315789473692</v>
      </c>
      <c r="EJ39" s="2">
        <f t="shared" ref="EJ39" si="511">100*$AF39/BW39</f>
        <v>52.447368421052644</v>
      </c>
      <c r="EK39" s="2">
        <f t="shared" ref="EK39" si="512">100*$AF39/BX39</f>
        <v>56.421052631578952</v>
      </c>
      <c r="EL39" s="2">
        <f t="shared" ref="EL39" si="513">100*$AF39/BY39</f>
        <v>49.289473684210535</v>
      </c>
      <c r="EM39" s="2">
        <f t="shared" ref="EM39" si="514">100*$AF39/BZ39</f>
        <v>50.375</v>
      </c>
      <c r="EN39" s="2">
        <f t="shared" ref="EN39" si="515">100*$AF39/CA39</f>
        <v>46.736842105263158</v>
      </c>
      <c r="EO39" s="2">
        <f t="shared" ref="EO39" si="516">100*$AF39/CB39</f>
        <v>56.578947368421048</v>
      </c>
      <c r="EP39" s="2">
        <f t="shared" ref="EP39" si="517">100*$AF39/CC39</f>
        <v>55.881578947368411</v>
      </c>
      <c r="EQ39" s="2">
        <f t="shared" ref="EQ39" si="518">100*$AF39/CD39</f>
        <v>54.947368421052637</v>
      </c>
      <c r="ER39" s="2">
        <f t="shared" ref="ER39" si="519">100*$AF39/CE39</f>
        <v>48.039473684210527</v>
      </c>
      <c r="ES39" s="2">
        <f t="shared" ref="ES39" si="520">100*$AF39/CF39</f>
        <v>52.210526315789473</v>
      </c>
      <c r="ET39" s="2">
        <f t="shared" ref="ET39" si="521">100*$AF39/CG39</f>
        <v>46.065789473684205</v>
      </c>
      <c r="EU39" s="2">
        <f t="shared" ref="EU39" si="522">100*$AF39/CH39</f>
        <v>48.368421052631582</v>
      </c>
      <c r="EV39" s="2">
        <f t="shared" ref="EV39" si="523">100*$AF39/CI39</f>
        <v>46.01315789473685</v>
      </c>
      <c r="EW39" s="2">
        <f t="shared" ref="EW39" si="524">100*$AF39/CJ39</f>
        <v>49.34210526315789</v>
      </c>
      <c r="EX39" s="2">
        <f t="shared" ref="EX39" si="525">100*$AF39/CK39</f>
        <v>49.23684210526315</v>
      </c>
      <c r="EY39" s="2">
        <f t="shared" ref="EY39" si="526">100*$AF39/CL39</f>
        <v>48.993421052631582</v>
      </c>
      <c r="EZ39" s="2">
        <f t="shared" ref="EZ39" si="527">100*$AF39/CM39</f>
        <v>43.631578947368411</v>
      </c>
      <c r="FA39" s="2">
        <f t="shared" ref="FA39" si="528">100*$AF39/CN39</f>
        <v>47.999999999999993</v>
      </c>
      <c r="FB39" s="2">
        <f t="shared" ref="FB39" si="529">100*$AF39/CO39</f>
        <v>42.84210526315789</v>
      </c>
      <c r="FC39" s="2">
        <f t="shared" ref="FC39" si="530">100*$AF39/CP39</f>
        <v>46.361842105263165</v>
      </c>
      <c r="FD39" s="2">
        <f t="shared" ref="FD39" si="531">100*$AF39/CQ39</f>
        <v>45.289473684210527</v>
      </c>
    </row>
    <row r="40" spans="3:160" x14ac:dyDescent="0.4">
      <c r="C40" s="1" t="s">
        <v>16</v>
      </c>
      <c r="D40" s="1" t="s">
        <v>5</v>
      </c>
      <c r="E40" s="1">
        <v>0.26400000000000001</v>
      </c>
      <c r="F40" s="1">
        <v>0.156</v>
      </c>
      <c r="G40" s="1">
        <v>0.108</v>
      </c>
      <c r="H40" s="1">
        <v>3.9E-2</v>
      </c>
      <c r="I40" s="1">
        <v>3825</v>
      </c>
      <c r="J40" s="1">
        <v>3573</v>
      </c>
      <c r="K40" s="1">
        <v>48</v>
      </c>
      <c r="L40" s="1">
        <v>4621</v>
      </c>
      <c r="M40" s="1">
        <v>5509</v>
      </c>
      <c r="N40" s="1">
        <v>67</v>
      </c>
      <c r="O40" s="1">
        <v>71</v>
      </c>
      <c r="P40" s="1">
        <v>65.5</v>
      </c>
      <c r="Q40" s="1">
        <v>66</v>
      </c>
      <c r="R40" s="1">
        <v>48</v>
      </c>
      <c r="S40" s="1">
        <v>73.5</v>
      </c>
      <c r="T40" s="4">
        <v>0</v>
      </c>
      <c r="U40" s="1">
        <v>1.8220000000000001</v>
      </c>
      <c r="V40" s="1">
        <v>6.4000000000000001E-2</v>
      </c>
      <c r="W40" s="1">
        <v>4.0199999999999996</v>
      </c>
      <c r="X40" s="1">
        <f t="shared" ref="X40" si="532">H41</f>
        <v>2.4E-2</v>
      </c>
      <c r="Y40" s="1">
        <f t="shared" ref="Y40" si="533">H42</f>
        <v>3.7999999999999999E-2</v>
      </c>
      <c r="Z40" s="1">
        <f t="shared" ref="Z40" si="534">H43</f>
        <v>2.4E-2</v>
      </c>
      <c r="AA40" s="1">
        <f t="shared" ref="AA40" si="535">H44</f>
        <v>1.6E-2</v>
      </c>
      <c r="AB40" s="1">
        <f t="shared" ref="AB40" si="536">H45</f>
        <v>2.4E-2</v>
      </c>
      <c r="AC40" s="1">
        <f t="shared" si="114"/>
        <v>4091.6751878703421</v>
      </c>
      <c r="AE40" s="1" t="s">
        <v>96</v>
      </c>
      <c r="AF40" s="1">
        <v>1</v>
      </c>
      <c r="AG40" s="1">
        <v>0.81499999999999995</v>
      </c>
      <c r="AH40" s="1">
        <v>0.64500000000000002</v>
      </c>
      <c r="AI40" s="1">
        <v>0.39500000000000002</v>
      </c>
      <c r="AJ40" s="1">
        <v>0.36</v>
      </c>
      <c r="AK40" s="1">
        <v>0.245</v>
      </c>
      <c r="AL40" s="1">
        <v>0.14499999999999999</v>
      </c>
      <c r="AM40" s="20">
        <v>6.5000000000000002E-2</v>
      </c>
      <c r="AN40" s="1">
        <v>1</v>
      </c>
      <c r="AO40" s="1">
        <v>0.81499999999999995</v>
      </c>
      <c r="AP40" s="1">
        <v>0.64500000000000002</v>
      </c>
      <c r="AQ40" s="1">
        <v>0.39500000000000002</v>
      </c>
      <c r="AR40" s="1">
        <v>0.36</v>
      </c>
      <c r="AS40" s="1">
        <v>0.245</v>
      </c>
      <c r="AT40" s="1">
        <v>0.14499999999999999</v>
      </c>
      <c r="AU40" s="20">
        <v>6.5000000000000002E-2</v>
      </c>
      <c r="AV40" s="1">
        <v>1</v>
      </c>
      <c r="AW40" s="1">
        <v>0.81499999999999995</v>
      </c>
      <c r="AX40" s="1">
        <v>0.64500000000000002</v>
      </c>
      <c r="AY40" s="1">
        <v>0.39500000000000002</v>
      </c>
      <c r="AZ40" s="1">
        <v>0.36</v>
      </c>
      <c r="BA40" s="1">
        <v>0.245</v>
      </c>
      <c r="BB40" s="1">
        <v>0.14499999999999999</v>
      </c>
      <c r="BC40" s="20">
        <v>6.5000000000000002E-2</v>
      </c>
      <c r="BD40" s="1">
        <v>1</v>
      </c>
      <c r="BE40" s="1">
        <v>0.81499999999999995</v>
      </c>
      <c r="BF40" s="1">
        <v>0.64500000000000002</v>
      </c>
      <c r="BG40" s="1">
        <v>0.39500000000000002</v>
      </c>
      <c r="BH40" s="1">
        <v>0.36</v>
      </c>
      <c r="BI40" s="1">
        <v>0.245</v>
      </c>
      <c r="BJ40" s="1">
        <v>0.14499999999999999</v>
      </c>
      <c r="BK40" s="20">
        <v>6.5000000000000002E-2</v>
      </c>
      <c r="BL40" s="1">
        <v>1</v>
      </c>
      <c r="BM40" s="1">
        <v>0.81499999999999995</v>
      </c>
      <c r="BN40" s="1">
        <v>0.64500000000000002</v>
      </c>
      <c r="BO40" s="1">
        <v>0.39500000000000002</v>
      </c>
      <c r="BP40" s="1">
        <v>0.36</v>
      </c>
      <c r="BQ40" s="1">
        <v>0.245</v>
      </c>
      <c r="BR40" s="1">
        <v>0.14499999999999999</v>
      </c>
      <c r="BS40" s="20">
        <v>6.5000000000000002E-2</v>
      </c>
      <c r="BT40" s="1">
        <v>1</v>
      </c>
      <c r="BU40" s="1">
        <v>0.81499999999999995</v>
      </c>
      <c r="BV40" s="1">
        <v>0.64500000000000002</v>
      </c>
      <c r="BW40" s="1">
        <v>0.39500000000000002</v>
      </c>
      <c r="BX40" s="1">
        <v>0.36</v>
      </c>
      <c r="BY40" s="1">
        <v>0.245</v>
      </c>
      <c r="BZ40" s="1">
        <v>0.14499999999999999</v>
      </c>
      <c r="CA40" s="20">
        <v>6.5000000000000002E-2</v>
      </c>
      <c r="CB40" s="1">
        <v>1</v>
      </c>
      <c r="CC40" s="1">
        <v>0.81499999999999995</v>
      </c>
      <c r="CD40" s="1">
        <v>0.64500000000000002</v>
      </c>
      <c r="CE40" s="1">
        <v>0.39500000000000002</v>
      </c>
      <c r="CF40" s="1">
        <v>0.36</v>
      </c>
      <c r="CG40" s="1">
        <v>0.245</v>
      </c>
      <c r="CH40" s="1">
        <v>0.14499999999999999</v>
      </c>
      <c r="CI40" s="20">
        <v>6.5000000000000002E-2</v>
      </c>
      <c r="CJ40" s="1">
        <v>1</v>
      </c>
      <c r="CK40" s="1">
        <v>0.81499999999999995</v>
      </c>
      <c r="CL40" s="1">
        <v>0.64500000000000002</v>
      </c>
      <c r="CM40" s="1">
        <v>0.39500000000000002</v>
      </c>
      <c r="CN40" s="1">
        <v>0.36</v>
      </c>
      <c r="CO40" s="1">
        <v>0.245</v>
      </c>
      <c r="CP40" s="1">
        <v>0.14499999999999999</v>
      </c>
      <c r="CQ40" s="20">
        <v>6.5000000000000002E-2</v>
      </c>
    </row>
    <row r="41" spans="3:160" x14ac:dyDescent="0.4">
      <c r="C41" s="1" t="s">
        <v>16</v>
      </c>
      <c r="D41" s="1" t="s">
        <v>6</v>
      </c>
      <c r="E41" s="1">
        <v>0.24099999999999999</v>
      </c>
      <c r="F41" s="1">
        <v>0.13400000000000001</v>
      </c>
      <c r="G41" s="1">
        <v>0.107</v>
      </c>
      <c r="H41" s="1">
        <v>2.4E-2</v>
      </c>
      <c r="I41" s="1">
        <v>3825</v>
      </c>
      <c r="J41" s="1">
        <v>3573</v>
      </c>
      <c r="K41" s="1">
        <v>48</v>
      </c>
      <c r="L41" s="1">
        <v>4621</v>
      </c>
      <c r="M41" s="1">
        <v>5509</v>
      </c>
      <c r="N41" s="1">
        <v>67</v>
      </c>
      <c r="O41" s="1">
        <v>71</v>
      </c>
      <c r="P41" s="1">
        <v>65.5</v>
      </c>
      <c r="Q41" s="1">
        <v>66</v>
      </c>
      <c r="R41" s="1">
        <v>48</v>
      </c>
      <c r="S41" s="1">
        <v>73.5</v>
      </c>
      <c r="T41" s="4">
        <v>0</v>
      </c>
      <c r="U41" s="1">
        <v>1.8220000000000001</v>
      </c>
      <c r="V41" s="1">
        <v>6.4000000000000001E-2</v>
      </c>
      <c r="W41" s="1">
        <v>4.0199999999999996</v>
      </c>
      <c r="X41" s="1">
        <f t="shared" ref="X41" si="537">H41</f>
        <v>2.4E-2</v>
      </c>
      <c r="Y41" s="1">
        <f t="shared" ref="Y41" si="538">H42</f>
        <v>3.7999999999999999E-2</v>
      </c>
      <c r="Z41" s="1">
        <f t="shared" ref="Z41" si="539">H43</f>
        <v>2.4E-2</v>
      </c>
      <c r="AA41" s="1">
        <f t="shared" ref="AA41" si="540">H44</f>
        <v>1.6E-2</v>
      </c>
      <c r="AB41" s="1">
        <f t="shared" ref="AB41" si="541">H45</f>
        <v>2.4E-2</v>
      </c>
      <c r="AC41" s="1">
        <f t="shared" si="114"/>
        <v>4091.6751878703421</v>
      </c>
      <c r="CQ41" s="20"/>
    </row>
    <row r="42" spans="3:160" x14ac:dyDescent="0.4">
      <c r="C42" s="1" t="s">
        <v>16</v>
      </c>
      <c r="D42" s="1" t="s">
        <v>7</v>
      </c>
      <c r="E42" s="1">
        <v>0.26400000000000001</v>
      </c>
      <c r="F42" s="1">
        <v>0.156</v>
      </c>
      <c r="G42" s="1">
        <v>0.108</v>
      </c>
      <c r="H42" s="1">
        <v>3.7999999999999999E-2</v>
      </c>
      <c r="I42" s="1">
        <v>3825</v>
      </c>
      <c r="J42" s="1">
        <v>3573</v>
      </c>
      <c r="K42" s="1">
        <v>48</v>
      </c>
      <c r="L42" s="1">
        <v>4621</v>
      </c>
      <c r="M42" s="1">
        <v>5509</v>
      </c>
      <c r="N42" s="1">
        <v>67</v>
      </c>
      <c r="O42" s="1">
        <v>71</v>
      </c>
      <c r="P42" s="1">
        <v>65.5</v>
      </c>
      <c r="Q42" s="1">
        <v>66</v>
      </c>
      <c r="R42" s="1">
        <v>48</v>
      </c>
      <c r="S42" s="1">
        <v>73.5</v>
      </c>
      <c r="T42" s="4">
        <v>0</v>
      </c>
      <c r="U42" s="1">
        <v>1.8220000000000001</v>
      </c>
      <c r="V42" s="1">
        <v>6.4000000000000001E-2</v>
      </c>
      <c r="W42" s="1">
        <v>4.0199999999999996</v>
      </c>
      <c r="X42" s="1">
        <f t="shared" ref="X42" si="542">H41</f>
        <v>2.4E-2</v>
      </c>
      <c r="Y42" s="1">
        <f t="shared" ref="Y42" si="543">H42</f>
        <v>3.7999999999999999E-2</v>
      </c>
      <c r="Z42" s="1">
        <f t="shared" ref="Z42" si="544">H43</f>
        <v>2.4E-2</v>
      </c>
      <c r="AA42" s="1">
        <f t="shared" ref="AA42" si="545">H44</f>
        <v>1.6E-2</v>
      </c>
      <c r="AB42" s="1">
        <f t="shared" ref="AB42" si="546">H45</f>
        <v>2.4E-2</v>
      </c>
      <c r="AC42" s="1">
        <f t="shared" si="114"/>
        <v>4091.6751878703421</v>
      </c>
      <c r="AE42" s="1" t="s">
        <v>97</v>
      </c>
      <c r="AF42" s="1">
        <v>0</v>
      </c>
      <c r="AG42" s="1">
        <v>0.12</v>
      </c>
      <c r="AH42" s="1">
        <v>0.21</v>
      </c>
      <c r="AI42" s="1">
        <v>0.26</v>
      </c>
      <c r="AJ42" s="1">
        <v>0.28000000000000003</v>
      </c>
      <c r="AK42" s="1">
        <v>0.26</v>
      </c>
      <c r="AL42" s="1">
        <v>0.21</v>
      </c>
      <c r="AM42" s="20">
        <v>0.12</v>
      </c>
      <c r="AN42" s="1">
        <v>0</v>
      </c>
      <c r="AO42" s="1">
        <v>0.12</v>
      </c>
      <c r="AP42" s="1">
        <v>0.21</v>
      </c>
      <c r="AQ42" s="1">
        <v>0.26</v>
      </c>
      <c r="AR42" s="1">
        <v>0.28000000000000003</v>
      </c>
      <c r="AS42" s="1">
        <v>0.26</v>
      </c>
      <c r="AT42" s="1">
        <v>0.21</v>
      </c>
      <c r="AU42" s="20">
        <v>0.12</v>
      </c>
      <c r="AV42" s="1">
        <v>0</v>
      </c>
      <c r="AW42" s="1">
        <v>0.12</v>
      </c>
      <c r="AX42" s="1">
        <v>0.21</v>
      </c>
      <c r="AY42" s="1">
        <v>0.26</v>
      </c>
      <c r="AZ42" s="1">
        <v>0.28000000000000003</v>
      </c>
      <c r="BA42" s="1">
        <v>0.26</v>
      </c>
      <c r="BB42" s="1">
        <v>0.21</v>
      </c>
      <c r="BC42" s="20">
        <v>0.12</v>
      </c>
      <c r="BD42" s="1">
        <v>0</v>
      </c>
      <c r="BE42" s="1">
        <v>0.12</v>
      </c>
      <c r="BF42" s="1">
        <v>0.21</v>
      </c>
      <c r="BG42" s="1">
        <v>0.26</v>
      </c>
      <c r="BH42" s="1">
        <v>0.28000000000000003</v>
      </c>
      <c r="BI42" s="1">
        <v>0.26</v>
      </c>
      <c r="BJ42" s="1">
        <v>0.21</v>
      </c>
      <c r="BK42" s="20">
        <v>0.12</v>
      </c>
      <c r="BL42" s="1">
        <v>0</v>
      </c>
      <c r="BM42" s="1">
        <v>0.12</v>
      </c>
      <c r="BN42" s="1">
        <v>0.21</v>
      </c>
      <c r="BO42" s="1">
        <v>0.26</v>
      </c>
      <c r="BP42" s="1">
        <v>0.28000000000000003</v>
      </c>
      <c r="BQ42" s="1">
        <v>0.26</v>
      </c>
      <c r="BR42" s="1">
        <v>0.21</v>
      </c>
      <c r="BS42" s="20">
        <v>0.12</v>
      </c>
      <c r="BT42" s="1">
        <v>0</v>
      </c>
      <c r="BU42" s="1">
        <v>0.12</v>
      </c>
      <c r="BV42" s="1">
        <v>0.21</v>
      </c>
      <c r="BW42" s="1">
        <v>0.26</v>
      </c>
      <c r="BX42" s="1">
        <v>0.28000000000000003</v>
      </c>
      <c r="BY42" s="1">
        <v>0.26</v>
      </c>
      <c r="BZ42" s="1">
        <v>0.21</v>
      </c>
      <c r="CA42" s="20">
        <v>0.12</v>
      </c>
      <c r="CB42" s="1">
        <v>0</v>
      </c>
      <c r="CC42" s="1">
        <v>0.12</v>
      </c>
      <c r="CD42" s="1">
        <v>0.21</v>
      </c>
      <c r="CE42" s="1">
        <v>0.26</v>
      </c>
      <c r="CF42" s="1">
        <v>0.28000000000000003</v>
      </c>
      <c r="CG42" s="1">
        <v>0.26</v>
      </c>
      <c r="CH42" s="1">
        <v>0.21</v>
      </c>
      <c r="CI42" s="20">
        <v>0.12</v>
      </c>
      <c r="CJ42" s="1">
        <v>0</v>
      </c>
      <c r="CK42" s="1">
        <v>0.12</v>
      </c>
      <c r="CL42" s="1">
        <v>0.21</v>
      </c>
      <c r="CM42" s="1">
        <v>0.26</v>
      </c>
      <c r="CN42" s="1">
        <v>0.28000000000000003</v>
      </c>
      <c r="CO42" s="1">
        <v>0.26</v>
      </c>
      <c r="CP42" s="1">
        <v>0.21</v>
      </c>
      <c r="CQ42" s="20">
        <v>0.12</v>
      </c>
    </row>
    <row r="43" spans="3:160" x14ac:dyDescent="0.4">
      <c r="C43" s="1" t="s">
        <v>16</v>
      </c>
      <c r="D43" s="1" t="s">
        <v>8</v>
      </c>
      <c r="E43" s="1">
        <v>0.24299999999999999</v>
      </c>
      <c r="F43" s="1">
        <v>0.13500000000000001</v>
      </c>
      <c r="G43" s="1">
        <v>0.107</v>
      </c>
      <c r="H43" s="1">
        <v>2.4E-2</v>
      </c>
      <c r="I43" s="1">
        <v>3825</v>
      </c>
      <c r="J43" s="1">
        <v>3573</v>
      </c>
      <c r="K43" s="1">
        <v>48</v>
      </c>
      <c r="L43" s="1">
        <v>4621</v>
      </c>
      <c r="M43" s="1">
        <v>5509</v>
      </c>
      <c r="N43" s="1">
        <v>67</v>
      </c>
      <c r="O43" s="1">
        <v>71</v>
      </c>
      <c r="P43" s="1">
        <v>65.5</v>
      </c>
      <c r="Q43" s="1">
        <v>66</v>
      </c>
      <c r="R43" s="1">
        <v>48</v>
      </c>
      <c r="S43" s="1">
        <v>73.5</v>
      </c>
      <c r="T43" s="4">
        <v>0</v>
      </c>
      <c r="U43" s="1">
        <v>1.8220000000000001</v>
      </c>
      <c r="V43" s="1">
        <v>6.4000000000000001E-2</v>
      </c>
      <c r="W43" s="1">
        <v>4.0199999999999996</v>
      </c>
      <c r="X43" s="1">
        <f t="shared" ref="X43" si="547">H41</f>
        <v>2.4E-2</v>
      </c>
      <c r="Y43" s="1">
        <f t="shared" ref="Y43" si="548">H42</f>
        <v>3.7999999999999999E-2</v>
      </c>
      <c r="Z43" s="1">
        <f t="shared" ref="Z43" si="549">H43</f>
        <v>2.4E-2</v>
      </c>
      <c r="AA43" s="1">
        <f t="shared" ref="AA43" si="550">H44</f>
        <v>1.6E-2</v>
      </c>
      <c r="AB43" s="1">
        <f t="shared" ref="AB43" si="551">H45</f>
        <v>2.4E-2</v>
      </c>
      <c r="AC43" s="1">
        <f t="shared" si="114"/>
        <v>4091.6751878703421</v>
      </c>
      <c r="CQ43" s="20"/>
    </row>
    <row r="44" spans="3:160" x14ac:dyDescent="0.4">
      <c r="C44" s="1" t="s">
        <v>16</v>
      </c>
      <c r="D44" s="1" t="s">
        <v>9</v>
      </c>
      <c r="E44" s="1">
        <v>0.23400000000000001</v>
      </c>
      <c r="F44" s="1">
        <v>0.126</v>
      </c>
      <c r="G44" s="1">
        <v>0.107</v>
      </c>
      <c r="H44" s="1">
        <v>1.6E-2</v>
      </c>
      <c r="I44" s="1">
        <v>3825</v>
      </c>
      <c r="J44" s="1">
        <v>3573</v>
      </c>
      <c r="K44" s="1">
        <v>48</v>
      </c>
      <c r="L44" s="1">
        <v>4621</v>
      </c>
      <c r="M44" s="1">
        <v>5509</v>
      </c>
      <c r="N44" s="1">
        <v>67</v>
      </c>
      <c r="O44" s="1">
        <v>71</v>
      </c>
      <c r="P44" s="1">
        <v>65.5</v>
      </c>
      <c r="Q44" s="1">
        <v>66</v>
      </c>
      <c r="R44" s="1">
        <v>48</v>
      </c>
      <c r="S44" s="1">
        <v>73.5</v>
      </c>
      <c r="T44" s="4">
        <v>0</v>
      </c>
      <c r="U44" s="1">
        <v>1.8220000000000001</v>
      </c>
      <c r="V44" s="1">
        <v>6.4000000000000001E-2</v>
      </c>
      <c r="W44" s="1">
        <v>4.0199999999999996</v>
      </c>
      <c r="X44" s="1">
        <f t="shared" ref="X44" si="552">H41</f>
        <v>2.4E-2</v>
      </c>
      <c r="Y44" s="1">
        <f t="shared" ref="Y44" si="553">H42</f>
        <v>3.7999999999999999E-2</v>
      </c>
      <c r="Z44" s="1">
        <f t="shared" ref="Z44" si="554">H43</f>
        <v>2.4E-2</v>
      </c>
      <c r="AA44" s="1">
        <f t="shared" ref="AA44" si="555">H44</f>
        <v>1.6E-2</v>
      </c>
      <c r="AB44" s="1">
        <f t="shared" ref="AB44" si="556">H45</f>
        <v>2.4E-2</v>
      </c>
      <c r="AC44" s="1">
        <f t="shared" si="114"/>
        <v>4091.6751878703421</v>
      </c>
      <c r="AE44" s="1" t="s">
        <v>98</v>
      </c>
      <c r="AF44" s="1">
        <v>0</v>
      </c>
      <c r="AG44" s="1">
        <v>6.5000000000000002E-2</v>
      </c>
      <c r="AH44" s="1">
        <v>0.14499999999999999</v>
      </c>
      <c r="AI44" s="1">
        <v>0.245</v>
      </c>
      <c r="AJ44" s="1">
        <v>0.36</v>
      </c>
      <c r="AK44" s="1">
        <v>0.39500000000000002</v>
      </c>
      <c r="AL44" s="1">
        <v>0.64500000000000002</v>
      </c>
      <c r="AM44" s="20">
        <v>0.81499999999999995</v>
      </c>
      <c r="AN44" s="1">
        <v>0</v>
      </c>
      <c r="AO44" s="1">
        <v>6.5000000000000002E-2</v>
      </c>
      <c r="AP44" s="1">
        <v>0.14499999999999999</v>
      </c>
      <c r="AQ44" s="1">
        <v>0.245</v>
      </c>
      <c r="AR44" s="1">
        <v>0.36</v>
      </c>
      <c r="AS44" s="1">
        <v>0.39500000000000002</v>
      </c>
      <c r="AT44" s="1">
        <v>0.64500000000000002</v>
      </c>
      <c r="AU44" s="20">
        <v>0.81499999999999995</v>
      </c>
      <c r="AV44" s="1">
        <v>0</v>
      </c>
      <c r="AW44" s="1">
        <v>6.5000000000000002E-2</v>
      </c>
      <c r="AX44" s="1">
        <v>0.14499999999999999</v>
      </c>
      <c r="AY44" s="1">
        <v>0.245</v>
      </c>
      <c r="AZ44" s="1">
        <v>0.36</v>
      </c>
      <c r="BA44" s="1">
        <v>0.39500000000000002</v>
      </c>
      <c r="BB44" s="1">
        <v>0.64500000000000002</v>
      </c>
      <c r="BC44" s="20">
        <v>0.81499999999999995</v>
      </c>
      <c r="BD44" s="1">
        <v>0</v>
      </c>
      <c r="BE44" s="1">
        <v>6.5000000000000002E-2</v>
      </c>
      <c r="BF44" s="1">
        <v>0.14499999999999999</v>
      </c>
      <c r="BG44" s="1">
        <v>0.245</v>
      </c>
      <c r="BH44" s="1">
        <v>0.36</v>
      </c>
      <c r="BI44" s="1">
        <v>0.39500000000000002</v>
      </c>
      <c r="BJ44" s="1">
        <v>0.64500000000000002</v>
      </c>
      <c r="BK44" s="20">
        <v>0.81499999999999995</v>
      </c>
      <c r="BL44" s="1">
        <v>0</v>
      </c>
      <c r="BM44" s="1">
        <v>6.5000000000000002E-2</v>
      </c>
      <c r="BN44" s="1">
        <v>0.14499999999999999</v>
      </c>
      <c r="BO44" s="1">
        <v>0.245</v>
      </c>
      <c r="BP44" s="1">
        <v>0.36</v>
      </c>
      <c r="BQ44" s="1">
        <v>0.39500000000000002</v>
      </c>
      <c r="BR44" s="1">
        <v>0.64500000000000002</v>
      </c>
      <c r="BS44" s="20">
        <v>0.81499999999999995</v>
      </c>
      <c r="BT44" s="1">
        <v>0</v>
      </c>
      <c r="BU44" s="1">
        <v>6.5000000000000002E-2</v>
      </c>
      <c r="BV44" s="1">
        <v>0.14499999999999999</v>
      </c>
      <c r="BW44" s="1">
        <v>0.245</v>
      </c>
      <c r="BX44" s="1">
        <v>0.36</v>
      </c>
      <c r="BY44" s="1">
        <v>0.39500000000000002</v>
      </c>
      <c r="BZ44" s="1">
        <v>0.64500000000000002</v>
      </c>
      <c r="CA44" s="20">
        <v>0.81499999999999995</v>
      </c>
      <c r="CB44" s="1">
        <v>0</v>
      </c>
      <c r="CC44" s="1">
        <v>6.5000000000000002E-2</v>
      </c>
      <c r="CD44" s="1">
        <v>0.14499999999999999</v>
      </c>
      <c r="CE44" s="1">
        <v>0.245</v>
      </c>
      <c r="CF44" s="1">
        <v>0.36</v>
      </c>
      <c r="CG44" s="1">
        <v>0.39500000000000002</v>
      </c>
      <c r="CH44" s="1">
        <v>0.64500000000000002</v>
      </c>
      <c r="CI44" s="20">
        <v>0.81499999999999995</v>
      </c>
      <c r="CJ44" s="1">
        <v>0</v>
      </c>
      <c r="CK44" s="1">
        <v>6.5000000000000002E-2</v>
      </c>
      <c r="CL44" s="1">
        <v>0.14499999999999999</v>
      </c>
      <c r="CM44" s="1">
        <v>0.245</v>
      </c>
      <c r="CN44" s="1">
        <v>0.36</v>
      </c>
      <c r="CO44" s="1">
        <v>0.39500000000000002</v>
      </c>
      <c r="CP44" s="1">
        <v>0.64500000000000002</v>
      </c>
      <c r="CQ44" s="20">
        <v>0.81499999999999995</v>
      </c>
    </row>
    <row r="45" spans="3:160" s="2" customFormat="1" x14ac:dyDescent="0.4">
      <c r="C45" s="2" t="s">
        <v>16</v>
      </c>
      <c r="D45" s="2" t="s">
        <v>10</v>
      </c>
      <c r="E45" s="2">
        <v>0.24299999999999999</v>
      </c>
      <c r="F45" s="2">
        <v>0.13500000000000001</v>
      </c>
      <c r="G45" s="2">
        <v>0.107</v>
      </c>
      <c r="H45" s="2">
        <v>2.4E-2</v>
      </c>
      <c r="I45" s="2">
        <v>3825</v>
      </c>
      <c r="J45" s="2">
        <v>3573</v>
      </c>
      <c r="K45" s="2">
        <v>48</v>
      </c>
      <c r="L45" s="2">
        <v>4621</v>
      </c>
      <c r="M45" s="2">
        <v>5509</v>
      </c>
      <c r="N45" s="2">
        <v>67</v>
      </c>
      <c r="O45" s="2">
        <v>71</v>
      </c>
      <c r="P45" s="2">
        <v>65.5</v>
      </c>
      <c r="Q45" s="2">
        <v>66</v>
      </c>
      <c r="R45" s="2">
        <v>48</v>
      </c>
      <c r="S45" s="2">
        <v>73.5</v>
      </c>
      <c r="T45" s="6">
        <f t="shared" ref="T45:T93" si="557">(N40*O40*P40*Q40*R40*S40)/(I40*J40*K40*(F40*H40 + F41*H41 + F42*H42 + F43*H43 + F44*H44 + F45*H45))</f>
        <v>4661.7969670700168</v>
      </c>
      <c r="U45" s="2">
        <v>1.8220000000000001</v>
      </c>
      <c r="V45" s="2">
        <v>6.4000000000000001E-2</v>
      </c>
      <c r="W45" s="2">
        <v>4.0199999999999996</v>
      </c>
      <c r="X45" s="2">
        <f t="shared" ref="X45" si="558">H41</f>
        <v>2.4E-2</v>
      </c>
      <c r="Y45" s="2">
        <f t="shared" ref="Y45" si="559">H42</f>
        <v>3.7999999999999999E-2</v>
      </c>
      <c r="Z45" s="2">
        <f t="shared" ref="Z45" si="560">H43</f>
        <v>2.4E-2</v>
      </c>
      <c r="AA45" s="2">
        <f t="shared" ref="AA45" si="561">H44</f>
        <v>1.6E-2</v>
      </c>
      <c r="AB45" s="2">
        <f t="shared" ref="AB45" si="562">H45</f>
        <v>2.4E-2</v>
      </c>
      <c r="AC45" s="1">
        <f t="shared" si="114"/>
        <v>4091.6751878703421</v>
      </c>
      <c r="AE45" s="2" t="s">
        <v>99</v>
      </c>
      <c r="AF45" s="23">
        <f>($O45*$Q45*$S45)^(1/3)/(AF40*((1-AF$2)*$H40+AF$2*$H41) + AF42*((1-AF$2)*$H42+AF$2*$H43) + AF44*((1-AF$2)*$H44+AF$2*$H45))</f>
        <v>1797.347012333353</v>
      </c>
      <c r="AG45" s="23">
        <f t="shared" ref="AG45" si="563">($O45*$Q45*$S45)^(1/3)/(AG40*((1-AG$2)*$H40+AG$2*$H41) + AG42*((1-AG$2)*$H42+AG$2*$H43) + AG44*((1-AG$2)*$H44+AG$2*$H45))</f>
        <v>1874.9908648121107</v>
      </c>
      <c r="AH45" s="23">
        <f t="shared" ref="AH45" si="564">($O45*$Q45*$S45)^(1/3)/(AH40*((1-AH$2)*$H40+AH$2*$H41) + AH42*((1-AH$2)*$H42+AH$2*$H43) + AH44*((1-AH$2)*$H44+AH$2*$H45))</f>
        <v>1977.0563666901921</v>
      </c>
      <c r="AI45" s="23">
        <f t="shared" ref="AI45" si="565">($O45*$Q45*$S45)^(1/3)/(AI40*((1-AI$2)*$H40+AI$2*$H41) + AI42*((1-AI$2)*$H42+AI$2*$H43) + AI44*((1-AI$2)*$H44+AI$2*$H45))</f>
        <v>2400.1552296182422</v>
      </c>
      <c r="AJ45" s="23">
        <f t="shared" ref="AJ45" si="566">($O45*$Q45*$S45)^(1/3)/(AJ40*((1-AJ$2)*$H40+AJ$2*$H41) + AJ42*((1-AJ$2)*$H42+AJ$2*$H43) + AJ44*((1-AJ$2)*$H44+AJ$2*$H45))</f>
        <v>2302.7770525952942</v>
      </c>
      <c r="AK45" s="23">
        <f t="shared" ref="AK45" si="567">($O45*$Q45*$S45)^(1/3)/(AK40*((1-AK$2)*$H40+AK$2*$H41) + AK42*((1-AK$2)*$H42+AK$2*$H43) + AK44*((1-AK$2)*$H44+AK$2*$H45))</f>
        <v>2721.6669959619785</v>
      </c>
      <c r="AL45" s="23">
        <f t="shared" ref="AL45" si="568">($O45*$Q45*$S45)^(1/3)/(AL40*((1-AL$2)*$H40+AL$2*$H41) + AL42*((1-AL$2)*$H42+AL$2*$H43) + AL44*((1-AL$2)*$H44+AL$2*$H45))</f>
        <v>2926.175474055553</v>
      </c>
      <c r="AM45" s="23">
        <f t="shared" ref="AM45" si="569">($O45*$Q45*$S45)^(1/3)/(AM40*((1-AM$2)*$H40+AM$2*$H41) + AM42*((1-AM$2)*$H42+AM$2*$H43) + AM44*((1-AM$2)*$H44+AM$2*$H45))</f>
        <v>3481.3277119940781</v>
      </c>
      <c r="AN45" s="23">
        <f t="shared" ref="AN45" si="570">($O45*$Q45*$S45)^(1/3)/(AN40*((1-AN$2)*$H40+AN$2*$H41) + AN42*((1-AN$2)*$H42+AN$2*$H43) + AN44*((1-AN$2)*$H44+AN$2*$H45))</f>
        <v>1888.1221139663503</v>
      </c>
      <c r="AO45" s="23">
        <f t="shared" ref="AO45" si="571">($O45*$Q45*$S45)^(1/3)/(AO40*((1-AO$2)*$H40+AO$2*$H41) + AO42*((1-AO$2)*$H42+AO$2*$H43) + AO44*((1-AO$2)*$H44+AO$2*$H45))</f>
        <v>1962.8354288594692</v>
      </c>
      <c r="AP45" s="23">
        <f t="shared" ref="AP45" si="572">($O45*$Q45*$S45)^(1/3)/(AP40*((1-AP$2)*$H40+AP$2*$H41) + AP42*((1-AP$2)*$H42+AP$2*$H43) + AP44*((1-AP$2)*$H44+AP$2*$H45))</f>
        <v>2060.2614686628799</v>
      </c>
      <c r="AQ45" s="23">
        <f t="shared" ref="AQ45" si="573">($O45*$Q45*$S45)^(1/3)/(AQ40*((1-AQ$2)*$H40+AQ$2*$H41) + AQ42*((1-AQ$2)*$H42+AQ$2*$H43) + AQ44*((1-AQ$2)*$H44+AQ$2*$H45))</f>
        <v>2480.9090089942088</v>
      </c>
      <c r="AR45" s="23">
        <f t="shared" ref="AR45" si="574">($O45*$Q45*$S45)^(1/3)/(AR40*((1-AR$2)*$H40+AR$2*$H41) + AR42*((1-AR$2)*$H42+AR$2*$H43) + AR44*((1-AR$2)*$H44+AR$2*$H45))</f>
        <v>2365.3292890501348</v>
      </c>
      <c r="AS45" s="23">
        <f t="shared" ref="AS45" si="575">($O45*$Q45*$S45)^(1/3)/(AS40*((1-AS$2)*$H40+AS$2*$H41) + AS42*((1-AS$2)*$H42+AS$2*$H43) + AS44*((1-AS$2)*$H44+AS$2*$H45))</f>
        <v>2777.6816893182058</v>
      </c>
      <c r="AT45" s="23">
        <f t="shared" ref="AT45" si="576">($O45*$Q45*$S45)^(1/3)/(AT40*((1-AT$2)*$H40+AT$2*$H41) + AT42*((1-AT$2)*$H42+AT$2*$H43) + AT44*((1-AT$2)*$H44+AT$2*$H45))</f>
        <v>2925.4885246524564</v>
      </c>
      <c r="AU45" s="23">
        <f t="shared" ref="AU45" si="577">($O45*$Q45*$S45)^(1/3)/(AU40*((1-AU$2)*$H40+AU$2*$H41) + AU42*((1-AU$2)*$H42+AU$2*$H43) + AU44*((1-AU$2)*$H44+AU$2*$H45))</f>
        <v>3399.7530561581502</v>
      </c>
      <c r="AV45" s="23">
        <f t="shared" ref="AV45" si="578">($O45*$Q45*$S45)^(1/3)/(AV40*((1-AV$2)*$H40+AV$2*$H41) + AV42*((1-AV$2)*$H42+AV$2*$H43) + AV44*((1-AV$2)*$H44+AV$2*$H45))</f>
        <v>1988.5541413049864</v>
      </c>
      <c r="AW45" s="23">
        <f t="shared" ref="AW45" si="579">($O45*$Q45*$S45)^(1/3)/(AW40*((1-AW$2)*$H40+AW$2*$H41) + AW42*((1-AW$2)*$H42+AW$2*$H43) + AW44*((1-AW$2)*$H44+AW$2*$H45))</f>
        <v>2059.3157351841878</v>
      </c>
      <c r="AX45" s="23">
        <f t="shared" ref="AX45" si="580">($O45*$Q45*$S45)^(1/3)/(AX40*((1-AX$2)*$H40+AX$2*$H41) + AX42*((1-AX$2)*$H42+AX$2*$H43) + AX44*((1-AX$2)*$H44+AX$2*$H45))</f>
        <v>2150.7776928163471</v>
      </c>
      <c r="AY45" s="23">
        <f t="shared" ref="AY45" si="581">($O45*$Q45*$S45)^(1/3)/(AY40*((1-AY$2)*$H40+AY$2*$H41) + AY42*((1-AY$2)*$H42+AY$2*$H43) + AY44*((1-AY$2)*$H44+AY$2*$H45))</f>
        <v>2567.2859398800811</v>
      </c>
      <c r="AZ45" s="23">
        <f t="shared" ref="AZ45" si="582">($O45*$Q45*$S45)^(1/3)/(AZ40*((1-AZ$2)*$H40+AZ$2*$H41) + AZ42*((1-AZ$2)*$H42+AZ$2*$H43) + AZ44*((1-AZ$2)*$H44+AZ$2*$H45))</f>
        <v>2431.3747305237866</v>
      </c>
      <c r="BA45" s="23">
        <f t="shared" ref="BA45" si="583">($O45*$Q45*$S45)^(1/3)/(BA40*((1-BA$2)*$H40+BA$2*$H41) + BA42*((1-BA$2)*$H42+BA$2*$H43) + BA44*((1-BA$2)*$H44+BA$2*$H45))</f>
        <v>2836.0505125575587</v>
      </c>
      <c r="BB45" s="23">
        <f t="shared" ref="BB45" si="584">($O45*$Q45*$S45)^(1/3)/(BB40*((1-BB$2)*$H40+BB$2*$H41) + BB42*((1-BB$2)*$H42+BB$2*$H43) + BB44*((1-BB$2)*$H44+BB$2*$H45))</f>
        <v>2924.8018977103534</v>
      </c>
      <c r="BC45" s="23">
        <f t="shared" ref="BC45" si="585">($O45*$Q45*$S45)^(1/3)/(BC40*((1-BC$2)*$H40+BC$2*$H41) + BC42*((1-BC$2)*$H42+BC$2*$H43) + BC44*((1-BC$2)*$H44+BC$2*$H45))</f>
        <v>3321.9137956756476</v>
      </c>
      <c r="BD45" s="23">
        <f t="shared" ref="BD45" si="586">($O45*$Q45*$S45)^(1/3)/(BD40*((1-BD$2)*$H40+BD$2*$H41) + BD42*((1-BD$2)*$H42+BD$2*$H43) + BD44*((1-BD$2)*$H44+BD$2*$H45))</f>
        <v>2100.2706660974009</v>
      </c>
      <c r="BE45" s="23">
        <f t="shared" ref="BE45" si="587">($O45*$Q45*$S45)^(1/3)/(BE40*((1-BE$2)*$H40+BE$2*$H41) + BE42*((1-BE$2)*$H42+BE$2*$H43) + BE44*((1-BE$2)*$H44+BE$2*$H45))</f>
        <v>2165.7710450825762</v>
      </c>
      <c r="BF45" s="23">
        <f t="shared" ref="BF45" si="588">($O45*$Q45*$S45)^(1/3)/(BF40*((1-BF$2)*$H40+BF$2*$H41) + BF42*((1-BF$2)*$H42+BF$2*$H43) + BF44*((1-BF$2)*$H44+BF$2*$H45))</f>
        <v>2249.6129489439618</v>
      </c>
      <c r="BG45" s="23">
        <f t="shared" ref="BG45" si="589">($O45*$Q45*$S45)^(1/3)/(BG40*((1-BG$2)*$H40+BG$2*$H41) + BG42*((1-BG$2)*$H42+BG$2*$H43) + BG44*((1-BG$2)*$H44+BG$2*$H45))</f>
        <v>2659.8945468896291</v>
      </c>
      <c r="BH45" s="23">
        <f t="shared" ref="BH45" si="590">($O45*$Q45*$S45)^(1/3)/(BH40*((1-BH$2)*$H40+BH$2*$H41) + BH42*((1-BH$2)*$H42+BH$2*$H43) + BH44*((1-BH$2)*$H44+BH$2*$H45))</f>
        <v>2501.2143971811156</v>
      </c>
      <c r="BI45" s="23">
        <f t="shared" ref="BI45" si="591">($O45*$Q45*$S45)^(1/3)/(BI40*((1-BI$2)*$H40+BI$2*$H41) + BI42*((1-BI$2)*$H42+BI$2*$H43) + BI44*((1-BI$2)*$H44+BI$2*$H45))</f>
        <v>2896.9250566860701</v>
      </c>
      <c r="BJ45" s="23">
        <f t="shared" ref="BJ45" si="592">($O45*$Q45*$S45)^(1/3)/(BJ40*((1-BJ$2)*$H40+BJ$2*$H41) + BJ42*((1-BJ$2)*$H42+BJ$2*$H43) + BJ44*((1-BJ$2)*$H44+BJ$2*$H45))</f>
        <v>2924.1155930022474</v>
      </c>
      <c r="BK45" s="23">
        <f t="shared" ref="BK45" si="593">($O45*$Q45*$S45)^(1/3)/(BK40*((1-BK$2)*$H40+BK$2*$H41) + BK42*((1-BK$2)*$H42+BK$2*$H43) + BK44*((1-BK$2)*$H44+BK$2*$H45))</f>
        <v>3247.5591014796933</v>
      </c>
      <c r="BL45" s="23">
        <f t="shared" ref="BL45" si="594">($O45*$Q45*$S45)^(1/3)/(BL40*((1-BL$2)*$H40+BL$2*$H41) + BL42*((1-BL$2)*$H42+BL$2*$H43) + BL44*((1-BL$2)*$H44+BL$2*$H45))</f>
        <v>2225.2867771746273</v>
      </c>
      <c r="BM45" s="23">
        <f t="shared" ref="BM45" si="595">($O45*$Q45*$S45)^(1/3)/(BM40*((1-BM$2)*$H40+BM$2*$H41) + BM42*((1-BM$2)*$H42+BM$2*$H43) + BM44*((1-BM$2)*$H44+BM$2*$H45))</f>
        <v>2283.8326457929711</v>
      </c>
      <c r="BN45" s="23">
        <f t="shared" ref="BN45" si="596">($O45*$Q45*$S45)^(1/3)/(BN40*((1-BN$2)*$H40+BN$2*$H41) + BN42*((1-BN$2)*$H42+BN$2*$H43) + BN44*((1-BN$2)*$H44+BN$2*$H45))</f>
        <v>2357.969337515794</v>
      </c>
      <c r="BO45" s="23">
        <f t="shared" ref="BO45" si="597">($O45*$Q45*$S45)^(1/3)/(BO40*((1-BO$2)*$H40+BO$2*$H41) + BO42*((1-BO$2)*$H42+BO$2*$H43) + BO44*((1-BO$2)*$H44+BO$2*$H45))</f>
        <v>2759.4344446806713</v>
      </c>
      <c r="BP45" s="23">
        <f t="shared" ref="BP45" si="598">($O45*$Q45*$S45)^(1/3)/(BP40*((1-BP$2)*$H40+BP$2*$H41) + BP42*((1-BP$2)*$H42+BP$2*$H43) + BP44*((1-BP$2)*$H44+BP$2*$H45))</f>
        <v>2575.1849184790872</v>
      </c>
      <c r="BQ45" s="23">
        <f t="shared" ref="BQ45" si="599">($O45*$Q45*$S45)^(1/3)/(BQ40*((1-BQ$2)*$H40+BQ$2*$H41) + BQ42*((1-BQ$2)*$H42+BQ$2*$H43) + BQ44*((1-BQ$2)*$H44+BQ$2*$H45))</f>
        <v>2960.4702135360894</v>
      </c>
      <c r="BR45" s="23">
        <f t="shared" ref="BR45" si="600">($O45*$Q45*$S45)^(1/3)/(BR40*((1-BR$2)*$H40+BR$2*$H41) + BR42*((1-BR$2)*$H42+BR$2*$H43) + BR44*((1-BR$2)*$H44+BR$2*$H45))</f>
        <v>2923.4296103013562</v>
      </c>
      <c r="BS45" s="23">
        <f t="shared" ref="BS45" si="601">($O45*$Q45*$S45)^(1/3)/(BS40*((1-BS$2)*$H40+BS$2*$H41) + BS42*((1-BS$2)*$H42+BS$2*$H43) + BS44*((1-BS$2)*$H44+BS$2*$H45))</f>
        <v>3176.4601101620378</v>
      </c>
      <c r="BT45" s="23">
        <f t="shared" ref="BT45" si="602">($O45*$Q45*$S45)^(1/3)/(BT40*((1-BT$2)*$H40+BT$2*$H41) + BT42*((1-BT$2)*$H42+BT$2*$H43) + BT44*((1-BT$2)*$H44+BT$2*$H45))</f>
        <v>2366.1277124388444</v>
      </c>
      <c r="BU45" s="23">
        <f t="shared" ref="BU45" si="603">($O45*$Q45*$S45)^(1/3)/(BU40*((1-BU$2)*$H40+BU$2*$H41) + BU42*((1-BU$2)*$H42+BU$2*$H43) + BU44*((1-BU$2)*$H44+BU$2*$H45))</f>
        <v>2415.5080349249693</v>
      </c>
      <c r="BV45" s="23">
        <f t="shared" ref="BV45" si="604">($O45*$Q45*$S45)^(1/3)/(BV40*((1-BV$2)*$H40+BV$2*$H41) + BV42*((1-BV$2)*$H42+BV$2*$H43) + BV44*((1-BV$2)*$H44+BV$2*$H45))</f>
        <v>2477.2922839131761</v>
      </c>
      <c r="BW45" s="23">
        <f t="shared" ref="BW45" si="605">($O45*$Q45*$S45)^(1/3)/(BW40*((1-BW$2)*$H40+BW$2*$H41) + BW42*((1-BW$2)*$H42+BW$2*$H43) + BW44*((1-BW$2)*$H44+BW$2*$H45))</f>
        <v>2866.714044669407</v>
      </c>
      <c r="BX45" s="23">
        <f t="shared" ref="BX45" si="606">($O45*$Q45*$S45)^(1/3)/(BX40*((1-BX$2)*$H40+BX$2*$H41) + BX42*((1-BX$2)*$H42+BX$2*$H43) + BX44*((1-BX$2)*$H44+BX$2*$H45))</f>
        <v>2653.6639591520257</v>
      </c>
      <c r="BY45" s="23">
        <f t="shared" ref="BY45" si="607">($O45*$Q45*$S45)^(1/3)/(BY40*((1-BY$2)*$H40+BY$2*$H41) + BY42*((1-BY$2)*$H42+BY$2*$H43) + BY44*((1-BY$2)*$H44+BY$2*$H45))</f>
        <v>3026.8656672766365</v>
      </c>
      <c r="BZ45" s="23">
        <f t="shared" ref="BZ45" si="608">($O45*$Q45*$S45)^(1/3)/(BZ40*((1-BZ$2)*$H40+BZ$2*$H41) + BZ42*((1-BZ$2)*$H42+BZ$2*$H43) + BZ44*((1-BZ$2)*$H44+BZ$2*$H45))</f>
        <v>2922.7439493811071</v>
      </c>
      <c r="CA45" s="23">
        <f t="shared" ref="CA45" si="609">($O45*$Q45*$S45)^(1/3)/(CA40*((1-CA$2)*$H40+CA$2*$H41) + CA42*((1-CA$2)*$H42+CA$2*$H43) + CA44*((1-CA$2)*$H44+CA$2*$H45))</f>
        <v>3108.4075710097068</v>
      </c>
      <c r="CB45" s="23">
        <f t="shared" ref="CB45" si="610">($O45*$Q45*$S45)^(1/3)/(CB40*((1-CB$2)*$H40+CB$2*$H41) + CB42*((1-CB$2)*$H42+CB$2*$H43) + CB44*((1-CB$2)*$H44+CB$2*$H45))</f>
        <v>2526.0012065225496</v>
      </c>
      <c r="CC45" s="23">
        <f t="shared" ref="CC45" si="611">($O45*$Q45*$S45)^(1/3)/(CC40*((1-CC$2)*$H40+CC$2*$H41) + CC42*((1-CC$2)*$H42+CC$2*$H43) + CC44*((1-CC$2)*$H44+CC$2*$H45))</f>
        <v>2563.2960088129362</v>
      </c>
      <c r="CD45" s="23">
        <f t="shared" ref="CD45" si="612">($O45*$Q45*$S45)^(1/3)/(CD40*((1-CD$2)*$H40+CD$2*$H41) + CD42*((1-CD$2)*$H42+CD$2*$H43) + CD44*((1-CD$2)*$H44+CD$2*$H45))</f>
        <v>2609.3353861989026</v>
      </c>
      <c r="CE45" s="23">
        <f t="shared" ref="CE45" si="613">($O45*$Q45*$S45)^(1/3)/(CE40*((1-CE$2)*$H40+CE$2*$H41) + CE42*((1-CE$2)*$H42+CE$2*$H43) + CE44*((1-CE$2)*$H44+CE$2*$H45))</f>
        <v>2982.6725591617792</v>
      </c>
      <c r="CF45" s="23">
        <f t="shared" ref="CF45" si="614">($O45*$Q45*$S45)^(1/3)/(CF40*((1-CF$2)*$H40+CF$2*$H41) + CF42*((1-CF$2)*$H42+CF$2*$H43) + CF44*((1-CF$2)*$H44+CF$2*$H45))</f>
        <v>2737.0766685279482</v>
      </c>
      <c r="CG45" s="23">
        <f t="shared" ref="CG45" si="615">($O45*$Q45*$S45)^(1/3)/(CG40*((1-CG$2)*$H40+CG$2*$H41) + CG42*((1-CG$2)*$H42+CG$2*$H43) + CG44*((1-CG$2)*$H44+CG$2*$H45))</f>
        <v>3096.3075912318809</v>
      </c>
      <c r="CH45" s="23">
        <f t="shared" ref="CH45" si="616">($O45*$Q45*$S45)^(1/3)/(CH40*((1-CH$2)*$H40+CH$2*$H41) + CH42*((1-CH$2)*$H42+CH$2*$H43) + CH44*((1-CH$2)*$H44+CH$2*$H45))</f>
        <v>2922.0586100151427</v>
      </c>
      <c r="CI45" s="23">
        <f t="shared" ref="CI45" si="617">($O45*$Q45*$S45)^(1/3)/(CI40*((1-CI$2)*$H40+CI$2*$H41) + CI42*((1-CI$2)*$H42+CI$2*$H43) + CI44*((1-CI$2)*$H44+CI$2*$H45))</f>
        <v>3043.2097891572475</v>
      </c>
      <c r="CJ45" s="23">
        <f t="shared" ref="CJ45" si="618">($O45*$Q45*$S45)^(1/3)/(CJ40*((1-CJ$2)*$H40+CJ$2*$H41) + CJ42*((1-CJ$2)*$H42+CJ$2*$H43) + CJ44*((1-CJ$2)*$H44+CJ$2*$H45))</f>
        <v>2709.0447722125896</v>
      </c>
      <c r="CK45" s="23">
        <f t="shared" ref="CK45" si="619">($O45*$Q45*$S45)^(1/3)/(CK40*((1-CK$2)*$H40+CK$2*$H41) + CK42*((1-CK$2)*$H42+CK$2*$H43) + CK44*((1-CK$2)*$H44+CK$2*$H45))</f>
        <v>2730.346752917721</v>
      </c>
      <c r="CL45" s="23">
        <f t="shared" ref="CL45" si="620">($O45*$Q45*$S45)^(1/3)/(CL40*((1-CL$2)*$H40+CL$2*$H41) + CL42*((1-CL$2)*$H42+CL$2*$H43) + CL44*((1-CL$2)*$H44+CL$2*$H45))</f>
        <v>2756.2471693888378</v>
      </c>
      <c r="CM45" s="23">
        <f t="shared" ref="CM45" si="621">($O45*$Q45*$S45)^(1/3)/(CM40*((1-CM$2)*$H40+CM$2*$H41) + CM42*((1-CM$2)*$H42+CM$2*$H43) + CM44*((1-CM$2)*$H44+CM$2*$H45))</f>
        <v>3108.4075710097068</v>
      </c>
      <c r="CN45" s="23">
        <f t="shared" ref="CN45" si="622">($O45*$Q45*$S45)^(1/3)/(CN40*((1-CN$2)*$H40+CN$2*$H41) + CN42*((1-CN$2)*$H42+CN$2*$H43) + CN44*((1-CN$2)*$H44+CN$2*$H45))</f>
        <v>2825.9033856480855</v>
      </c>
      <c r="CO45" s="23">
        <f t="shared" ref="CO45" si="623">($O45*$Q45*$S45)^(1/3)/(CO40*((1-CO$2)*$H40+CO$2*$H41) + CO42*((1-CO$2)*$H42+CO$2*$H43) + CO44*((1-CO$2)*$H44+CO$2*$H45))</f>
        <v>3169.0105837529654</v>
      </c>
      <c r="CP45" s="23">
        <f t="shared" ref="CP45" si="624">($O45*$Q45*$S45)^(1/3)/(CP40*((1-CP$2)*$H40+CP$2*$H41) + CP42*((1-CP$2)*$H42+CP$2*$H43) + CP44*((1-CP$2)*$H44+CP$2*$H45))</f>
        <v>2921.373591977318</v>
      </c>
      <c r="CQ45" s="23">
        <f t="shared" ref="CQ45" si="625">($O45*$Q45*$S45)^(1/3)/(CQ40*((1-CQ$2)*$H40+CQ$2*$H41) + CQ42*((1-CQ$2)*$H42+CQ$2*$H43) + CQ44*((1-CQ$2)*$H44+CQ$2*$H45))</f>
        <v>2980.6908222712736</v>
      </c>
      <c r="CS45" s="2">
        <f t="shared" ref="CS45" si="626">100*$AF45/AF45</f>
        <v>100</v>
      </c>
      <c r="CT45" s="2">
        <f t="shared" ref="CT45" si="627">100*$AF45/AG45</f>
        <v>95.858974358974379</v>
      </c>
      <c r="CU45" s="2">
        <f t="shared" ref="CU45" si="628">100*$AF45/AH45</f>
        <v>90.910256410256423</v>
      </c>
      <c r="CV45" s="2">
        <f t="shared" ref="CV45" si="629">100*$AF45/AI45</f>
        <v>74.884615384615387</v>
      </c>
      <c r="CW45" s="2">
        <f t="shared" ref="CW45" si="630">100*$AF45/AJ45</f>
        <v>78.051282051282072</v>
      </c>
      <c r="CX45" s="2">
        <f t="shared" ref="CX45" si="631">100*$AF45/AK45</f>
        <v>66.038461538461547</v>
      </c>
      <c r="CY45" s="2">
        <f t="shared" ref="CY45" si="632">100*$AF45/AL45</f>
        <v>61.42307692307692</v>
      </c>
      <c r="CZ45" s="2">
        <f t="shared" ref="CZ45" si="633">100*$AF45/AM45</f>
        <v>51.628205128205131</v>
      </c>
      <c r="DA45" s="2">
        <f t="shared" ref="DA45" si="634">100*$AF45/AN45</f>
        <v>95.192307692307708</v>
      </c>
      <c r="DB45" s="2">
        <f t="shared" ref="DB45" si="635">100*$AF45/AO45</f>
        <v>91.568910256410277</v>
      </c>
      <c r="DC45" s="2">
        <f t="shared" ref="DC45" si="636">100*$AF45/AP45</f>
        <v>87.238782051282087</v>
      </c>
      <c r="DD45" s="2">
        <f t="shared" ref="DD45" si="637">100*$AF45/AQ45</f>
        <v>72.447115384615401</v>
      </c>
      <c r="DE45" s="2">
        <f t="shared" ref="DE45" si="638">100*$AF45/AR45</f>
        <v>75.987179487179517</v>
      </c>
      <c r="DF45" s="2">
        <f t="shared" ref="DF45" si="639">100*$AF45/AS45</f>
        <v>64.706730769230788</v>
      </c>
      <c r="DG45" s="2">
        <f t="shared" ref="DG45" si="640">100*$AF45/AT45</f>
        <v>61.437500000000007</v>
      </c>
      <c r="DH45" s="2">
        <f t="shared" ref="DH45" si="641">100*$AF45/AU45</f>
        <v>52.866987179487182</v>
      </c>
      <c r="DI45" s="2">
        <f t="shared" ref="DI45" si="642">100*$AF45/AV45</f>
        <v>90.384615384615387</v>
      </c>
      <c r="DJ45" s="2">
        <f t="shared" ref="DJ45" si="643">100*$AF45/AW45</f>
        <v>87.278846153846146</v>
      </c>
      <c r="DK45" s="2">
        <f t="shared" ref="DK45" si="644">100*$AF45/AX45</f>
        <v>83.567307692307693</v>
      </c>
      <c r="DL45" s="2">
        <f t="shared" ref="DL45" si="645">100*$AF45/AY45</f>
        <v>70.009615384615387</v>
      </c>
      <c r="DM45" s="2">
        <f t="shared" ref="DM45" si="646">100*$AF45/AZ45</f>
        <v>73.92307692307692</v>
      </c>
      <c r="DN45" s="2">
        <f t="shared" ref="DN45" si="647">100*$AF45/BA45</f>
        <v>63.375000000000007</v>
      </c>
      <c r="DO45" s="2">
        <f t="shared" ref="DO45" si="648">100*$AF45/BB45</f>
        <v>61.451923076923087</v>
      </c>
      <c r="DP45" s="2">
        <f t="shared" ref="DP45" si="649">100*$AF45/BC45</f>
        <v>54.105769230769241</v>
      </c>
      <c r="DQ45" s="2">
        <f t="shared" ref="DQ45" si="650">100*$AF45/BD45</f>
        <v>85.576923076923094</v>
      </c>
      <c r="DR45" s="2">
        <f t="shared" ref="DR45" si="651">100*$AF45/BE45</f>
        <v>82.988782051282072</v>
      </c>
      <c r="DS45" s="2">
        <f t="shared" ref="DS45" si="652">100*$AF45/BF45</f>
        <v>79.895833333333343</v>
      </c>
      <c r="DT45" s="2">
        <f t="shared" ref="DT45" si="653">100*$AF45/BG45</f>
        <v>67.572115384615401</v>
      </c>
      <c r="DU45" s="2">
        <f t="shared" ref="DU45" si="654">100*$AF45/BH45</f>
        <v>71.858974358974365</v>
      </c>
      <c r="DV45" s="2">
        <f t="shared" ref="DV45" si="655">100*$AF45/BI45</f>
        <v>62.043269230769248</v>
      </c>
      <c r="DW45" s="2">
        <f t="shared" ref="DW45" si="656">100*$AF45/BJ45</f>
        <v>61.466346153846175</v>
      </c>
      <c r="DX45" s="2">
        <f t="shared" ref="DX45" si="657">100*$AF45/BK45</f>
        <v>55.344551282051292</v>
      </c>
      <c r="DY45" s="2">
        <f t="shared" ref="DY45" si="658">100*$AF45/BL45</f>
        <v>80.769230769230774</v>
      </c>
      <c r="DZ45" s="2">
        <f t="shared" ref="DZ45" si="659">100*$AF45/BM45</f>
        <v>78.698717948717956</v>
      </c>
      <c r="EA45" s="2">
        <f t="shared" ref="EA45" si="660">100*$AF45/BN45</f>
        <v>76.224358974358978</v>
      </c>
      <c r="EB45" s="2">
        <f t="shared" ref="EB45" si="661">100*$AF45/BO45</f>
        <v>65.134615384615401</v>
      </c>
      <c r="EC45" s="2">
        <f t="shared" ref="EC45" si="662">100*$AF45/BP45</f>
        <v>69.79487179487181</v>
      </c>
      <c r="ED45" s="2">
        <f t="shared" ref="ED45" si="663">100*$AF45/BQ45</f>
        <v>60.711538461538474</v>
      </c>
      <c r="EE45" s="2">
        <f t="shared" ref="EE45" si="664">100*$AF45/BR45</f>
        <v>61.480769230769234</v>
      </c>
      <c r="EF45" s="2">
        <f t="shared" ref="EF45" si="665">100*$AF45/BS45</f>
        <v>56.583333333333336</v>
      </c>
      <c r="EG45" s="2">
        <f t="shared" ref="EG45" si="666">100*$AF45/BT45</f>
        <v>75.961538461538467</v>
      </c>
      <c r="EH45" s="2">
        <f t="shared" ref="EH45" si="667">100*$AF45/BU45</f>
        <v>74.40865384615384</v>
      </c>
      <c r="EI45" s="2">
        <f t="shared" ref="EI45" si="668">100*$AF45/BV45</f>
        <v>72.552884615384627</v>
      </c>
      <c r="EJ45" s="2">
        <f t="shared" ref="EJ45" si="669">100*$AF45/BW45</f>
        <v>62.697115384615394</v>
      </c>
      <c r="EK45" s="2">
        <f t="shared" ref="EK45" si="670">100*$AF45/BX45</f>
        <v>67.730769230769241</v>
      </c>
      <c r="EL45" s="2">
        <f t="shared" ref="EL45" si="671">100*$AF45/BY45</f>
        <v>59.379807692307701</v>
      </c>
      <c r="EM45" s="2">
        <f t="shared" ref="EM45" si="672">100*$AF45/BZ45</f>
        <v>61.495192307692314</v>
      </c>
      <c r="EN45" s="2">
        <f t="shared" ref="EN45" si="673">100*$AF45/CA45</f>
        <v>57.822115384615387</v>
      </c>
      <c r="EO45" s="2">
        <f t="shared" ref="EO45" si="674">100*$AF45/CB45</f>
        <v>71.153846153846175</v>
      </c>
      <c r="EP45" s="2">
        <f t="shared" ref="EP45" si="675">100*$AF45/CC45</f>
        <v>70.118589743589752</v>
      </c>
      <c r="EQ45" s="2">
        <f t="shared" ref="EQ45" si="676">100*$AF45/CD45</f>
        <v>68.881410256410263</v>
      </c>
      <c r="ER45" s="2">
        <f t="shared" ref="ER45" si="677">100*$AF45/CE45</f>
        <v>60.259615384615387</v>
      </c>
      <c r="ES45" s="2">
        <f t="shared" ref="ES45" si="678">100*$AF45/CF45</f>
        <v>65.666666666666686</v>
      </c>
      <c r="ET45" s="2">
        <f t="shared" ref="ET45" si="679">100*$AF45/CG45</f>
        <v>58.048076923076941</v>
      </c>
      <c r="EU45" s="2">
        <f t="shared" ref="EU45" si="680">100*$AF45/CH45</f>
        <v>61.509615384615401</v>
      </c>
      <c r="EV45" s="2">
        <f t="shared" ref="EV45" si="681">100*$AF45/CI45</f>
        <v>59.060897435897452</v>
      </c>
      <c r="EW45" s="2">
        <f t="shared" ref="EW45" si="682">100*$AF45/CJ45</f>
        <v>66.346153846153854</v>
      </c>
      <c r="EX45" s="2">
        <f t="shared" ref="EX45" si="683">100*$AF45/CK45</f>
        <v>65.828525641025649</v>
      </c>
      <c r="EY45" s="2">
        <f t="shared" ref="EY45" si="684">100*$AF45/CL45</f>
        <v>65.209935897435912</v>
      </c>
      <c r="EZ45" s="2">
        <f t="shared" ref="EZ45" si="685">100*$AF45/CM45</f>
        <v>57.822115384615387</v>
      </c>
      <c r="FA45" s="2">
        <f t="shared" ref="FA45" si="686">100*$AF45/CN45</f>
        <v>63.602564102564109</v>
      </c>
      <c r="FB45" s="2">
        <f t="shared" ref="FB45" si="687">100*$AF45/CO45</f>
        <v>56.716346153846168</v>
      </c>
      <c r="FC45" s="2">
        <f t="shared" ref="FC45" si="688">100*$AF45/CP45</f>
        <v>61.524038461538467</v>
      </c>
      <c r="FD45" s="2">
        <f t="shared" ref="FD45" si="689">100*$AF45/CQ45</f>
        <v>60.299679487179496</v>
      </c>
    </row>
    <row r="46" spans="3:160" x14ac:dyDescent="0.4">
      <c r="C46" s="1" t="s">
        <v>17</v>
      </c>
      <c r="D46" s="1" t="s">
        <v>5</v>
      </c>
      <c r="E46" s="1">
        <v>0.26300000000000001</v>
      </c>
      <c r="F46" s="1">
        <v>0.155</v>
      </c>
      <c r="G46" s="1">
        <v>0.108</v>
      </c>
      <c r="H46" s="1">
        <v>3.9E-2</v>
      </c>
      <c r="I46" s="1">
        <v>3785</v>
      </c>
      <c r="J46" s="1">
        <v>3565</v>
      </c>
      <c r="K46" s="1">
        <v>48</v>
      </c>
      <c r="L46" s="1">
        <v>4576</v>
      </c>
      <c r="M46" s="1">
        <v>5501</v>
      </c>
      <c r="N46" s="1">
        <v>67</v>
      </c>
      <c r="O46" s="1">
        <v>71</v>
      </c>
      <c r="P46" s="1">
        <v>65.5</v>
      </c>
      <c r="Q46" s="1">
        <v>66</v>
      </c>
      <c r="R46" s="1">
        <v>48</v>
      </c>
      <c r="S46" s="1">
        <v>73.5</v>
      </c>
      <c r="T46" s="4">
        <v>0</v>
      </c>
      <c r="U46" s="1">
        <v>2.0009999999999999</v>
      </c>
      <c r="V46" s="1">
        <v>6.2E-2</v>
      </c>
      <c r="W46" s="1">
        <v>4.0199999999999996</v>
      </c>
      <c r="X46" s="1">
        <f t="shared" ref="X46" si="690">H47</f>
        <v>1.7000000000000001E-2</v>
      </c>
      <c r="Y46" s="1">
        <f t="shared" ref="Y46" si="691">H48</f>
        <v>3.7999999999999999E-2</v>
      </c>
      <c r="Z46" s="1">
        <f t="shared" ref="Z46" si="692">H49</f>
        <v>1.7999999999999999E-2</v>
      </c>
      <c r="AA46" s="1">
        <f t="shared" ref="AA46" si="693">H50</f>
        <v>1.6E-2</v>
      </c>
      <c r="AB46" s="1">
        <f t="shared" ref="AB46" si="694">H51</f>
        <v>1.7999999999999999E-2</v>
      </c>
      <c r="AC46" s="1">
        <f t="shared" si="114"/>
        <v>4102.2111766496428</v>
      </c>
      <c r="AE46" s="1" t="s">
        <v>96</v>
      </c>
      <c r="AF46" s="1">
        <v>1</v>
      </c>
      <c r="AG46" s="1">
        <v>0.81499999999999995</v>
      </c>
      <c r="AH46" s="1">
        <v>0.64500000000000002</v>
      </c>
      <c r="AI46" s="1">
        <v>0.39500000000000002</v>
      </c>
      <c r="AJ46" s="1">
        <v>0.36</v>
      </c>
      <c r="AK46" s="1">
        <v>0.245</v>
      </c>
      <c r="AL46" s="1">
        <v>0.14499999999999999</v>
      </c>
      <c r="AM46" s="20">
        <v>6.5000000000000002E-2</v>
      </c>
      <c r="AN46" s="1">
        <v>1</v>
      </c>
      <c r="AO46" s="1">
        <v>0.81499999999999995</v>
      </c>
      <c r="AP46" s="1">
        <v>0.64500000000000002</v>
      </c>
      <c r="AQ46" s="1">
        <v>0.39500000000000002</v>
      </c>
      <c r="AR46" s="1">
        <v>0.36</v>
      </c>
      <c r="AS46" s="1">
        <v>0.245</v>
      </c>
      <c r="AT46" s="1">
        <v>0.14499999999999999</v>
      </c>
      <c r="AU46" s="20">
        <v>6.5000000000000002E-2</v>
      </c>
      <c r="AV46" s="1">
        <v>1</v>
      </c>
      <c r="AW46" s="1">
        <v>0.81499999999999995</v>
      </c>
      <c r="AX46" s="1">
        <v>0.64500000000000002</v>
      </c>
      <c r="AY46" s="1">
        <v>0.39500000000000002</v>
      </c>
      <c r="AZ46" s="1">
        <v>0.36</v>
      </c>
      <c r="BA46" s="1">
        <v>0.245</v>
      </c>
      <c r="BB46" s="1">
        <v>0.14499999999999999</v>
      </c>
      <c r="BC46" s="20">
        <v>6.5000000000000002E-2</v>
      </c>
      <c r="BD46" s="1">
        <v>1</v>
      </c>
      <c r="BE46" s="1">
        <v>0.81499999999999995</v>
      </c>
      <c r="BF46" s="1">
        <v>0.64500000000000002</v>
      </c>
      <c r="BG46" s="1">
        <v>0.39500000000000002</v>
      </c>
      <c r="BH46" s="1">
        <v>0.36</v>
      </c>
      <c r="BI46" s="1">
        <v>0.245</v>
      </c>
      <c r="BJ46" s="1">
        <v>0.14499999999999999</v>
      </c>
      <c r="BK46" s="20">
        <v>6.5000000000000002E-2</v>
      </c>
      <c r="BL46" s="1">
        <v>1</v>
      </c>
      <c r="BM46" s="1">
        <v>0.81499999999999995</v>
      </c>
      <c r="BN46" s="1">
        <v>0.64500000000000002</v>
      </c>
      <c r="BO46" s="1">
        <v>0.39500000000000002</v>
      </c>
      <c r="BP46" s="1">
        <v>0.36</v>
      </c>
      <c r="BQ46" s="1">
        <v>0.245</v>
      </c>
      <c r="BR46" s="1">
        <v>0.14499999999999999</v>
      </c>
      <c r="BS46" s="20">
        <v>6.5000000000000002E-2</v>
      </c>
      <c r="BT46" s="1">
        <v>1</v>
      </c>
      <c r="BU46" s="1">
        <v>0.81499999999999995</v>
      </c>
      <c r="BV46" s="1">
        <v>0.64500000000000002</v>
      </c>
      <c r="BW46" s="1">
        <v>0.39500000000000002</v>
      </c>
      <c r="BX46" s="1">
        <v>0.36</v>
      </c>
      <c r="BY46" s="1">
        <v>0.245</v>
      </c>
      <c r="BZ46" s="1">
        <v>0.14499999999999999</v>
      </c>
      <c r="CA46" s="20">
        <v>6.5000000000000002E-2</v>
      </c>
      <c r="CB46" s="1">
        <v>1</v>
      </c>
      <c r="CC46" s="1">
        <v>0.81499999999999995</v>
      </c>
      <c r="CD46" s="1">
        <v>0.64500000000000002</v>
      </c>
      <c r="CE46" s="1">
        <v>0.39500000000000002</v>
      </c>
      <c r="CF46" s="1">
        <v>0.36</v>
      </c>
      <c r="CG46" s="1">
        <v>0.245</v>
      </c>
      <c r="CH46" s="1">
        <v>0.14499999999999999</v>
      </c>
      <c r="CI46" s="20">
        <v>6.5000000000000002E-2</v>
      </c>
      <c r="CJ46" s="1">
        <v>1</v>
      </c>
      <c r="CK46" s="1">
        <v>0.81499999999999995</v>
      </c>
      <c r="CL46" s="1">
        <v>0.64500000000000002</v>
      </c>
      <c r="CM46" s="1">
        <v>0.39500000000000002</v>
      </c>
      <c r="CN46" s="1">
        <v>0.36</v>
      </c>
      <c r="CO46" s="1">
        <v>0.245</v>
      </c>
      <c r="CP46" s="1">
        <v>0.14499999999999999</v>
      </c>
      <c r="CQ46" s="20">
        <v>6.5000000000000002E-2</v>
      </c>
    </row>
    <row r="47" spans="3:160" x14ac:dyDescent="0.4">
      <c r="C47" s="1" t="s">
        <v>17</v>
      </c>
      <c r="D47" s="1" t="s">
        <v>6</v>
      </c>
      <c r="E47" s="1">
        <v>0.23400000000000001</v>
      </c>
      <c r="F47" s="1">
        <v>0.126</v>
      </c>
      <c r="G47" s="1">
        <v>0.107</v>
      </c>
      <c r="H47" s="1">
        <v>1.7000000000000001E-2</v>
      </c>
      <c r="I47" s="1">
        <v>3785</v>
      </c>
      <c r="J47" s="1">
        <v>3565</v>
      </c>
      <c r="K47" s="1">
        <v>48</v>
      </c>
      <c r="L47" s="1">
        <v>4576</v>
      </c>
      <c r="M47" s="1">
        <v>5501</v>
      </c>
      <c r="N47" s="1">
        <v>67</v>
      </c>
      <c r="O47" s="1">
        <v>71</v>
      </c>
      <c r="P47" s="1">
        <v>65.5</v>
      </c>
      <c r="Q47" s="1">
        <v>66</v>
      </c>
      <c r="R47" s="1">
        <v>48</v>
      </c>
      <c r="S47" s="1">
        <v>73.5</v>
      </c>
      <c r="T47" s="4">
        <v>0</v>
      </c>
      <c r="U47" s="1">
        <v>2.0009999999999999</v>
      </c>
      <c r="V47" s="1">
        <v>6.2E-2</v>
      </c>
      <c r="W47" s="1">
        <v>4.0199999999999996</v>
      </c>
      <c r="X47" s="1">
        <f t="shared" ref="X47" si="695">H47</f>
        <v>1.7000000000000001E-2</v>
      </c>
      <c r="Y47" s="1">
        <f t="shared" ref="Y47" si="696">H48</f>
        <v>3.7999999999999999E-2</v>
      </c>
      <c r="Z47" s="1">
        <f t="shared" ref="Z47" si="697">H49</f>
        <v>1.7999999999999999E-2</v>
      </c>
      <c r="AA47" s="1">
        <f t="shared" ref="AA47" si="698">H50</f>
        <v>1.6E-2</v>
      </c>
      <c r="AB47" s="1">
        <f t="shared" ref="AB47" si="699">H51</f>
        <v>1.7999999999999999E-2</v>
      </c>
      <c r="AC47" s="1">
        <f t="shared" si="114"/>
        <v>4102.2111766496428</v>
      </c>
      <c r="CQ47" s="20"/>
    </row>
    <row r="48" spans="3:160" x14ac:dyDescent="0.4">
      <c r="C48" s="1" t="s">
        <v>17</v>
      </c>
      <c r="D48" s="1" t="s">
        <v>7</v>
      </c>
      <c r="E48" s="1">
        <v>0.26300000000000001</v>
      </c>
      <c r="F48" s="1">
        <v>0.155</v>
      </c>
      <c r="G48" s="1">
        <v>0.108</v>
      </c>
      <c r="H48" s="1">
        <v>3.7999999999999999E-2</v>
      </c>
      <c r="I48" s="1">
        <v>3785</v>
      </c>
      <c r="J48" s="1">
        <v>3565</v>
      </c>
      <c r="K48" s="1">
        <v>48</v>
      </c>
      <c r="L48" s="1">
        <v>4576</v>
      </c>
      <c r="M48" s="1">
        <v>5501</v>
      </c>
      <c r="N48" s="1">
        <v>67</v>
      </c>
      <c r="O48" s="1">
        <v>71</v>
      </c>
      <c r="P48" s="1">
        <v>65.5</v>
      </c>
      <c r="Q48" s="1">
        <v>66</v>
      </c>
      <c r="R48" s="1">
        <v>48</v>
      </c>
      <c r="S48" s="1">
        <v>73.5</v>
      </c>
      <c r="T48" s="4">
        <v>0</v>
      </c>
      <c r="U48" s="1">
        <v>2.0009999999999999</v>
      </c>
      <c r="V48" s="1">
        <v>6.2E-2</v>
      </c>
      <c r="W48" s="1">
        <v>4.0199999999999996</v>
      </c>
      <c r="X48" s="1">
        <f t="shared" ref="X48" si="700">H47</f>
        <v>1.7000000000000001E-2</v>
      </c>
      <c r="Y48" s="1">
        <f t="shared" ref="Y48" si="701">H48</f>
        <v>3.7999999999999999E-2</v>
      </c>
      <c r="Z48" s="1">
        <f t="shared" ref="Z48" si="702">H49</f>
        <v>1.7999999999999999E-2</v>
      </c>
      <c r="AA48" s="1">
        <f t="shared" ref="AA48" si="703">H50</f>
        <v>1.6E-2</v>
      </c>
      <c r="AB48" s="1">
        <f t="shared" ref="AB48" si="704">H51</f>
        <v>1.7999999999999999E-2</v>
      </c>
      <c r="AC48" s="1">
        <f t="shared" si="114"/>
        <v>4102.2111766496428</v>
      </c>
      <c r="AE48" s="1" t="s">
        <v>97</v>
      </c>
      <c r="AF48" s="1">
        <v>0</v>
      </c>
      <c r="AG48" s="1">
        <v>0.12</v>
      </c>
      <c r="AH48" s="1">
        <v>0.21</v>
      </c>
      <c r="AI48" s="1">
        <v>0.26</v>
      </c>
      <c r="AJ48" s="1">
        <v>0.28000000000000003</v>
      </c>
      <c r="AK48" s="1">
        <v>0.26</v>
      </c>
      <c r="AL48" s="1">
        <v>0.21</v>
      </c>
      <c r="AM48" s="20">
        <v>0.12</v>
      </c>
      <c r="AN48" s="1">
        <v>0</v>
      </c>
      <c r="AO48" s="1">
        <v>0.12</v>
      </c>
      <c r="AP48" s="1">
        <v>0.21</v>
      </c>
      <c r="AQ48" s="1">
        <v>0.26</v>
      </c>
      <c r="AR48" s="1">
        <v>0.28000000000000003</v>
      </c>
      <c r="AS48" s="1">
        <v>0.26</v>
      </c>
      <c r="AT48" s="1">
        <v>0.21</v>
      </c>
      <c r="AU48" s="20">
        <v>0.12</v>
      </c>
      <c r="AV48" s="1">
        <v>0</v>
      </c>
      <c r="AW48" s="1">
        <v>0.12</v>
      </c>
      <c r="AX48" s="1">
        <v>0.21</v>
      </c>
      <c r="AY48" s="1">
        <v>0.26</v>
      </c>
      <c r="AZ48" s="1">
        <v>0.28000000000000003</v>
      </c>
      <c r="BA48" s="1">
        <v>0.26</v>
      </c>
      <c r="BB48" s="1">
        <v>0.21</v>
      </c>
      <c r="BC48" s="20">
        <v>0.12</v>
      </c>
      <c r="BD48" s="1">
        <v>0</v>
      </c>
      <c r="BE48" s="1">
        <v>0.12</v>
      </c>
      <c r="BF48" s="1">
        <v>0.21</v>
      </c>
      <c r="BG48" s="1">
        <v>0.26</v>
      </c>
      <c r="BH48" s="1">
        <v>0.28000000000000003</v>
      </c>
      <c r="BI48" s="1">
        <v>0.26</v>
      </c>
      <c r="BJ48" s="1">
        <v>0.21</v>
      </c>
      <c r="BK48" s="20">
        <v>0.12</v>
      </c>
      <c r="BL48" s="1">
        <v>0</v>
      </c>
      <c r="BM48" s="1">
        <v>0.12</v>
      </c>
      <c r="BN48" s="1">
        <v>0.21</v>
      </c>
      <c r="BO48" s="1">
        <v>0.26</v>
      </c>
      <c r="BP48" s="1">
        <v>0.28000000000000003</v>
      </c>
      <c r="BQ48" s="1">
        <v>0.26</v>
      </c>
      <c r="BR48" s="1">
        <v>0.21</v>
      </c>
      <c r="BS48" s="20">
        <v>0.12</v>
      </c>
      <c r="BT48" s="1">
        <v>0</v>
      </c>
      <c r="BU48" s="1">
        <v>0.12</v>
      </c>
      <c r="BV48" s="1">
        <v>0.21</v>
      </c>
      <c r="BW48" s="1">
        <v>0.26</v>
      </c>
      <c r="BX48" s="1">
        <v>0.28000000000000003</v>
      </c>
      <c r="BY48" s="1">
        <v>0.26</v>
      </c>
      <c r="BZ48" s="1">
        <v>0.21</v>
      </c>
      <c r="CA48" s="20">
        <v>0.12</v>
      </c>
      <c r="CB48" s="1">
        <v>0</v>
      </c>
      <c r="CC48" s="1">
        <v>0.12</v>
      </c>
      <c r="CD48" s="1">
        <v>0.21</v>
      </c>
      <c r="CE48" s="1">
        <v>0.26</v>
      </c>
      <c r="CF48" s="1">
        <v>0.28000000000000003</v>
      </c>
      <c r="CG48" s="1">
        <v>0.26</v>
      </c>
      <c r="CH48" s="1">
        <v>0.21</v>
      </c>
      <c r="CI48" s="20">
        <v>0.12</v>
      </c>
      <c r="CJ48" s="1">
        <v>0</v>
      </c>
      <c r="CK48" s="1">
        <v>0.12</v>
      </c>
      <c r="CL48" s="1">
        <v>0.21</v>
      </c>
      <c r="CM48" s="1">
        <v>0.26</v>
      </c>
      <c r="CN48" s="1">
        <v>0.28000000000000003</v>
      </c>
      <c r="CO48" s="1">
        <v>0.26</v>
      </c>
      <c r="CP48" s="1">
        <v>0.21</v>
      </c>
      <c r="CQ48" s="20">
        <v>0.12</v>
      </c>
    </row>
    <row r="49" spans="3:160" x14ac:dyDescent="0.4">
      <c r="C49" s="1" t="s">
        <v>17</v>
      </c>
      <c r="D49" s="1" t="s">
        <v>8</v>
      </c>
      <c r="E49" s="1">
        <v>0.23499999999999999</v>
      </c>
      <c r="F49" s="1">
        <v>0.128</v>
      </c>
      <c r="G49" s="1">
        <v>0.107</v>
      </c>
      <c r="H49" s="1">
        <v>1.7999999999999999E-2</v>
      </c>
      <c r="I49" s="1">
        <v>3785</v>
      </c>
      <c r="J49" s="1">
        <v>3565</v>
      </c>
      <c r="K49" s="1">
        <v>48</v>
      </c>
      <c r="L49" s="1">
        <v>4576</v>
      </c>
      <c r="M49" s="1">
        <v>5501</v>
      </c>
      <c r="N49" s="1">
        <v>67</v>
      </c>
      <c r="O49" s="1">
        <v>71</v>
      </c>
      <c r="P49" s="1">
        <v>65.5</v>
      </c>
      <c r="Q49" s="1">
        <v>66</v>
      </c>
      <c r="R49" s="1">
        <v>48</v>
      </c>
      <c r="S49" s="1">
        <v>73.5</v>
      </c>
      <c r="T49" s="4">
        <v>0</v>
      </c>
      <c r="U49" s="1">
        <v>2.0009999999999999</v>
      </c>
      <c r="V49" s="1">
        <v>6.2E-2</v>
      </c>
      <c r="W49" s="1">
        <v>4.0199999999999996</v>
      </c>
      <c r="X49" s="1">
        <f t="shared" ref="X49" si="705">H47</f>
        <v>1.7000000000000001E-2</v>
      </c>
      <c r="Y49" s="1">
        <f t="shared" ref="Y49" si="706">H48</f>
        <v>3.7999999999999999E-2</v>
      </c>
      <c r="Z49" s="1">
        <f t="shared" ref="Z49" si="707">H49</f>
        <v>1.7999999999999999E-2</v>
      </c>
      <c r="AA49" s="1">
        <f t="shared" ref="AA49" si="708">H50</f>
        <v>1.6E-2</v>
      </c>
      <c r="AB49" s="1">
        <f t="shared" ref="AB49" si="709">H51</f>
        <v>1.7999999999999999E-2</v>
      </c>
      <c r="AC49" s="1">
        <f t="shared" si="114"/>
        <v>4102.2111766496428</v>
      </c>
      <c r="CQ49" s="20"/>
    </row>
    <row r="50" spans="3:160" x14ac:dyDescent="0.4">
      <c r="C50" s="1" t="s">
        <v>17</v>
      </c>
      <c r="D50" s="1" t="s">
        <v>9</v>
      </c>
      <c r="E50" s="1">
        <v>0.23200000000000001</v>
      </c>
      <c r="F50" s="1">
        <v>0.125</v>
      </c>
      <c r="G50" s="1">
        <v>0.107</v>
      </c>
      <c r="H50" s="1">
        <v>1.6E-2</v>
      </c>
      <c r="I50" s="1">
        <v>3785</v>
      </c>
      <c r="J50" s="1">
        <v>3565</v>
      </c>
      <c r="K50" s="1">
        <v>48</v>
      </c>
      <c r="L50" s="1">
        <v>4576</v>
      </c>
      <c r="M50" s="1">
        <v>5501</v>
      </c>
      <c r="N50" s="1">
        <v>67</v>
      </c>
      <c r="O50" s="1">
        <v>71</v>
      </c>
      <c r="P50" s="1">
        <v>65.5</v>
      </c>
      <c r="Q50" s="1">
        <v>66</v>
      </c>
      <c r="R50" s="1">
        <v>48</v>
      </c>
      <c r="S50" s="1">
        <v>73.5</v>
      </c>
      <c r="T50" s="4">
        <v>0</v>
      </c>
      <c r="U50" s="1">
        <v>2.0009999999999999</v>
      </c>
      <c r="V50" s="1">
        <v>6.2E-2</v>
      </c>
      <c r="W50" s="1">
        <v>4.0199999999999996</v>
      </c>
      <c r="X50" s="1">
        <f t="shared" ref="X50" si="710">H47</f>
        <v>1.7000000000000001E-2</v>
      </c>
      <c r="Y50" s="1">
        <f t="shared" ref="Y50" si="711">H48</f>
        <v>3.7999999999999999E-2</v>
      </c>
      <c r="Z50" s="1">
        <f t="shared" ref="Z50" si="712">H49</f>
        <v>1.7999999999999999E-2</v>
      </c>
      <c r="AA50" s="1">
        <f t="shared" ref="AA50" si="713">H50</f>
        <v>1.6E-2</v>
      </c>
      <c r="AB50" s="1">
        <f t="shared" ref="AB50" si="714">H51</f>
        <v>1.7999999999999999E-2</v>
      </c>
      <c r="AC50" s="1">
        <f t="shared" si="114"/>
        <v>4102.2111766496428</v>
      </c>
      <c r="AE50" s="1" t="s">
        <v>98</v>
      </c>
      <c r="AF50" s="1">
        <v>0</v>
      </c>
      <c r="AG50" s="1">
        <v>6.5000000000000002E-2</v>
      </c>
      <c r="AH50" s="1">
        <v>0.14499999999999999</v>
      </c>
      <c r="AI50" s="1">
        <v>0.245</v>
      </c>
      <c r="AJ50" s="1">
        <v>0.36</v>
      </c>
      <c r="AK50" s="1">
        <v>0.39500000000000002</v>
      </c>
      <c r="AL50" s="1">
        <v>0.64500000000000002</v>
      </c>
      <c r="AM50" s="20">
        <v>0.81499999999999995</v>
      </c>
      <c r="AN50" s="1">
        <v>0</v>
      </c>
      <c r="AO50" s="1">
        <v>6.5000000000000002E-2</v>
      </c>
      <c r="AP50" s="1">
        <v>0.14499999999999999</v>
      </c>
      <c r="AQ50" s="1">
        <v>0.245</v>
      </c>
      <c r="AR50" s="1">
        <v>0.36</v>
      </c>
      <c r="AS50" s="1">
        <v>0.39500000000000002</v>
      </c>
      <c r="AT50" s="1">
        <v>0.64500000000000002</v>
      </c>
      <c r="AU50" s="20">
        <v>0.81499999999999995</v>
      </c>
      <c r="AV50" s="1">
        <v>0</v>
      </c>
      <c r="AW50" s="1">
        <v>6.5000000000000002E-2</v>
      </c>
      <c r="AX50" s="1">
        <v>0.14499999999999999</v>
      </c>
      <c r="AY50" s="1">
        <v>0.245</v>
      </c>
      <c r="AZ50" s="1">
        <v>0.36</v>
      </c>
      <c r="BA50" s="1">
        <v>0.39500000000000002</v>
      </c>
      <c r="BB50" s="1">
        <v>0.64500000000000002</v>
      </c>
      <c r="BC50" s="20">
        <v>0.81499999999999995</v>
      </c>
      <c r="BD50" s="1">
        <v>0</v>
      </c>
      <c r="BE50" s="1">
        <v>6.5000000000000002E-2</v>
      </c>
      <c r="BF50" s="1">
        <v>0.14499999999999999</v>
      </c>
      <c r="BG50" s="1">
        <v>0.245</v>
      </c>
      <c r="BH50" s="1">
        <v>0.36</v>
      </c>
      <c r="BI50" s="1">
        <v>0.39500000000000002</v>
      </c>
      <c r="BJ50" s="1">
        <v>0.64500000000000002</v>
      </c>
      <c r="BK50" s="20">
        <v>0.81499999999999995</v>
      </c>
      <c r="BL50" s="1">
        <v>0</v>
      </c>
      <c r="BM50" s="1">
        <v>6.5000000000000002E-2</v>
      </c>
      <c r="BN50" s="1">
        <v>0.14499999999999999</v>
      </c>
      <c r="BO50" s="1">
        <v>0.245</v>
      </c>
      <c r="BP50" s="1">
        <v>0.36</v>
      </c>
      <c r="BQ50" s="1">
        <v>0.39500000000000002</v>
      </c>
      <c r="BR50" s="1">
        <v>0.64500000000000002</v>
      </c>
      <c r="BS50" s="20">
        <v>0.81499999999999995</v>
      </c>
      <c r="BT50" s="1">
        <v>0</v>
      </c>
      <c r="BU50" s="1">
        <v>6.5000000000000002E-2</v>
      </c>
      <c r="BV50" s="1">
        <v>0.14499999999999999</v>
      </c>
      <c r="BW50" s="1">
        <v>0.245</v>
      </c>
      <c r="BX50" s="1">
        <v>0.36</v>
      </c>
      <c r="BY50" s="1">
        <v>0.39500000000000002</v>
      </c>
      <c r="BZ50" s="1">
        <v>0.64500000000000002</v>
      </c>
      <c r="CA50" s="20">
        <v>0.81499999999999995</v>
      </c>
      <c r="CB50" s="1">
        <v>0</v>
      </c>
      <c r="CC50" s="1">
        <v>6.5000000000000002E-2</v>
      </c>
      <c r="CD50" s="1">
        <v>0.14499999999999999</v>
      </c>
      <c r="CE50" s="1">
        <v>0.245</v>
      </c>
      <c r="CF50" s="1">
        <v>0.36</v>
      </c>
      <c r="CG50" s="1">
        <v>0.39500000000000002</v>
      </c>
      <c r="CH50" s="1">
        <v>0.64500000000000002</v>
      </c>
      <c r="CI50" s="20">
        <v>0.81499999999999995</v>
      </c>
      <c r="CJ50" s="1">
        <v>0</v>
      </c>
      <c r="CK50" s="1">
        <v>6.5000000000000002E-2</v>
      </c>
      <c r="CL50" s="1">
        <v>0.14499999999999999</v>
      </c>
      <c r="CM50" s="1">
        <v>0.245</v>
      </c>
      <c r="CN50" s="1">
        <v>0.36</v>
      </c>
      <c r="CO50" s="1">
        <v>0.39500000000000002</v>
      </c>
      <c r="CP50" s="1">
        <v>0.64500000000000002</v>
      </c>
      <c r="CQ50" s="20">
        <v>0.81499999999999995</v>
      </c>
    </row>
    <row r="51" spans="3:160" s="2" customFormat="1" x14ac:dyDescent="0.4">
      <c r="C51" s="2" t="s">
        <v>17</v>
      </c>
      <c r="D51" s="2" t="s">
        <v>10</v>
      </c>
      <c r="E51" s="2">
        <v>0.23499999999999999</v>
      </c>
      <c r="F51" s="2">
        <v>0.128</v>
      </c>
      <c r="G51" s="2">
        <v>0.107</v>
      </c>
      <c r="H51" s="2">
        <v>1.7999999999999999E-2</v>
      </c>
      <c r="I51" s="2">
        <v>3785</v>
      </c>
      <c r="J51" s="2">
        <v>3565</v>
      </c>
      <c r="K51" s="2">
        <v>48</v>
      </c>
      <c r="L51" s="2">
        <v>4576</v>
      </c>
      <c r="M51" s="2">
        <v>5501</v>
      </c>
      <c r="N51" s="2">
        <v>67</v>
      </c>
      <c r="O51" s="2">
        <v>71</v>
      </c>
      <c r="P51" s="2">
        <v>65.5</v>
      </c>
      <c r="Q51" s="2">
        <v>66</v>
      </c>
      <c r="R51" s="2">
        <v>48</v>
      </c>
      <c r="S51" s="2">
        <v>73.5</v>
      </c>
      <c r="T51" s="6">
        <f t="shared" ref="T51:T99" si="715">(N46*O46*P46*Q46*R46*S46)/(I46*J46*K46*(F46*H46 + F47*H47 + F48*H48 + F49*H49 + F50*H50 + F51*H51))</f>
        <v>5415.3282035244256</v>
      </c>
      <c r="U51" s="2">
        <v>2.0009999999999999</v>
      </c>
      <c r="V51" s="2">
        <v>6.2E-2</v>
      </c>
      <c r="W51" s="2">
        <v>4.0199999999999996</v>
      </c>
      <c r="X51" s="2">
        <f t="shared" ref="X51" si="716">H47</f>
        <v>1.7000000000000001E-2</v>
      </c>
      <c r="Y51" s="2">
        <f t="shared" ref="Y51" si="717">H48</f>
        <v>3.7999999999999999E-2</v>
      </c>
      <c r="Z51" s="2">
        <f t="shared" ref="Z51" si="718">H49</f>
        <v>1.7999999999999999E-2</v>
      </c>
      <c r="AA51" s="2">
        <f t="shared" ref="AA51" si="719">H50</f>
        <v>1.6E-2</v>
      </c>
      <c r="AB51" s="2">
        <f t="shared" ref="AB51" si="720">H51</f>
        <v>1.7999999999999999E-2</v>
      </c>
      <c r="AC51" s="1">
        <f t="shared" si="114"/>
        <v>4102.2111766496428</v>
      </c>
      <c r="AE51" s="2" t="s">
        <v>99</v>
      </c>
      <c r="AF51" s="23">
        <f>($O51*$Q51*$S51)^(1/3)/(AF46*((1-AF$2)*$H46+AF$2*$H47) + AF48*((1-AF$2)*$H48+AF$2*$H49) + AF50*((1-AF$2)*$H50+AF$2*$H51))</f>
        <v>1797.347012333353</v>
      </c>
      <c r="AG51" s="23">
        <f t="shared" ref="AG51" si="721">($O51*$Q51*$S51)^(1/3)/(AG46*((1-AG$2)*$H46+AG$2*$H47) + AG48*((1-AG$2)*$H48+AG$2*$H49) + AG50*((1-AG$2)*$H50+AG$2*$H51))</f>
        <v>1874.9908648121107</v>
      </c>
      <c r="AH51" s="23">
        <f t="shared" ref="AH51" si="722">($O51*$Q51*$S51)^(1/3)/(AH46*((1-AH$2)*$H46+AH$2*$H47) + AH48*((1-AH$2)*$H48+AH$2*$H49) + AH50*((1-AH$2)*$H50+AH$2*$H51))</f>
        <v>1977.0563666901921</v>
      </c>
      <c r="AI51" s="23">
        <f t="shared" ref="AI51" si="723">($O51*$Q51*$S51)^(1/3)/(AI46*((1-AI$2)*$H46+AI$2*$H47) + AI48*((1-AI$2)*$H48+AI$2*$H49) + AI50*((1-AI$2)*$H50+AI$2*$H51))</f>
        <v>2400.1552296182422</v>
      </c>
      <c r="AJ51" s="23">
        <f t="shared" ref="AJ51" si="724">($O51*$Q51*$S51)^(1/3)/(AJ46*((1-AJ$2)*$H46+AJ$2*$H47) + AJ48*((1-AJ$2)*$H48+AJ$2*$H49) + AJ50*((1-AJ$2)*$H50+AJ$2*$H51))</f>
        <v>2302.7770525952942</v>
      </c>
      <c r="AK51" s="23">
        <f t="shared" ref="AK51" si="725">($O51*$Q51*$S51)^(1/3)/(AK46*((1-AK$2)*$H46+AK$2*$H47) + AK48*((1-AK$2)*$H48+AK$2*$H49) + AK50*((1-AK$2)*$H50+AK$2*$H51))</f>
        <v>2721.6669959619785</v>
      </c>
      <c r="AL51" s="23">
        <f t="shared" ref="AL51" si="726">($O51*$Q51*$S51)^(1/3)/(AL46*((1-AL$2)*$H46+AL$2*$H47) + AL48*((1-AL$2)*$H48+AL$2*$H49) + AL50*((1-AL$2)*$H50+AL$2*$H51))</f>
        <v>2926.175474055553</v>
      </c>
      <c r="AM51" s="23">
        <f t="shared" ref="AM51" si="727">($O51*$Q51*$S51)^(1/3)/(AM46*((1-AM$2)*$H46+AM$2*$H47) + AM48*((1-AM$2)*$H48+AM$2*$H49) + AM50*((1-AM$2)*$H50+AM$2*$H51))</f>
        <v>3481.3277119940781</v>
      </c>
      <c r="AN51" s="23">
        <f t="shared" ref="AN51" si="728">($O51*$Q51*$S51)^(1/3)/(AN46*((1-AN$2)*$H46+AN$2*$H47) + AN48*((1-AN$2)*$H48+AN$2*$H49) + AN50*((1-AN$2)*$H50+AN$2*$H51))</f>
        <v>1933.6974753379518</v>
      </c>
      <c r="AO51" s="23">
        <f t="shared" ref="AO51" si="729">($O51*$Q51*$S51)^(1/3)/(AO46*((1-AO$2)*$H46+AO$2*$H47) + AO48*((1-AO$2)*$H48+AO$2*$H49) + AO50*((1-AO$2)*$H50+AO$2*$H51))</f>
        <v>2010.8013046758679</v>
      </c>
      <c r="AP51" s="23">
        <f t="shared" ref="AP51" si="730">($O51*$Q51*$S51)^(1/3)/(AP46*((1-AP$2)*$H46+AP$2*$H47) + AP48*((1-AP$2)*$H48+AP$2*$H49) + AP50*((1-AP$2)*$H50+AP$2*$H51))</f>
        <v>2111.8184373277327</v>
      </c>
      <c r="AQ51" s="23">
        <f t="shared" ref="AQ51" si="731">($O51*$Q51*$S51)^(1/3)/(AQ46*((1-AQ$2)*$H46+AQ$2*$H47) + AQ48*((1-AQ$2)*$H48+AQ$2*$H49) + AQ50*((1-AQ$2)*$H50+AQ$2*$H51))</f>
        <v>2546.1871950962859</v>
      </c>
      <c r="AR51" s="23">
        <f t="shared" ref="AR51" si="732">($O51*$Q51*$S51)^(1/3)/(AR46*((1-AR$2)*$H46+AR$2*$H47) + AR48*((1-AR$2)*$H48+AR$2*$H49) + AR50*((1-AR$2)*$H50+AR$2*$H51))</f>
        <v>2430.5316740985004</v>
      </c>
      <c r="AS51" s="23">
        <f t="shared" ref="AS51" si="733">($O51*$Q51*$S51)^(1/3)/(AS46*((1-AS$2)*$H46+AS$2*$H47) + AS48*((1-AS$2)*$H48+AS$2*$H49) + AS50*((1-AS$2)*$H50+AS$2*$H51))</f>
        <v>2857.5839168773236</v>
      </c>
      <c r="AT51" s="23">
        <f t="shared" ref="AT51" si="734">($O51*$Q51*$S51)^(1/3)/(AT46*((1-AT$2)*$H46+AT$2*$H47) + AT48*((1-AT$2)*$H48+AT$2*$H49) + AT50*((1-AT$2)*$H50+AT$2*$H51))</f>
        <v>3022.3793675110815</v>
      </c>
      <c r="AU51" s="23">
        <f t="shared" ref="AU51" si="735">($O51*$Q51*$S51)^(1/3)/(AU46*((1-AU$2)*$H46+AU$2*$H47) + AU48*((1-AU$2)*$H48+AU$2*$H49) + AU50*((1-AU$2)*$H50+AU$2*$H51))</f>
        <v>3529.533407905375</v>
      </c>
      <c r="AV51" s="23">
        <f t="shared" ref="AV51" si="736">($O51*$Q51*$S51)^(1/3)/(AV46*((1-AV$2)*$H46+AV$2*$H47) + AV48*((1-AV$2)*$H48+AV$2*$H49) + AV50*((1-AV$2)*$H50+AV$2*$H51))</f>
        <v>2092.4338352537538</v>
      </c>
      <c r="AW51" s="23">
        <f t="shared" ref="AW51" si="737">($O51*$Q51*$S51)^(1/3)/(AW46*((1-AW$2)*$H46+AW$2*$H47) + AW48*((1-AW$2)*$H48+AW$2*$H49) + AW50*((1-AW$2)*$H50+AW$2*$H51))</f>
        <v>2167.8222817690048</v>
      </c>
      <c r="AX51" s="23">
        <f t="shared" ref="AX51" si="738">($O51*$Q51*$S51)^(1/3)/(AX46*((1-AX$2)*$H46+AX$2*$H47) + AX48*((1-AX$2)*$H48+AX$2*$H49) + AX50*((1-AX$2)*$H50+AX$2*$H51))</f>
        <v>2266.2959418364294</v>
      </c>
      <c r="AY51" s="23">
        <f t="shared" ref="AY51" si="739">($O51*$Q51*$S51)^(1/3)/(AY46*((1-AY$2)*$H46+AY$2*$H47) + AY48*((1-AY$2)*$H48+AY$2*$H49) + AY50*((1-AY$2)*$H50+AY$2*$H51))</f>
        <v>2711.1403396248602</v>
      </c>
      <c r="AZ51" s="23">
        <f t="shared" ref="AZ51" si="740">($O51*$Q51*$S51)^(1/3)/(AZ46*((1-AZ$2)*$H46+AZ$2*$H47) + AZ48*((1-AZ$2)*$H48+AZ$2*$H49) + AZ50*((1-AZ$2)*$H50+AZ$2*$H51))</f>
        <v>2573.2941806534786</v>
      </c>
      <c r="BA51" s="23">
        <f t="shared" ref="BA51" si="741">($O51*$Q51*$S51)^(1/3)/(BA46*((1-BA$2)*$H46+BA$2*$H47) + BA48*((1-BA$2)*$H48+BA$2*$H49) + BA50*((1-BA$2)*$H50+BA$2*$H51))</f>
        <v>3007.7894649646328</v>
      </c>
      <c r="BB51" s="23">
        <f t="shared" ref="BB51" si="742">($O51*$Q51*$S51)^(1/3)/(BB46*((1-BB$2)*$H46+BB$2*$H47) + BB48*((1-BB$2)*$H48+BB$2*$H49) + BB50*((1-BB$2)*$H50+BB$2*$H51))</f>
        <v>3125.124096344216</v>
      </c>
      <c r="BC51" s="23">
        <f t="shared" ref="BC51" si="743">($O51*$Q51*$S51)^(1/3)/(BC46*((1-BC$2)*$H46+BC$2*$H47) + BC48*((1-BC$2)*$H48+BC$2*$H49) + BC50*((1-BC$2)*$H50+BC$2*$H51))</f>
        <v>3579.0928507021072</v>
      </c>
      <c r="BD51" s="23">
        <f t="shared" ref="BD51" si="744">($O51*$Q51*$S51)^(1/3)/(BD46*((1-BD$2)*$H46+BD$2*$H47) + BD48*((1-BD$2)*$H48+BD$2*$H49) + BD50*((1-BD$2)*$H50+BD$2*$H51))</f>
        <v>2279.5620644227893</v>
      </c>
      <c r="BE51" s="23">
        <f t="shared" ref="BE51" si="745">($O51*$Q51*$S51)^(1/3)/(BE46*((1-BE$2)*$H46+BE$2*$H47) + BE48*((1-BE$2)*$H48+BE$2*$H49) + BE50*((1-BE$2)*$H50+BE$2*$H51))</f>
        <v>2351.4435921167651</v>
      </c>
      <c r="BF51" s="23">
        <f t="shared" ref="BF51" si="746">($O51*$Q51*$S51)^(1/3)/(BF46*((1-BF$2)*$H46+BF$2*$H47) + BF48*((1-BF$2)*$H48+BF$2*$H49) + BF50*((1-BF$2)*$H50+BF$2*$H51))</f>
        <v>2445.1568319874691</v>
      </c>
      <c r="BG51" s="23">
        <f t="shared" ref="BG51" si="747">($O51*$Q51*$S51)^(1/3)/(BG46*((1-BG$2)*$H46+BG$2*$H47) + BG48*((1-BG$2)*$H48+BG$2*$H49) + BG50*((1-BG$2)*$H50+BG$2*$H51))</f>
        <v>2898.9467940860532</v>
      </c>
      <c r="BH51" s="23">
        <f t="shared" ref="BH51" si="748">($O51*$Q51*$S51)^(1/3)/(BH46*((1-BH$2)*$H46+BH$2*$H47) + BH48*((1-BH$2)*$H48+BH$2*$H49) + BH50*((1-BH$2)*$H50+BH$2*$H51))</f>
        <v>2733.8741607254583</v>
      </c>
      <c r="BI51" s="23">
        <f t="shared" ref="BI51" si="749">($O51*$Q51*$S51)^(1/3)/(BI46*((1-BI$2)*$H46+BI$2*$H47) + BI48*((1-BI$2)*$H48+BI$2*$H49) + BI50*((1-BI$2)*$H50+BI$2*$H51))</f>
        <v>3174.6618424366288</v>
      </c>
      <c r="BJ51" s="23">
        <f t="shared" ref="BJ51" si="750">($O51*$Q51*$S51)^(1/3)/(BJ46*((1-BJ$2)*$H46+BJ$2*$H47) + BJ48*((1-BJ$2)*$H48+BJ$2*$H49) + BJ50*((1-BJ$2)*$H50+BJ$2*$H51))</f>
        <v>3235.1001952694478</v>
      </c>
      <c r="BK51" s="23">
        <f t="shared" ref="BK51" si="751">($O51*$Q51*$S51)^(1/3)/(BK46*((1-BK$2)*$H46+BK$2*$H47) + BK48*((1-BK$2)*$H48+BK$2*$H49) + BK50*((1-BK$2)*$H50+BK$2*$H51))</f>
        <v>3630.0638778353577</v>
      </c>
      <c r="BL51" s="23">
        <f t="shared" ref="BL51" si="752">($O51*$Q51*$S51)^(1/3)/(BL46*((1-BL$2)*$H46+BL$2*$H47) + BL48*((1-BL$2)*$H48+BL$2*$H49) + BL50*((1-BL$2)*$H50+BL$2*$H51))</f>
        <v>2503.4476243214558</v>
      </c>
      <c r="BM51" s="23">
        <f t="shared" ref="BM51" si="753">($O51*$Q51*$S51)^(1/3)/(BM46*((1-BM$2)*$H46+BM$2*$H47) + BM48*((1-BM$2)*$H48+BM$2*$H49) + BM50*((1-BM$2)*$H50+BM$2*$H51))</f>
        <v>2569.0501550669146</v>
      </c>
      <c r="BN51" s="23">
        <f t="shared" ref="BN51" si="754">($O51*$Q51*$S51)^(1/3)/(BN46*((1-BN$2)*$H46+BN$2*$H47) + BN48*((1-BN$2)*$H48+BN$2*$H49) + BN50*((1-BN$2)*$H50+BN$2*$H51))</f>
        <v>2654.6689445559846</v>
      </c>
      <c r="BO51" s="23">
        <f t="shared" ref="BO51" si="755">($O51*$Q51*$S51)^(1/3)/(BO46*((1-BO$2)*$H46+BO$2*$H47) + BO48*((1-BO$2)*$H48+BO$2*$H49) + BO50*((1-BO$2)*$H50+BO$2*$H51))</f>
        <v>3114.7093304154973</v>
      </c>
      <c r="BP51" s="23">
        <f t="shared" ref="BP51" si="756">($O51*$Q51*$S51)^(1/3)/(BP46*((1-BP$2)*$H46+BP$2*$H47) + BP48*((1-BP$2)*$H48+BP$2*$H49) + BP50*((1-BP$2)*$H50+BP$2*$H51))</f>
        <v>2915.8291797421284</v>
      </c>
      <c r="BQ51" s="23">
        <f t="shared" ref="BQ51" si="757">($O51*$Q51*$S51)^(1/3)/(BQ46*((1-BQ$2)*$H46+BQ$2*$H47) + BQ48*((1-BQ$2)*$H48+BQ$2*$H49) + BQ50*((1-BQ$2)*$H50+BQ$2*$H51))</f>
        <v>3361.1380235435513</v>
      </c>
      <c r="BR51" s="23">
        <f t="shared" ref="BR51" si="758">($O51*$Q51*$S51)^(1/3)/(BR46*((1-BR$2)*$H46+BR$2*$H47) + BR48*((1-BR$2)*$H48+BR$2*$H49) + BR50*((1-BR$2)*$H50+BR$2*$H51))</f>
        <v>3353.0989467113495</v>
      </c>
      <c r="BS51" s="23">
        <f t="shared" ref="BS51" si="759">($O51*$Q51*$S51)^(1/3)/(BS46*((1-BS$2)*$H46+BS$2*$H47) + BS48*((1-BS$2)*$H48+BS$2*$H49) + BS50*((1-BS$2)*$H50+BS$2*$H51))</f>
        <v>3682.5076690833075</v>
      </c>
      <c r="BT51" s="23">
        <f t="shared" ref="BT51" si="760">($O51*$Q51*$S51)^(1/3)/(BT46*((1-BT$2)*$H46+BT$2*$H47) + BT48*((1-BT$2)*$H48+BT$2*$H49) + BT50*((1-BT$2)*$H50+BT$2*$H51))</f>
        <v>2776.1003358812181</v>
      </c>
      <c r="BU51" s="23">
        <f t="shared" ref="BU51" si="761">($O51*$Q51*$S51)^(1/3)/(BU46*((1-BU$2)*$H46+BU$2*$H47) + BU48*((1-BU$2)*$H48+BU$2*$H49) + BU50*((1-BU$2)*$H50+BU$2*$H51))</f>
        <v>2831.03931668016</v>
      </c>
      <c r="BV51" s="23">
        <f t="shared" ref="BV51" si="762">($O51*$Q51*$S51)^(1/3)/(BV46*((1-BV$2)*$H46+BV$2*$H47) + BV48*((1-BV$2)*$H48+BV$2*$H49) + BV50*((1-BV$2)*$H50+BV$2*$H51))</f>
        <v>2903.4496626695977</v>
      </c>
      <c r="BW51" s="23">
        <f t="shared" ref="BW51" si="763">($O51*$Q51*$S51)^(1/3)/(BW46*((1-BW$2)*$H46+BW$2*$H47) + BW48*((1-BW$2)*$H48+BW$2*$H49) + BW50*((1-BW$2)*$H50+BW$2*$H51))</f>
        <v>3365.1720346135744</v>
      </c>
      <c r="BX51" s="23">
        <f t="shared" ref="BX51" si="764">($O51*$Q51*$S51)^(1/3)/(BX46*((1-BX$2)*$H46+BX$2*$H47) + BX48*((1-BX$2)*$H48+BX$2*$H49) + BX50*((1-BX$2)*$H50+BX$2*$H51))</f>
        <v>3123.731438547271</v>
      </c>
      <c r="BY51" s="23">
        <f t="shared" ref="BY51" si="765">($O51*$Q51*$S51)^(1/3)/(BY46*((1-BY$2)*$H46+BY$2*$H47) + BY48*((1-BY$2)*$H48+BY$2*$H49) + BY50*((1-BY$2)*$H50+BY$2*$H51))</f>
        <v>3570.8881039735484</v>
      </c>
      <c r="BZ51" s="23">
        <f t="shared" ref="BZ51" si="766">($O51*$Q51*$S51)^(1/3)/(BZ46*((1-BZ$2)*$H46+BZ$2*$H47) + BZ48*((1-BZ$2)*$H48+BZ$2*$H49) + BZ50*((1-BZ$2)*$H50+BZ$2*$H51))</f>
        <v>3480.0314499690089</v>
      </c>
      <c r="CA51" s="23">
        <f t="shared" ref="CA51" si="767">($O51*$Q51*$S51)^(1/3)/(CA46*((1-CA$2)*$H46+CA$2*$H47) + CA48*((1-CA$2)*$H48+CA$2*$H49) + CA50*((1-CA$2)*$H50+CA$2*$H51))</f>
        <v>3736.4889915245612</v>
      </c>
      <c r="CB51" s="23">
        <f t="shared" ref="CB51" si="768">($O51*$Q51*$S51)^(1/3)/(CB46*((1-CB$2)*$H46+CB$2*$H47) + CB48*((1-CB$2)*$H48+CB$2*$H49) + CB50*((1-CB$2)*$H50+CB$2*$H51))</f>
        <v>3115.4014880444784</v>
      </c>
      <c r="CC51" s="23">
        <f t="shared" ref="CC51" si="769">($O51*$Q51*$S51)^(1/3)/(CC46*((1-CC$2)*$H46+CC$2*$H47) + CC48*((1-CC$2)*$H48+CC$2*$H49) + CC50*((1-CC$2)*$H50+CC$2*$H51))</f>
        <v>3152.5313011468752</v>
      </c>
      <c r="CD51" s="23">
        <f t="shared" ref="CD51" si="770">($O51*$Q51*$S51)^(1/3)/(CD46*((1-CD$2)*$H46+CD$2*$H47) + CD48*((1-CD$2)*$H48+CD$2*$H49) + CD50*((1-CD$2)*$H50+CD$2*$H51))</f>
        <v>3203.6806892596333</v>
      </c>
      <c r="CE51" s="23">
        <f t="shared" ref="CE51" si="771">($O51*$Q51*$S51)^(1/3)/(CE46*((1-CE$2)*$H46+CE$2*$H47) + CE48*((1-CE$2)*$H48+CE$2*$H49) + CE50*((1-CE$2)*$H50+CE$2*$H51))</f>
        <v>3659.4379264422223</v>
      </c>
      <c r="CF51" s="23">
        <f t="shared" ref="CF51" si="772">($O51*$Q51*$S51)^(1/3)/(CF46*((1-CF$2)*$H46+CF$2*$H47) + CF48*((1-CF$2)*$H48+CF$2*$H49) + CF50*((1-CF$2)*$H50+CF$2*$H51))</f>
        <v>3363.5572687620324</v>
      </c>
      <c r="CG51" s="23">
        <f t="shared" ref="CG51" si="773">($O51*$Q51*$S51)^(1/3)/(CG46*((1-CG$2)*$H46+CG$2*$H47) + CG48*((1-CG$2)*$H48+CG$2*$H49) + CG50*((1-CG$2)*$H50+CG$2*$H51))</f>
        <v>3808.5592763379937</v>
      </c>
      <c r="CH51" s="23">
        <f t="shared" ref="CH51" si="774">($O51*$Q51*$S51)^(1/3)/(CH46*((1-CH$2)*$H46+CH$2*$H47) + CH48*((1-CH$2)*$H48+CH$2*$H49) + CH50*((1-CH$2)*$H50+CH$2*$H51))</f>
        <v>3616.9521920021039</v>
      </c>
      <c r="CI51" s="23">
        <f t="shared" ref="CI51" si="775">($O51*$Q51*$S51)^(1/3)/(CI46*((1-CI$2)*$H46+CI$2*$H47) + CI48*((1-CI$2)*$H48+CI$2*$H49) + CI50*((1-CI$2)*$H50+CI$2*$H51))</f>
        <v>3792.0764663781861</v>
      </c>
      <c r="CJ51" s="23">
        <f t="shared" ref="CJ51" si="776">($O51*$Q51*$S51)^(1/3)/(CJ46*((1-CJ$2)*$H46+CJ$2*$H47) + CJ48*((1-CJ$2)*$H48+CJ$2*$H49) + CJ50*((1-CJ$2)*$H50+CJ$2*$H51))</f>
        <v>3549.1915686582665</v>
      </c>
      <c r="CK51" s="23">
        <f t="shared" ref="CK51" si="777">($O51*$Q51*$S51)^(1/3)/(CK46*((1-CK$2)*$H46+CK$2*$H47) + CK48*((1-CK$2)*$H48+CK$2*$H49) + CK50*((1-CK$2)*$H50+CK$2*$H51))</f>
        <v>3556.3943927448386</v>
      </c>
      <c r="CL51" s="23">
        <f t="shared" ref="CL51" si="778">($O51*$Q51*$S51)^(1/3)/(CL46*((1-CL$2)*$H46+CL$2*$H47) + CL48*((1-CL$2)*$H48+CL$2*$H49) + CL50*((1-CL$2)*$H50+CL$2*$H51))</f>
        <v>3573.1634245444507</v>
      </c>
      <c r="CM51" s="23">
        <f t="shared" ref="CM51" si="779">($O51*$Q51*$S51)^(1/3)/(CM46*((1-CM$2)*$H46+CM$2*$H47) + CM48*((1-CM$2)*$H48+CM$2*$H49) + CM50*((1-CM$2)*$H50+CM$2*$H51))</f>
        <v>4010.0991693936357</v>
      </c>
      <c r="CN51" s="23">
        <f t="shared" ref="CN51" si="780">($O51*$Q51*$S51)^(1/3)/(CN46*((1-CN$2)*$H46+CN$2*$H47) + CN48*((1-CN$2)*$H48+CN$2*$H49) + CN50*((1-CN$2)*$H50+CN$2*$H51))</f>
        <v>3643.2709709459855</v>
      </c>
      <c r="CO51" s="23">
        <f t="shared" ref="CO51" si="781">($O51*$Q51*$S51)^(1/3)/(CO46*((1-CO$2)*$H46+CO$2*$H47) + CO48*((1-CO$2)*$H48+CO$2*$H49) + CO50*((1-CO$2)*$H50+CO$2*$H51))</f>
        <v>4080.1241839930594</v>
      </c>
      <c r="CP51" s="23">
        <f t="shared" ref="CP51" si="782">($O51*$Q51*$S51)^(1/3)/(CP46*((1-CP$2)*$H46+CP$2*$H47) + CP48*((1-CP$2)*$H48+CP$2*$H49) + CP50*((1-CP$2)*$H50+CP$2*$H51))</f>
        <v>3765.0884104203442</v>
      </c>
      <c r="CQ51" s="23">
        <f t="shared" ref="CQ51" si="783">($O51*$Q51*$S51)^(1/3)/(CQ46*((1-CQ$2)*$H46+CQ$2*$H47) + CQ48*((1-CQ$2)*$H48+CQ$2*$H49) + CQ50*((1-CQ$2)*$H50+CQ$2*$H51))</f>
        <v>3849.3428600220077</v>
      </c>
      <c r="CS51" s="2">
        <f t="shared" ref="CS51" si="784">100*$AF51/AF51</f>
        <v>100</v>
      </c>
      <c r="CT51" s="2">
        <f t="shared" ref="CT51" si="785">100*$AF51/AG51</f>
        <v>95.858974358974379</v>
      </c>
      <c r="CU51" s="2">
        <f t="shared" ref="CU51" si="786">100*$AF51/AH51</f>
        <v>90.910256410256423</v>
      </c>
      <c r="CV51" s="2">
        <f t="shared" ref="CV51" si="787">100*$AF51/AI51</f>
        <v>74.884615384615387</v>
      </c>
      <c r="CW51" s="2">
        <f t="shared" ref="CW51" si="788">100*$AF51/AJ51</f>
        <v>78.051282051282072</v>
      </c>
      <c r="CX51" s="2">
        <f t="shared" ref="CX51" si="789">100*$AF51/AK51</f>
        <v>66.038461538461547</v>
      </c>
      <c r="CY51" s="2">
        <f t="shared" ref="CY51" si="790">100*$AF51/AL51</f>
        <v>61.42307692307692</v>
      </c>
      <c r="CZ51" s="2">
        <f t="shared" ref="CZ51" si="791">100*$AF51/AM51</f>
        <v>51.628205128205131</v>
      </c>
      <c r="DA51" s="2">
        <f t="shared" ref="DA51" si="792">100*$AF51/AN51</f>
        <v>92.94871794871797</v>
      </c>
      <c r="DB51" s="2">
        <f t="shared" ref="DB51" si="793">100*$AF51/AO51</f>
        <v>89.384615384615401</v>
      </c>
      <c r="DC51" s="2">
        <f t="shared" ref="DC51" si="794">100*$AF51/AP51</f>
        <v>85.108974358974365</v>
      </c>
      <c r="DD51" s="2">
        <f t="shared" ref="DD51" si="795">100*$AF51/AQ51</f>
        <v>70.589743589743605</v>
      </c>
      <c r="DE51" s="2">
        <f t="shared" ref="DE51" si="796">100*$AF51/AR51</f>
        <v>73.94871794871797</v>
      </c>
      <c r="DF51" s="2">
        <f t="shared" ref="DF51" si="797">100*$AF51/AS51</f>
        <v>62.897435897435912</v>
      </c>
      <c r="DG51" s="2">
        <f t="shared" ref="DG51" si="798">100*$AF51/AT51</f>
        <v>59.46794871794873</v>
      </c>
      <c r="DH51" s="2">
        <f t="shared" ref="DH51" si="799">100*$AF51/AU51</f>
        <v>50.923076923076941</v>
      </c>
      <c r="DI51" s="2">
        <f t="shared" ref="DI51" si="800">100*$AF51/AV51</f>
        <v>85.897435897435912</v>
      </c>
      <c r="DJ51" s="2">
        <f t="shared" ref="DJ51" si="801">100*$AF51/AW51</f>
        <v>82.910256410256409</v>
      </c>
      <c r="DK51" s="2">
        <f t="shared" ref="DK51" si="802">100*$AF51/AX51</f>
        <v>79.307692307692321</v>
      </c>
      <c r="DL51" s="2">
        <f t="shared" ref="DL51" si="803">100*$AF51/AY51</f>
        <v>66.29487179487181</v>
      </c>
      <c r="DM51" s="2">
        <f t="shared" ref="DM51" si="804">100*$AF51/AZ51</f>
        <v>69.846153846153854</v>
      </c>
      <c r="DN51" s="2">
        <f t="shared" ref="DN51" si="805">100*$AF51/BA51</f>
        <v>59.756410256410255</v>
      </c>
      <c r="DO51" s="2">
        <f t="shared" ref="DO51" si="806">100*$AF51/BB51</f>
        <v>57.512820512820518</v>
      </c>
      <c r="DP51" s="2">
        <f t="shared" ref="DP51" si="807">100*$AF51/BC51</f>
        <v>50.217948717948715</v>
      </c>
      <c r="DQ51" s="2">
        <f t="shared" ref="DQ51" si="808">100*$AF51/BD51</f>
        <v>78.84615384615384</v>
      </c>
      <c r="DR51" s="2">
        <f t="shared" ref="DR51" si="809">100*$AF51/BE51</f>
        <v>76.435897435897431</v>
      </c>
      <c r="DS51" s="2">
        <f t="shared" ref="DS51" si="810">100*$AF51/BF51</f>
        <v>73.506410256410248</v>
      </c>
      <c r="DT51" s="2">
        <f t="shared" ref="DT51" si="811">100*$AF51/BG51</f>
        <v>62</v>
      </c>
      <c r="DU51" s="2">
        <f t="shared" ref="DU51" si="812">100*$AF51/BH51</f>
        <v>65.743589743589766</v>
      </c>
      <c r="DV51" s="2">
        <f t="shared" ref="DV51" si="813">100*$AF51/BI51</f>
        <v>56.61538461538462</v>
      </c>
      <c r="DW51" s="2">
        <f t="shared" ref="DW51" si="814">100*$AF51/BJ51</f>
        <v>55.557692307692314</v>
      </c>
      <c r="DX51" s="2">
        <f t="shared" ref="DX51" si="815">100*$AF51/BK51</f>
        <v>49.512820512820518</v>
      </c>
      <c r="DY51" s="2">
        <f t="shared" ref="DY51" si="816">100*$AF51/BL51</f>
        <v>71.794871794871796</v>
      </c>
      <c r="DZ51" s="2">
        <f t="shared" ref="DZ51" si="817">100*$AF51/BM51</f>
        <v>69.961538461538467</v>
      </c>
      <c r="EA51" s="2">
        <f t="shared" ref="EA51" si="818">100*$AF51/BN51</f>
        <v>67.705128205128204</v>
      </c>
      <c r="EB51" s="2">
        <f t="shared" ref="EB51" si="819">100*$AF51/BO51</f>
        <v>57.705128205128204</v>
      </c>
      <c r="EC51" s="2">
        <f t="shared" ref="EC51" si="820">100*$AF51/BP51</f>
        <v>61.641025641025642</v>
      </c>
      <c r="ED51" s="2">
        <f t="shared" ref="ED51" si="821">100*$AF51/BQ51</f>
        <v>53.474358974358978</v>
      </c>
      <c r="EE51" s="2">
        <f t="shared" ref="EE51" si="822">100*$AF51/BR51</f>
        <v>53.602564102564109</v>
      </c>
      <c r="EF51" s="2">
        <f t="shared" ref="EF51" si="823">100*$AF51/BS51</f>
        <v>48.807692307692314</v>
      </c>
      <c r="EG51" s="2">
        <f t="shared" ref="EG51" si="824">100*$AF51/BT51</f>
        <v>64.743589743589752</v>
      </c>
      <c r="EH51" s="2">
        <f t="shared" ref="EH51" si="825">100*$AF51/BU51</f>
        <v>63.487179487179496</v>
      </c>
      <c r="EI51" s="2">
        <f t="shared" ref="EI51" si="826">100*$AF51/BV51</f>
        <v>61.90384615384616</v>
      </c>
      <c r="EJ51" s="2">
        <f t="shared" ref="EJ51" si="827">100*$AF51/BW51</f>
        <v>53.410256410256423</v>
      </c>
      <c r="EK51" s="2">
        <f t="shared" ref="EK51" si="828">100*$AF51/BX51</f>
        <v>57.538461538461547</v>
      </c>
      <c r="EL51" s="2">
        <f t="shared" ref="EL51" si="829">100*$AF51/BY51</f>
        <v>50.333333333333343</v>
      </c>
      <c r="EM51" s="2">
        <f t="shared" ref="EM51" si="830">100*$AF51/BZ51</f>
        <v>51.647435897435905</v>
      </c>
      <c r="EN51" s="2">
        <f t="shared" ref="EN51" si="831">100*$AF51/CA51</f>
        <v>48.102564102564102</v>
      </c>
      <c r="EO51" s="2">
        <f t="shared" ref="EO51" si="832">100*$AF51/CB51</f>
        <v>57.692307692307701</v>
      </c>
      <c r="EP51" s="2">
        <f t="shared" ref="EP51" si="833">100*$AF51/CC51</f>
        <v>57.012820512820511</v>
      </c>
      <c r="EQ51" s="2">
        <f t="shared" ref="EQ51" si="834">100*$AF51/CD51</f>
        <v>56.102564102564095</v>
      </c>
      <c r="ER51" s="2">
        <f t="shared" ref="ER51" si="835">100*$AF51/CE51</f>
        <v>49.115384615384613</v>
      </c>
      <c r="ES51" s="2">
        <f t="shared" ref="ES51" si="836">100*$AF51/CF51</f>
        <v>53.435897435897445</v>
      </c>
      <c r="ET51" s="2">
        <f t="shared" ref="ET51" si="837">100*$AF51/CG51</f>
        <v>47.192307692307686</v>
      </c>
      <c r="EU51" s="2">
        <f t="shared" ref="EU51" si="838">100*$AF51/CH51</f>
        <v>49.692307692307686</v>
      </c>
      <c r="EV51" s="2">
        <f t="shared" ref="EV51" si="839">100*$AF51/CI51</f>
        <v>47.397435897435898</v>
      </c>
      <c r="EW51" s="2">
        <f t="shared" ref="EW51" si="840">100*$AF51/CJ51</f>
        <v>50.641025641025642</v>
      </c>
      <c r="EX51" s="2">
        <f t="shared" ref="EX51" si="841">100*$AF51/CK51</f>
        <v>50.53846153846154</v>
      </c>
      <c r="EY51" s="2">
        <f t="shared" ref="EY51" si="842">100*$AF51/CL51</f>
        <v>50.301282051282058</v>
      </c>
      <c r="EZ51" s="2">
        <f t="shared" ref="EZ51" si="843">100*$AF51/CM51</f>
        <v>44.820512820512832</v>
      </c>
      <c r="FA51" s="2">
        <f t="shared" ref="FA51" si="844">100*$AF51/CN51</f>
        <v>49.333333333333336</v>
      </c>
      <c r="FB51" s="2">
        <f t="shared" ref="FB51" si="845">100*$AF51/CO51</f>
        <v>44.051282051282058</v>
      </c>
      <c r="FC51" s="2">
        <f t="shared" ref="FC51" si="846">100*$AF51/CP51</f>
        <v>47.737179487179496</v>
      </c>
      <c r="FD51" s="2">
        <f t="shared" ref="FD51" si="847">100*$AF51/CQ51</f>
        <v>46.692307692307701</v>
      </c>
    </row>
    <row r="52" spans="3:160" x14ac:dyDescent="0.4">
      <c r="C52" s="1" t="s">
        <v>18</v>
      </c>
      <c r="D52" s="1" t="s">
        <v>5</v>
      </c>
      <c r="E52" s="1">
        <v>0.26600000000000001</v>
      </c>
      <c r="F52" s="1">
        <v>0.158</v>
      </c>
      <c r="G52" s="1">
        <v>0.108</v>
      </c>
      <c r="H52" s="1">
        <v>0.04</v>
      </c>
      <c r="I52" s="1">
        <v>3850</v>
      </c>
      <c r="J52" s="1">
        <v>3693</v>
      </c>
      <c r="K52" s="1">
        <v>48</v>
      </c>
      <c r="L52" s="1">
        <v>4646</v>
      </c>
      <c r="M52" s="1">
        <v>5629</v>
      </c>
      <c r="N52" s="1">
        <v>67</v>
      </c>
      <c r="O52" s="1">
        <v>71</v>
      </c>
      <c r="P52" s="1">
        <v>65.5</v>
      </c>
      <c r="Q52" s="1">
        <v>66</v>
      </c>
      <c r="R52" s="1">
        <v>48</v>
      </c>
      <c r="S52" s="1">
        <v>73.5</v>
      </c>
      <c r="T52" s="4">
        <v>0</v>
      </c>
      <c r="U52" s="1">
        <v>1.1419999999999999</v>
      </c>
      <c r="V52" s="1">
        <v>6.7000000000000004E-2</v>
      </c>
      <c r="W52" s="1">
        <v>4.0199999999999996</v>
      </c>
      <c r="X52" s="1">
        <f t="shared" ref="X52" si="848">H53</f>
        <v>1.9E-2</v>
      </c>
      <c r="Y52" s="1">
        <f t="shared" ref="Y52" si="849">H54</f>
        <v>0.04</v>
      </c>
      <c r="Z52" s="1">
        <f t="shared" ref="Z52" si="850">H55</f>
        <v>0.02</v>
      </c>
      <c r="AA52" s="1">
        <f t="shared" ref="AA52" si="851">H56</f>
        <v>1.7999999999999999E-2</v>
      </c>
      <c r="AB52" s="1">
        <f t="shared" ref="AB52" si="852">H57</f>
        <v>0.02</v>
      </c>
      <c r="AC52" s="1">
        <f t="shared" si="114"/>
        <v>4071.4740789940329</v>
      </c>
      <c r="AE52" s="1" t="s">
        <v>96</v>
      </c>
      <c r="AF52" s="1">
        <v>1</v>
      </c>
      <c r="AG52" s="1">
        <v>0.81499999999999995</v>
      </c>
      <c r="AH52" s="1">
        <v>0.64500000000000002</v>
      </c>
      <c r="AI52" s="1">
        <v>0.39500000000000002</v>
      </c>
      <c r="AJ52" s="1">
        <v>0.36</v>
      </c>
      <c r="AK52" s="1">
        <v>0.245</v>
      </c>
      <c r="AL52" s="1">
        <v>0.14499999999999999</v>
      </c>
      <c r="AM52" s="20">
        <v>6.5000000000000002E-2</v>
      </c>
      <c r="AN52" s="1">
        <v>1</v>
      </c>
      <c r="AO52" s="1">
        <v>0.81499999999999995</v>
      </c>
      <c r="AP52" s="1">
        <v>0.64500000000000002</v>
      </c>
      <c r="AQ52" s="1">
        <v>0.39500000000000002</v>
      </c>
      <c r="AR52" s="1">
        <v>0.36</v>
      </c>
      <c r="AS52" s="1">
        <v>0.245</v>
      </c>
      <c r="AT52" s="1">
        <v>0.14499999999999999</v>
      </c>
      <c r="AU52" s="20">
        <v>6.5000000000000002E-2</v>
      </c>
      <c r="AV52" s="1">
        <v>1</v>
      </c>
      <c r="AW52" s="1">
        <v>0.81499999999999995</v>
      </c>
      <c r="AX52" s="1">
        <v>0.64500000000000002</v>
      </c>
      <c r="AY52" s="1">
        <v>0.39500000000000002</v>
      </c>
      <c r="AZ52" s="1">
        <v>0.36</v>
      </c>
      <c r="BA52" s="1">
        <v>0.245</v>
      </c>
      <c r="BB52" s="1">
        <v>0.14499999999999999</v>
      </c>
      <c r="BC52" s="20">
        <v>6.5000000000000002E-2</v>
      </c>
      <c r="BD52" s="1">
        <v>1</v>
      </c>
      <c r="BE52" s="1">
        <v>0.81499999999999995</v>
      </c>
      <c r="BF52" s="1">
        <v>0.64500000000000002</v>
      </c>
      <c r="BG52" s="1">
        <v>0.39500000000000002</v>
      </c>
      <c r="BH52" s="1">
        <v>0.36</v>
      </c>
      <c r="BI52" s="1">
        <v>0.245</v>
      </c>
      <c r="BJ52" s="1">
        <v>0.14499999999999999</v>
      </c>
      <c r="BK52" s="20">
        <v>6.5000000000000002E-2</v>
      </c>
      <c r="BL52" s="1">
        <v>1</v>
      </c>
      <c r="BM52" s="1">
        <v>0.81499999999999995</v>
      </c>
      <c r="BN52" s="1">
        <v>0.64500000000000002</v>
      </c>
      <c r="BO52" s="1">
        <v>0.39500000000000002</v>
      </c>
      <c r="BP52" s="1">
        <v>0.36</v>
      </c>
      <c r="BQ52" s="1">
        <v>0.245</v>
      </c>
      <c r="BR52" s="1">
        <v>0.14499999999999999</v>
      </c>
      <c r="BS52" s="20">
        <v>6.5000000000000002E-2</v>
      </c>
      <c r="BT52" s="1">
        <v>1</v>
      </c>
      <c r="BU52" s="1">
        <v>0.81499999999999995</v>
      </c>
      <c r="BV52" s="1">
        <v>0.64500000000000002</v>
      </c>
      <c r="BW52" s="1">
        <v>0.39500000000000002</v>
      </c>
      <c r="BX52" s="1">
        <v>0.36</v>
      </c>
      <c r="BY52" s="1">
        <v>0.245</v>
      </c>
      <c r="BZ52" s="1">
        <v>0.14499999999999999</v>
      </c>
      <c r="CA52" s="20">
        <v>6.5000000000000002E-2</v>
      </c>
      <c r="CB52" s="1">
        <v>1</v>
      </c>
      <c r="CC52" s="1">
        <v>0.81499999999999995</v>
      </c>
      <c r="CD52" s="1">
        <v>0.64500000000000002</v>
      </c>
      <c r="CE52" s="1">
        <v>0.39500000000000002</v>
      </c>
      <c r="CF52" s="1">
        <v>0.36</v>
      </c>
      <c r="CG52" s="1">
        <v>0.245</v>
      </c>
      <c r="CH52" s="1">
        <v>0.14499999999999999</v>
      </c>
      <c r="CI52" s="20">
        <v>6.5000000000000002E-2</v>
      </c>
      <c r="CJ52" s="1">
        <v>1</v>
      </c>
      <c r="CK52" s="1">
        <v>0.81499999999999995</v>
      </c>
      <c r="CL52" s="1">
        <v>0.64500000000000002</v>
      </c>
      <c r="CM52" s="1">
        <v>0.39500000000000002</v>
      </c>
      <c r="CN52" s="1">
        <v>0.36</v>
      </c>
      <c r="CO52" s="1">
        <v>0.245</v>
      </c>
      <c r="CP52" s="1">
        <v>0.14499999999999999</v>
      </c>
      <c r="CQ52" s="20">
        <v>6.5000000000000002E-2</v>
      </c>
    </row>
    <row r="53" spans="3:160" x14ac:dyDescent="0.4">
      <c r="C53" s="1" t="s">
        <v>18</v>
      </c>
      <c r="D53" s="1" t="s">
        <v>6</v>
      </c>
      <c r="E53" s="1">
        <v>0.23599999999999999</v>
      </c>
      <c r="F53" s="1">
        <v>0.129</v>
      </c>
      <c r="G53" s="1">
        <v>0.107</v>
      </c>
      <c r="H53" s="1">
        <v>1.9E-2</v>
      </c>
      <c r="I53" s="1">
        <v>3850</v>
      </c>
      <c r="J53" s="1">
        <v>3693</v>
      </c>
      <c r="K53" s="1">
        <v>48</v>
      </c>
      <c r="L53" s="1">
        <v>4646</v>
      </c>
      <c r="M53" s="1">
        <v>5629</v>
      </c>
      <c r="N53" s="1">
        <v>67</v>
      </c>
      <c r="O53" s="1">
        <v>71</v>
      </c>
      <c r="P53" s="1">
        <v>65.5</v>
      </c>
      <c r="Q53" s="1">
        <v>66</v>
      </c>
      <c r="R53" s="1">
        <v>48</v>
      </c>
      <c r="S53" s="1">
        <v>73.5</v>
      </c>
      <c r="T53" s="4">
        <v>0</v>
      </c>
      <c r="U53" s="1">
        <v>1.1419999999999999</v>
      </c>
      <c r="V53" s="1">
        <v>6.7000000000000004E-2</v>
      </c>
      <c r="W53" s="1">
        <v>4.0199999999999996</v>
      </c>
      <c r="X53" s="1">
        <f t="shared" ref="X53" si="853">H53</f>
        <v>1.9E-2</v>
      </c>
      <c r="Y53" s="1">
        <f t="shared" ref="Y53" si="854">H54</f>
        <v>0.04</v>
      </c>
      <c r="Z53" s="1">
        <f t="shared" ref="Z53" si="855">H55</f>
        <v>0.02</v>
      </c>
      <c r="AA53" s="1">
        <f t="shared" ref="AA53" si="856">H56</f>
        <v>1.7999999999999999E-2</v>
      </c>
      <c r="AB53" s="1">
        <f t="shared" ref="AB53" si="857">H57</f>
        <v>0.02</v>
      </c>
      <c r="AC53" s="1">
        <f t="shared" si="114"/>
        <v>4071.4740789940329</v>
      </c>
      <c r="CQ53" s="20"/>
    </row>
    <row r="54" spans="3:160" x14ac:dyDescent="0.4">
      <c r="C54" s="1" t="s">
        <v>18</v>
      </c>
      <c r="D54" s="1" t="s">
        <v>7</v>
      </c>
      <c r="E54" s="1">
        <v>0.26600000000000001</v>
      </c>
      <c r="F54" s="1">
        <v>0.158</v>
      </c>
      <c r="G54" s="1">
        <v>0.108</v>
      </c>
      <c r="H54" s="1">
        <v>0.04</v>
      </c>
      <c r="I54" s="1">
        <v>3850</v>
      </c>
      <c r="J54" s="1">
        <v>3693</v>
      </c>
      <c r="K54" s="1">
        <v>48</v>
      </c>
      <c r="L54" s="1">
        <v>4646</v>
      </c>
      <c r="M54" s="1">
        <v>5629</v>
      </c>
      <c r="N54" s="1">
        <v>67</v>
      </c>
      <c r="O54" s="1">
        <v>71</v>
      </c>
      <c r="P54" s="1">
        <v>65.5</v>
      </c>
      <c r="Q54" s="1">
        <v>66</v>
      </c>
      <c r="R54" s="1">
        <v>48</v>
      </c>
      <c r="S54" s="1">
        <v>73.5</v>
      </c>
      <c r="T54" s="4">
        <v>0</v>
      </c>
      <c r="U54" s="1">
        <v>1.1419999999999999</v>
      </c>
      <c r="V54" s="1">
        <v>6.7000000000000004E-2</v>
      </c>
      <c r="W54" s="1">
        <v>4.0199999999999996</v>
      </c>
      <c r="X54" s="1">
        <f t="shared" ref="X54" si="858">H53</f>
        <v>1.9E-2</v>
      </c>
      <c r="Y54" s="1">
        <f t="shared" ref="Y54" si="859">H54</f>
        <v>0.04</v>
      </c>
      <c r="Z54" s="1">
        <f t="shared" ref="Z54" si="860">H55</f>
        <v>0.02</v>
      </c>
      <c r="AA54" s="1">
        <f t="shared" ref="AA54" si="861">H56</f>
        <v>1.7999999999999999E-2</v>
      </c>
      <c r="AB54" s="1">
        <f t="shared" ref="AB54" si="862">H57</f>
        <v>0.02</v>
      </c>
      <c r="AC54" s="1">
        <f t="shared" si="114"/>
        <v>4071.4740789940329</v>
      </c>
      <c r="AE54" s="1" t="s">
        <v>97</v>
      </c>
      <c r="AF54" s="1">
        <v>0</v>
      </c>
      <c r="AG54" s="1">
        <v>0.12</v>
      </c>
      <c r="AH54" s="1">
        <v>0.21</v>
      </c>
      <c r="AI54" s="1">
        <v>0.26</v>
      </c>
      <c r="AJ54" s="1">
        <v>0.28000000000000003</v>
      </c>
      <c r="AK54" s="1">
        <v>0.26</v>
      </c>
      <c r="AL54" s="1">
        <v>0.21</v>
      </c>
      <c r="AM54" s="20">
        <v>0.12</v>
      </c>
      <c r="AN54" s="1">
        <v>0</v>
      </c>
      <c r="AO54" s="1">
        <v>0.12</v>
      </c>
      <c r="AP54" s="1">
        <v>0.21</v>
      </c>
      <c r="AQ54" s="1">
        <v>0.26</v>
      </c>
      <c r="AR54" s="1">
        <v>0.28000000000000003</v>
      </c>
      <c r="AS54" s="1">
        <v>0.26</v>
      </c>
      <c r="AT54" s="1">
        <v>0.21</v>
      </c>
      <c r="AU54" s="20">
        <v>0.12</v>
      </c>
      <c r="AV54" s="1">
        <v>0</v>
      </c>
      <c r="AW54" s="1">
        <v>0.12</v>
      </c>
      <c r="AX54" s="1">
        <v>0.21</v>
      </c>
      <c r="AY54" s="1">
        <v>0.26</v>
      </c>
      <c r="AZ54" s="1">
        <v>0.28000000000000003</v>
      </c>
      <c r="BA54" s="1">
        <v>0.26</v>
      </c>
      <c r="BB54" s="1">
        <v>0.21</v>
      </c>
      <c r="BC54" s="20">
        <v>0.12</v>
      </c>
      <c r="BD54" s="1">
        <v>0</v>
      </c>
      <c r="BE54" s="1">
        <v>0.12</v>
      </c>
      <c r="BF54" s="1">
        <v>0.21</v>
      </c>
      <c r="BG54" s="1">
        <v>0.26</v>
      </c>
      <c r="BH54" s="1">
        <v>0.28000000000000003</v>
      </c>
      <c r="BI54" s="1">
        <v>0.26</v>
      </c>
      <c r="BJ54" s="1">
        <v>0.21</v>
      </c>
      <c r="BK54" s="20">
        <v>0.12</v>
      </c>
      <c r="BL54" s="1">
        <v>0</v>
      </c>
      <c r="BM54" s="1">
        <v>0.12</v>
      </c>
      <c r="BN54" s="1">
        <v>0.21</v>
      </c>
      <c r="BO54" s="1">
        <v>0.26</v>
      </c>
      <c r="BP54" s="1">
        <v>0.28000000000000003</v>
      </c>
      <c r="BQ54" s="1">
        <v>0.26</v>
      </c>
      <c r="BR54" s="1">
        <v>0.21</v>
      </c>
      <c r="BS54" s="20">
        <v>0.12</v>
      </c>
      <c r="BT54" s="1">
        <v>0</v>
      </c>
      <c r="BU54" s="1">
        <v>0.12</v>
      </c>
      <c r="BV54" s="1">
        <v>0.21</v>
      </c>
      <c r="BW54" s="1">
        <v>0.26</v>
      </c>
      <c r="BX54" s="1">
        <v>0.28000000000000003</v>
      </c>
      <c r="BY54" s="1">
        <v>0.26</v>
      </c>
      <c r="BZ54" s="1">
        <v>0.21</v>
      </c>
      <c r="CA54" s="20">
        <v>0.12</v>
      </c>
      <c r="CB54" s="1">
        <v>0</v>
      </c>
      <c r="CC54" s="1">
        <v>0.12</v>
      </c>
      <c r="CD54" s="1">
        <v>0.21</v>
      </c>
      <c r="CE54" s="1">
        <v>0.26</v>
      </c>
      <c r="CF54" s="1">
        <v>0.28000000000000003</v>
      </c>
      <c r="CG54" s="1">
        <v>0.26</v>
      </c>
      <c r="CH54" s="1">
        <v>0.21</v>
      </c>
      <c r="CI54" s="20">
        <v>0.12</v>
      </c>
      <c r="CJ54" s="1">
        <v>0</v>
      </c>
      <c r="CK54" s="1">
        <v>0.12</v>
      </c>
      <c r="CL54" s="1">
        <v>0.21</v>
      </c>
      <c r="CM54" s="1">
        <v>0.26</v>
      </c>
      <c r="CN54" s="1">
        <v>0.28000000000000003</v>
      </c>
      <c r="CO54" s="1">
        <v>0.26</v>
      </c>
      <c r="CP54" s="1">
        <v>0.21</v>
      </c>
      <c r="CQ54" s="20">
        <v>0.12</v>
      </c>
    </row>
    <row r="55" spans="3:160" x14ac:dyDescent="0.4">
      <c r="C55" s="1" t="s">
        <v>18</v>
      </c>
      <c r="D55" s="1" t="s">
        <v>8</v>
      </c>
      <c r="E55" s="1">
        <v>0.23799999999999999</v>
      </c>
      <c r="F55" s="1">
        <v>0.13100000000000001</v>
      </c>
      <c r="G55" s="1">
        <v>0.107</v>
      </c>
      <c r="H55" s="1">
        <v>0.02</v>
      </c>
      <c r="I55" s="1">
        <v>3850</v>
      </c>
      <c r="J55" s="1">
        <v>3693</v>
      </c>
      <c r="K55" s="1">
        <v>48</v>
      </c>
      <c r="L55" s="1">
        <v>4646</v>
      </c>
      <c r="M55" s="1">
        <v>5629</v>
      </c>
      <c r="N55" s="1">
        <v>67</v>
      </c>
      <c r="O55" s="1">
        <v>71</v>
      </c>
      <c r="P55" s="1">
        <v>65.5</v>
      </c>
      <c r="Q55" s="1">
        <v>66</v>
      </c>
      <c r="R55" s="1">
        <v>48</v>
      </c>
      <c r="S55" s="1">
        <v>73.5</v>
      </c>
      <c r="T55" s="4">
        <v>0</v>
      </c>
      <c r="U55" s="1">
        <v>1.1419999999999999</v>
      </c>
      <c r="V55" s="1">
        <v>6.7000000000000004E-2</v>
      </c>
      <c r="W55" s="1">
        <v>4.0199999999999996</v>
      </c>
      <c r="X55" s="1">
        <f t="shared" ref="X55" si="863">H53</f>
        <v>1.9E-2</v>
      </c>
      <c r="Y55" s="1">
        <f t="shared" ref="Y55" si="864">H54</f>
        <v>0.04</v>
      </c>
      <c r="Z55" s="1">
        <f t="shared" ref="Z55" si="865">H55</f>
        <v>0.02</v>
      </c>
      <c r="AA55" s="1">
        <f t="shared" ref="AA55" si="866">H56</f>
        <v>1.7999999999999999E-2</v>
      </c>
      <c r="AB55" s="1">
        <f t="shared" ref="AB55" si="867">H57</f>
        <v>0.02</v>
      </c>
      <c r="AC55" s="1">
        <f t="shared" si="114"/>
        <v>4071.4740789940329</v>
      </c>
      <c r="CQ55" s="20"/>
    </row>
    <row r="56" spans="3:160" x14ac:dyDescent="0.4">
      <c r="C56" s="1" t="s">
        <v>18</v>
      </c>
      <c r="D56" s="1" t="s">
        <v>9</v>
      </c>
      <c r="E56" s="1">
        <v>0.23499999999999999</v>
      </c>
      <c r="F56" s="1">
        <v>0.128</v>
      </c>
      <c r="G56" s="1">
        <v>0.107</v>
      </c>
      <c r="H56" s="1">
        <v>1.7999999999999999E-2</v>
      </c>
      <c r="I56" s="1">
        <v>3850</v>
      </c>
      <c r="J56" s="1">
        <v>3693</v>
      </c>
      <c r="K56" s="1">
        <v>48</v>
      </c>
      <c r="L56" s="1">
        <v>4646</v>
      </c>
      <c r="M56" s="1">
        <v>5629</v>
      </c>
      <c r="N56" s="1">
        <v>67</v>
      </c>
      <c r="O56" s="1">
        <v>71</v>
      </c>
      <c r="P56" s="1">
        <v>65.5</v>
      </c>
      <c r="Q56" s="1">
        <v>66</v>
      </c>
      <c r="R56" s="1">
        <v>48</v>
      </c>
      <c r="S56" s="1">
        <v>73.5</v>
      </c>
      <c r="T56" s="4">
        <v>0</v>
      </c>
      <c r="U56" s="1">
        <v>1.1419999999999999</v>
      </c>
      <c r="V56" s="1">
        <v>6.7000000000000004E-2</v>
      </c>
      <c r="W56" s="1">
        <v>4.0199999999999996</v>
      </c>
      <c r="X56" s="1">
        <f t="shared" ref="X56" si="868">H53</f>
        <v>1.9E-2</v>
      </c>
      <c r="Y56" s="1">
        <f t="shared" ref="Y56" si="869">H54</f>
        <v>0.04</v>
      </c>
      <c r="Z56" s="1">
        <f t="shared" ref="Z56" si="870">H55</f>
        <v>0.02</v>
      </c>
      <c r="AA56" s="1">
        <f t="shared" ref="AA56" si="871">H56</f>
        <v>1.7999999999999999E-2</v>
      </c>
      <c r="AB56" s="1">
        <f t="shared" ref="AB56" si="872">H57</f>
        <v>0.02</v>
      </c>
      <c r="AC56" s="1">
        <f t="shared" si="114"/>
        <v>4071.4740789940329</v>
      </c>
      <c r="AE56" s="1" t="s">
        <v>98</v>
      </c>
      <c r="AF56" s="1">
        <v>0</v>
      </c>
      <c r="AG56" s="1">
        <v>6.5000000000000002E-2</v>
      </c>
      <c r="AH56" s="1">
        <v>0.14499999999999999</v>
      </c>
      <c r="AI56" s="1">
        <v>0.245</v>
      </c>
      <c r="AJ56" s="1">
        <v>0.36</v>
      </c>
      <c r="AK56" s="1">
        <v>0.39500000000000002</v>
      </c>
      <c r="AL56" s="1">
        <v>0.64500000000000002</v>
      </c>
      <c r="AM56" s="20">
        <v>0.81499999999999995</v>
      </c>
      <c r="AN56" s="1">
        <v>0</v>
      </c>
      <c r="AO56" s="1">
        <v>6.5000000000000002E-2</v>
      </c>
      <c r="AP56" s="1">
        <v>0.14499999999999999</v>
      </c>
      <c r="AQ56" s="1">
        <v>0.245</v>
      </c>
      <c r="AR56" s="1">
        <v>0.36</v>
      </c>
      <c r="AS56" s="1">
        <v>0.39500000000000002</v>
      </c>
      <c r="AT56" s="1">
        <v>0.64500000000000002</v>
      </c>
      <c r="AU56" s="20">
        <v>0.81499999999999995</v>
      </c>
      <c r="AV56" s="1">
        <v>0</v>
      </c>
      <c r="AW56" s="1">
        <v>6.5000000000000002E-2</v>
      </c>
      <c r="AX56" s="1">
        <v>0.14499999999999999</v>
      </c>
      <c r="AY56" s="1">
        <v>0.245</v>
      </c>
      <c r="AZ56" s="1">
        <v>0.36</v>
      </c>
      <c r="BA56" s="1">
        <v>0.39500000000000002</v>
      </c>
      <c r="BB56" s="1">
        <v>0.64500000000000002</v>
      </c>
      <c r="BC56" s="20">
        <v>0.81499999999999995</v>
      </c>
      <c r="BD56" s="1">
        <v>0</v>
      </c>
      <c r="BE56" s="1">
        <v>6.5000000000000002E-2</v>
      </c>
      <c r="BF56" s="1">
        <v>0.14499999999999999</v>
      </c>
      <c r="BG56" s="1">
        <v>0.245</v>
      </c>
      <c r="BH56" s="1">
        <v>0.36</v>
      </c>
      <c r="BI56" s="1">
        <v>0.39500000000000002</v>
      </c>
      <c r="BJ56" s="1">
        <v>0.64500000000000002</v>
      </c>
      <c r="BK56" s="20">
        <v>0.81499999999999995</v>
      </c>
      <c r="BL56" s="1">
        <v>0</v>
      </c>
      <c r="BM56" s="1">
        <v>6.5000000000000002E-2</v>
      </c>
      <c r="BN56" s="1">
        <v>0.14499999999999999</v>
      </c>
      <c r="BO56" s="1">
        <v>0.245</v>
      </c>
      <c r="BP56" s="1">
        <v>0.36</v>
      </c>
      <c r="BQ56" s="1">
        <v>0.39500000000000002</v>
      </c>
      <c r="BR56" s="1">
        <v>0.64500000000000002</v>
      </c>
      <c r="BS56" s="20">
        <v>0.81499999999999995</v>
      </c>
      <c r="BT56" s="1">
        <v>0</v>
      </c>
      <c r="BU56" s="1">
        <v>6.5000000000000002E-2</v>
      </c>
      <c r="BV56" s="1">
        <v>0.14499999999999999</v>
      </c>
      <c r="BW56" s="1">
        <v>0.245</v>
      </c>
      <c r="BX56" s="1">
        <v>0.36</v>
      </c>
      <c r="BY56" s="1">
        <v>0.39500000000000002</v>
      </c>
      <c r="BZ56" s="1">
        <v>0.64500000000000002</v>
      </c>
      <c r="CA56" s="20">
        <v>0.81499999999999995</v>
      </c>
      <c r="CB56" s="1">
        <v>0</v>
      </c>
      <c r="CC56" s="1">
        <v>6.5000000000000002E-2</v>
      </c>
      <c r="CD56" s="1">
        <v>0.14499999999999999</v>
      </c>
      <c r="CE56" s="1">
        <v>0.245</v>
      </c>
      <c r="CF56" s="1">
        <v>0.36</v>
      </c>
      <c r="CG56" s="1">
        <v>0.39500000000000002</v>
      </c>
      <c r="CH56" s="1">
        <v>0.64500000000000002</v>
      </c>
      <c r="CI56" s="20">
        <v>0.81499999999999995</v>
      </c>
      <c r="CJ56" s="1">
        <v>0</v>
      </c>
      <c r="CK56" s="1">
        <v>6.5000000000000002E-2</v>
      </c>
      <c r="CL56" s="1">
        <v>0.14499999999999999</v>
      </c>
      <c r="CM56" s="1">
        <v>0.245</v>
      </c>
      <c r="CN56" s="1">
        <v>0.36</v>
      </c>
      <c r="CO56" s="1">
        <v>0.39500000000000002</v>
      </c>
      <c r="CP56" s="1">
        <v>0.64500000000000002</v>
      </c>
      <c r="CQ56" s="20">
        <v>0.81499999999999995</v>
      </c>
    </row>
    <row r="57" spans="3:160" s="50" customFormat="1" ht="10.199999999999999" thickBot="1" x14ac:dyDescent="0.45">
      <c r="C57" s="50" t="s">
        <v>18</v>
      </c>
      <c r="D57" s="50" t="s">
        <v>10</v>
      </c>
      <c r="E57" s="50">
        <v>0.23799999999999999</v>
      </c>
      <c r="F57" s="50">
        <v>0.13100000000000001</v>
      </c>
      <c r="G57" s="50">
        <v>0.107</v>
      </c>
      <c r="H57" s="50">
        <v>0.02</v>
      </c>
      <c r="I57" s="50">
        <v>3850</v>
      </c>
      <c r="J57" s="50">
        <v>3693</v>
      </c>
      <c r="K57" s="50">
        <v>48</v>
      </c>
      <c r="L57" s="50">
        <v>4646</v>
      </c>
      <c r="M57" s="50">
        <v>5629</v>
      </c>
      <c r="N57" s="50">
        <v>67</v>
      </c>
      <c r="O57" s="50">
        <v>71</v>
      </c>
      <c r="P57" s="50">
        <v>65.5</v>
      </c>
      <c r="Q57" s="50">
        <v>66</v>
      </c>
      <c r="R57" s="50">
        <v>48</v>
      </c>
      <c r="S57" s="50">
        <v>73.5</v>
      </c>
      <c r="T57" s="51">
        <f t="shared" ref="T57" si="873">(N52*O52*P52*Q52*R52*S52)/(I52*J52*K52*(F52*H52 + F53*H53 + F54*H54 + F55*H55 + F56*H56 + F57*H57))</f>
        <v>4696.617478987434</v>
      </c>
      <c r="U57" s="50">
        <v>1.1419999999999999</v>
      </c>
      <c r="V57" s="50">
        <v>6.7000000000000004E-2</v>
      </c>
      <c r="W57" s="50">
        <v>4.0199999999999996</v>
      </c>
      <c r="X57" s="50">
        <f t="shared" ref="X57" si="874">H53</f>
        <v>1.9E-2</v>
      </c>
      <c r="Y57" s="50">
        <f t="shared" ref="Y57" si="875">H54</f>
        <v>0.04</v>
      </c>
      <c r="Z57" s="50">
        <f t="shared" ref="Z57" si="876">H55</f>
        <v>0.02</v>
      </c>
      <c r="AA57" s="50">
        <f t="shared" ref="AA57" si="877">H56</f>
        <v>1.7999999999999999E-2</v>
      </c>
      <c r="AB57" s="50">
        <f t="shared" ref="AB57" si="878">H57</f>
        <v>0.02</v>
      </c>
      <c r="AC57" s="50">
        <f t="shared" si="114"/>
        <v>4071.4740789940329</v>
      </c>
      <c r="AE57" s="50" t="s">
        <v>99</v>
      </c>
      <c r="AF57" s="52">
        <f>($O57*$Q57*$S57)^(1/3)/(AF52*((1-AF$2)*$H52+AF$2*$H53) + AF54*((1-AF$2)*$H54+AF$2*$H55) + AF56*((1-AF$2)*$H56+AF$2*$H57))</f>
        <v>1752.413337025019</v>
      </c>
      <c r="AG57" s="52">
        <f t="shared" ref="AG57" si="879">($O57*$Q57*$S57)^(1/3)/(AG52*((1-AG$2)*$H52+AG$2*$H53) + AG54*((1-AG$2)*$H54+AG$2*$H55) + AG56*((1-AG$2)*$H56+AG$2*$H57))</f>
        <v>1817.3848452424365</v>
      </c>
      <c r="AH57" s="52">
        <f t="shared" ref="AH57" si="880">($O57*$Q57*$S57)^(1/3)/(AH52*((1-AH$2)*$H52+AH$2*$H53) + AH54*((1-AH$2)*$H54+AH$2*$H55) + AH56*((1-AH$2)*$H56+AH$2*$H57))</f>
        <v>1904.2796381689964</v>
      </c>
      <c r="AI57" s="52">
        <f t="shared" ref="AI57" si="881">($O57*$Q57*$S57)^(1/3)/(AI52*((1-AI$2)*$H52+AI$2*$H53) + AI54*((1-AI$2)*$H54+AI$2*$H55) + AI56*((1-AI$2)*$H56+AI$2*$H57))</f>
        <v>2289.9880261679436</v>
      </c>
      <c r="AJ57" s="52">
        <f t="shared" ref="AJ57" si="882">($O57*$Q57*$S57)^(1/3)/(AJ52*((1-AJ$2)*$H52+AJ$2*$H53) + AJ54*((1-AJ$2)*$H54+AJ$2*$H55) + AJ56*((1-AJ$2)*$H56+AJ$2*$H57))</f>
        <v>2185.054036190797</v>
      </c>
      <c r="AK57" s="52">
        <f t="shared" ref="AK57" si="883">($O57*$Q57*$S57)^(1/3)/(AK52*((1-AK$2)*$H52+AK$2*$H53) + AK54*((1-AK$2)*$H54+AK$2*$H55) + AK56*((1-AK$2)*$H56+AK$2*$H57))</f>
        <v>2566.6984064811704</v>
      </c>
      <c r="AL57" s="52">
        <f t="shared" ref="AL57" si="884">($O57*$Q57*$S57)^(1/3)/(AL52*((1-AL$2)*$H52+AL$2*$H53) + AL54*((1-AL$2)*$H54+AL$2*$H55) + AL56*((1-AL$2)*$H56+AL$2*$H57))</f>
        <v>2715.8672406431911</v>
      </c>
      <c r="AM57" s="52">
        <f t="shared" ref="AM57" si="885">($O57*$Q57*$S57)^(1/3)/(AM52*((1-AM$2)*$H52+AM$2*$H53) + AM54*((1-AM$2)*$H54+AM$2*$H55) + AM56*((1-AM$2)*$H56+AM$2*$H57))</f>
        <v>3176.1002936565819</v>
      </c>
      <c r="AN57" s="52">
        <f t="shared" ref="AN57" si="886">($O57*$Q57*$S57)^(1/3)/(AN52*((1-AN$2)*$H52+AN$2*$H53) + AN54*((1-AN$2)*$H54+AN$2*$H55) + AN56*((1-AN$2)*$H56+AN$2*$H57))</f>
        <v>1875.4925346087157</v>
      </c>
      <c r="AO57" s="52">
        <f t="shared" ref="AO57" si="887">($O57*$Q57*$S57)^(1/3)/(AO52*((1-AO$2)*$H52+AO$2*$H53) + AO54*((1-AO$2)*$H54+AO$2*$H55) + AO56*((1-AO$2)*$H56+AO$2*$H57))</f>
        <v>1939.2142054050526</v>
      </c>
      <c r="AP57" s="52">
        <f t="shared" ref="AP57" si="888">($O57*$Q57*$S57)^(1/3)/(AP52*((1-AP$2)*$H52+AP$2*$H53) + AP54*((1-AP$2)*$H54+AP$2*$H55) + AP56*((1-AP$2)*$H56+AP$2*$H57))</f>
        <v>2024.2659249093256</v>
      </c>
      <c r="AQ57" s="52">
        <f t="shared" ref="AQ57" si="889">($O57*$Q57*$S57)^(1/3)/(AQ52*((1-AQ$2)*$H52+AQ$2*$H53) + AQ54*((1-AQ$2)*$H54+AQ$2*$H55) + AQ56*((1-AQ$2)*$H56+AQ$2*$H57))</f>
        <v>2418.4248748161986</v>
      </c>
      <c r="AR57" s="52">
        <f t="shared" ref="AR57" si="890">($O57*$Q57*$S57)^(1/3)/(AR52*((1-AR$2)*$H52+AR$2*$H53) + AR54*((1-AR$2)*$H54+AR$2*$H55) + AR56*((1-AR$2)*$H56+AR$2*$H57))</f>
        <v>2296.3647332023179</v>
      </c>
      <c r="AS57" s="52">
        <f t="shared" ref="AS57" si="891">($O57*$Q57*$S57)^(1/3)/(AS52*((1-AS$2)*$H52+AS$2*$H53) + AS54*((1-AS$2)*$H54+AS$2*$H55) + AS56*((1-AS$2)*$H56+AS$2*$H57))</f>
        <v>2684.084086863736</v>
      </c>
      <c r="AT57" s="52">
        <f t="shared" ref="AT57" si="892">($O57*$Q57*$S57)^(1/3)/(AT52*((1-AT$2)*$H52+AT$2*$H53) + AT54*((1-AT$2)*$H54+AT$2*$H55) + AT56*((1-AT$2)*$H56+AT$2*$H57))</f>
        <v>2796.5204729984093</v>
      </c>
      <c r="AU57" s="52">
        <f t="shared" ref="AU57" si="893">($O57*$Q57*$S57)^(1/3)/(AU52*((1-AU$2)*$H52+AU$2*$H53) + AU54*((1-AU$2)*$H54+AU$2*$H55) + AU56*((1-AU$2)*$H56+AU$2*$H57))</f>
        <v>3214.9764531919514</v>
      </c>
      <c r="AV57" s="52">
        <f t="shared" ref="AV57" si="894">($O57*$Q57*$S57)^(1/3)/(AV52*((1-AV$2)*$H52+AV$2*$H53) + AV54*((1-AV$2)*$H54+AV$2*$H55) + AV56*((1-AV$2)*$H56+AV$2*$H57))</f>
        <v>2017.1664311079358</v>
      </c>
      <c r="AW57" s="52">
        <f t="shared" ref="AW57" si="895">($O57*$Q57*$S57)^(1/3)/(AW52*((1-AW$2)*$H52+AW$2*$H53) + AW54*((1-AW$2)*$H54+AW$2*$H55) + AW56*((1-AW$2)*$H56+AW$2*$H57))</f>
        <v>2078.550976122192</v>
      </c>
      <c r="AX57" s="52">
        <f t="shared" ref="AX57" si="896">($O57*$Q57*$S57)^(1/3)/(AX52*((1-AX$2)*$H52+AX$2*$H53) + AX54*((1-AX$2)*$H54+AX$2*$H55) + AX56*((1-AX$2)*$H56+AX$2*$H57))</f>
        <v>2160.3893664445282</v>
      </c>
      <c r="AY57" s="52">
        <f t="shared" ref="AY57" si="897">($O57*$Q57*$S57)^(1/3)/(AY52*((1-AY$2)*$H52+AY$2*$H53) + AY54*((1-AY$2)*$H54+AY$2*$H55) + AY56*((1-AY$2)*$H56+AY$2*$H57))</f>
        <v>2562.1248588111944</v>
      </c>
      <c r="AZ57" s="52">
        <f t="shared" ref="AZ57" si="898">($O57*$Q57*$S57)^(1/3)/(AZ52*((1-AZ$2)*$H52+AZ$2*$H53) + AZ54*((1-AZ$2)*$H54+AZ$2*$H55) + AZ56*((1-AZ$2)*$H56+AZ$2*$H57))</f>
        <v>2419.6249044183905</v>
      </c>
      <c r="BA57" s="52">
        <f t="shared" ref="BA57" si="899">($O57*$Q57*$S57)^(1/3)/(BA52*((1-BA$2)*$H52+BA$2*$H53) + BA54*((1-BA$2)*$H54+BA$2*$H55) + BA56*((1-BA$2)*$H56+BA$2*$H57))</f>
        <v>2812.721411686844</v>
      </c>
      <c r="BB57" s="52">
        <f t="shared" ref="BB57" si="900">($O57*$Q57*$S57)^(1/3)/(BB52*((1-BB$2)*$H52+BB$2*$H53) + BB54*((1-BB$2)*$H54+BB$2*$H55) + BB56*((1-BB$2)*$H56+BB$2*$H57))</f>
        <v>2882.1106432029924</v>
      </c>
      <c r="BC57" s="52">
        <f t="shared" ref="BC57" si="901">($O57*$Q57*$S57)^(1/3)/(BC52*((1-BC$2)*$H52+BC$2*$H53) + BC54*((1-BC$2)*$H54+BC$2*$H55) + BC56*((1-BC$2)*$H56+BC$2*$H57))</f>
        <v>3254.8161114864829</v>
      </c>
      <c r="BD57" s="52">
        <f t="shared" ref="BD57" si="902">($O57*$Q57*$S57)^(1/3)/(BD52*((1-BD$2)*$H52+BD$2*$H53) + BD54*((1-BD$2)*$H54+BD$2*$H55) + BD56*((1-BD$2)*$H56+BD$2*$H57))</f>
        <v>2181.9932601089731</v>
      </c>
      <c r="BE57" s="52">
        <f t="shared" ref="BE57" si="903">($O57*$Q57*$S57)^(1/3)/(BE52*((1-BE$2)*$H52+BE$2*$H53) + BE54*((1-BE$2)*$H54+BE$2*$H55) + BE56*((1-BE$2)*$H56+BE$2*$H57))</f>
        <v>2239.4611443381964</v>
      </c>
      <c r="BF57" s="52">
        <f t="shared" ref="BF57" si="904">($O57*$Q57*$S57)^(1/3)/(BF52*((1-BF$2)*$H52+BF$2*$H53) + BF54*((1-BF$2)*$H54+BF$2*$H55) + BF56*((1-BF$2)*$H56+BF$2*$H57))</f>
        <v>2316.140131127795</v>
      </c>
      <c r="BG57" s="52">
        <f t="shared" ref="BG57" si="905">($O57*$Q57*$S57)^(1/3)/(BG52*((1-BG$2)*$H52+BG$2*$H53) + BG54*((1-BG$2)*$H54+BG$2*$H55) + BG56*((1-BG$2)*$H56+BG$2*$H57))</f>
        <v>2723.9806079129821</v>
      </c>
      <c r="BH57" s="52">
        <f t="shared" ref="BH57" si="906">($O57*$Q57*$S57)^(1/3)/(BH52*((1-BH$2)*$H52+BH$2*$H53) + BH54*((1-BH$2)*$H54+BH$2*$H55) + BH56*((1-BH$2)*$H56+BH$2*$H57))</f>
        <v>2556.8679000912184</v>
      </c>
      <c r="BI57" s="52">
        <f t="shared" ref="BI57" si="907">($O57*$Q57*$S57)^(1/3)/(BI52*((1-BI$2)*$H52+BI$2*$H53) + BI54*((1-BI$2)*$H54+BI$2*$H55) + BI56*((1-BI$2)*$H56+BI$2*$H57))</f>
        <v>2954.3095532387115</v>
      </c>
      <c r="BJ57" s="52">
        <f t="shared" ref="BJ57" si="908">($O57*$Q57*$S57)^(1/3)/(BJ52*((1-BJ$2)*$H52+BJ$2*$H53) + BJ54*((1-BJ$2)*$H54+BJ$2*$H55) + BJ56*((1-BJ$2)*$H56+BJ$2*$H57))</f>
        <v>2973.1053619701829</v>
      </c>
      <c r="BK57" s="52">
        <f t="shared" ref="BK57" si="909">($O57*$Q57*$S57)^(1/3)/(BK52*((1-BK$2)*$H52+BK$2*$H53) + BK54*((1-BK$2)*$H54+BK$2*$H55) + BK56*((1-BK$2)*$H56+BK$2*$H57))</f>
        <v>3295.6555367048049</v>
      </c>
      <c r="BL57" s="52">
        <f t="shared" ref="BL57" si="910">($O57*$Q57*$S57)^(1/3)/(BL52*((1-BL$2)*$H52+BL$2*$H53) + BL54*((1-BL$2)*$H54+BL$2*$H55) + BL56*((1-BL$2)*$H56+BL$2*$H57))</f>
        <v>2376.15367732206</v>
      </c>
      <c r="BM57" s="52">
        <f t="shared" ref="BM57" si="911">($O57*$Q57*$S57)^(1/3)/(BM52*((1-BM$2)*$H52+BM$2*$H53) + BM54*((1-BM$2)*$H54+BM$2*$H55) + BM56*((1-BM$2)*$H56+BM$2*$H57))</f>
        <v>2427.3754127261977</v>
      </c>
      <c r="BN57" s="52">
        <f t="shared" ref="BN57" si="912">($O57*$Q57*$S57)^(1/3)/(BN52*((1-BN$2)*$H52+BN$2*$H53) + BN54*((1-BN$2)*$H54+BN$2*$H55) + BN56*((1-BN$2)*$H56+BN$2*$H57))</f>
        <v>2496.0930643995644</v>
      </c>
      <c r="BO57" s="52">
        <f t="shared" ref="BO57" si="913">($O57*$Q57*$S57)^(1/3)/(BO52*((1-BO$2)*$H52+BO$2*$H53) + BO54*((1-BO$2)*$H54+BO$2*$H55) + BO56*((1-BO$2)*$H56+BO$2*$H57))</f>
        <v>2907.664978989973</v>
      </c>
      <c r="BP57" s="52">
        <f t="shared" ref="BP57" si="914">($O57*$Q57*$S57)^(1/3)/(BP52*((1-BP$2)*$H52+BP$2*$H53) + BP54*((1-BP$2)*$H54+BP$2*$H55) + BP56*((1-BP$2)*$H56+BP$2*$H57))</f>
        <v>2710.6161438902072</v>
      </c>
      <c r="BQ57" s="52">
        <f t="shared" ref="BQ57" si="915">($O57*$Q57*$S57)^(1/3)/(BQ52*((1-BQ$2)*$H52+BQ$2*$H53) + BQ54*((1-BQ$2)*$H54+BQ$2*$H55) + BQ56*((1-BQ$2)*$H56+BQ$2*$H57))</f>
        <v>3110.9079543326643</v>
      </c>
      <c r="BR57" s="52">
        <f t="shared" ref="BR57" si="916">($O57*$Q57*$S57)^(1/3)/(BR52*((1-BR$2)*$H52+BR$2*$H53) + BR54*((1-BR$2)*$H54+BR$2*$H55) + BR56*((1-BR$2)*$H56+BR$2*$H57))</f>
        <v>3070.0332193584045</v>
      </c>
      <c r="BS57" s="52">
        <f t="shared" ref="BS57" si="917">($O57*$Q57*$S57)^(1/3)/(BS52*((1-BS$2)*$H52+BS$2*$H53) + BS54*((1-BS$2)*$H54+BS$2*$H55) + BS56*((1-BS$2)*$H56+BS$2*$H57))</f>
        <v>3337.5328404237953</v>
      </c>
      <c r="BT57" s="52">
        <f t="shared" ref="BT57" si="918">($O57*$Q57*$S57)^(1/3)/(BT52*((1-BT$2)*$H52+BT$2*$H53) + BT54*((1-BT$2)*$H54+BT$2*$H55) + BT56*((1-BT$2)*$H56+BT$2*$H57))</f>
        <v>2608.243106269796</v>
      </c>
      <c r="BU57" s="52">
        <f t="shared" ref="BU57" si="919">($O57*$Q57*$S57)^(1/3)/(BU52*((1-BU$2)*$H52+BU$2*$H53) + BU54*((1-BU$2)*$H54+BU$2*$H55) + BU56*((1-BU$2)*$H56+BU$2*$H57))</f>
        <v>2649.7142147943682</v>
      </c>
      <c r="BV57" s="52">
        <f t="shared" ref="BV57" si="920">($O57*$Q57*$S57)^(1/3)/(BV52*((1-BV$2)*$H52+BV$2*$H53) + BV54*((1-BV$2)*$H54+BV$2*$H55) + BV56*((1-BV$2)*$H56+BV$2*$H57))</f>
        <v>2706.3645561063013</v>
      </c>
      <c r="BW57" s="52">
        <f t="shared" ref="BW57" si="921">($O57*$Q57*$S57)^(1/3)/(BW52*((1-BW$2)*$H52+BW$2*$H53) + BW54*((1-BW$2)*$H54+BW$2*$H55) + BW56*((1-BW$2)*$H56+BW$2*$H57))</f>
        <v>3117.913140296384</v>
      </c>
      <c r="BX57" s="52">
        <f t="shared" ref="BX57" si="922">($O57*$Q57*$S57)^(1/3)/(BX52*((1-BX$2)*$H52+BX$2*$H53) + BX54*((1-BX$2)*$H54+BX$2*$H55) + BX56*((1-BX$2)*$H56+BX$2*$H57))</f>
        <v>2884.0375840773818</v>
      </c>
      <c r="BY57" s="52">
        <f t="shared" ref="BY57" si="923">($O57*$Q57*$S57)^(1/3)/(BY52*((1-BY$2)*$H52+BY$2*$H53) + BY54*((1-BY$2)*$H54+BY$2*$H55) + BY56*((1-BY$2)*$H56+BY$2*$H57))</f>
        <v>3285.0371567792749</v>
      </c>
      <c r="BZ57" s="52">
        <f t="shared" ref="BZ57" si="924">($O57*$Q57*$S57)^(1/3)/(BZ52*((1-BZ$2)*$H52+BZ$2*$H53) + BZ54*((1-BZ$2)*$H54+BZ$2*$H55) + BZ56*((1-BZ$2)*$H56+BZ$2*$H57))</f>
        <v>3173.4940598625171</v>
      </c>
      <c r="CA57" s="52">
        <f t="shared" ref="CA57" si="925">($O57*$Q57*$S57)^(1/3)/(CA52*((1-CA$2)*$H52+CA$2*$H53) + CA54*((1-CA$2)*$H54+CA$2*$H55) + CA56*((1-CA$2)*$H56+CA$2*$H57))</f>
        <v>3380.4880962594939</v>
      </c>
      <c r="CB57" s="52">
        <f t="shared" ref="CB57" si="926">($O57*$Q57*$S57)^(1/3)/(CB52*((1-CB$2)*$H52+CB$2*$H53) + CB54*((1-CB$2)*$H54+CB$2*$H55) + CB56*((1-CB$2)*$H56+CB$2*$H57))</f>
        <v>2890.578700247454</v>
      </c>
      <c r="CC57" s="52">
        <f t="shared" ref="CC57" si="927">($O57*$Q57*$S57)^(1/3)/(CC52*((1-CC$2)*$H52+CC$2*$H53) + CC54*((1-CC$2)*$H54+CC$2*$H55) + CC56*((1-CC$2)*$H56+CC$2*$H57))</f>
        <v>2916.8908600676518</v>
      </c>
      <c r="CD57" s="52">
        <f t="shared" ref="CD57" si="928">($O57*$Q57*$S57)^(1/3)/(CD52*((1-CD$2)*$H52+CD$2*$H53) + CD54*((1-CD$2)*$H54+CD$2*$H55) + CD56*((1-CD$2)*$H56+CD$2*$H57))</f>
        <v>2955.3215696864613</v>
      </c>
      <c r="CE57" s="52">
        <f t="shared" ref="CE57" si="929">($O57*$Q57*$S57)^(1/3)/(CE52*((1-CE$2)*$H52+CE$2*$H53) + CE54*((1-CE$2)*$H54+CE$2*$H55) + CE56*((1-CE$2)*$H56+CE$2*$H57))</f>
        <v>3360.9365768534972</v>
      </c>
      <c r="CF57" s="52">
        <f t="shared" ref="CF57" si="930">($O57*$Q57*$S57)^(1/3)/(CF52*((1-CF$2)*$H52+CF$2*$H53) + CF54*((1-CF$2)*$H54+CF$2*$H55) + CF56*((1-CF$2)*$H56+CF$2*$H57))</f>
        <v>3081.1663068571766</v>
      </c>
      <c r="CG57" s="52">
        <f t="shared" ref="CG57" si="931">($O57*$Q57*$S57)^(1/3)/(CG52*((1-CG$2)*$H52+CG$2*$H53) + CG54*((1-CG$2)*$H54+CG$2*$H55) + CG56*((1-CG$2)*$H56+CG$2*$H57))</f>
        <v>3479.8155001427617</v>
      </c>
      <c r="CH57" s="52">
        <f t="shared" ref="CH57" si="932">($O57*$Q57*$S57)^(1/3)/(CH52*((1-CH$2)*$H52+CH$2*$H53) + CH54*((1-CH$2)*$H54+CH$2*$H55) + CH56*((1-CH$2)*$H56+CH$2*$H57))</f>
        <v>3284.1714076017925</v>
      </c>
      <c r="CI57" s="52">
        <f t="shared" ref="CI57" si="933">($O57*$Q57*$S57)^(1/3)/(CI52*((1-CI$2)*$H52+CI$2*$H53) + CI54*((1-CI$2)*$H54+CI$2*$H55) + CI56*((1-CI$2)*$H56+CI$2*$H57))</f>
        <v>3424.5634677740827</v>
      </c>
      <c r="CJ57" s="52">
        <f t="shared" ref="CJ57" si="934">($O57*$Q57*$S57)^(1/3)/(CJ52*((1-CJ$2)*$H52+CJ$2*$H53) + CJ54*((1-CJ$2)*$H54+CJ$2*$H55) + CJ56*((1-CJ$2)*$H56+CJ$2*$H57))</f>
        <v>3241.4581956532143</v>
      </c>
      <c r="CK57" s="52">
        <f t="shared" ref="CK57" si="935">($O57*$Q57*$S57)^(1/3)/(CK52*((1-CK$2)*$H52+CK$2*$H53) + CK54*((1-CK$2)*$H54+CK$2*$H55) + CK56*((1-CK$2)*$H56+CK$2*$H57))</f>
        <v>3243.9896326497906</v>
      </c>
      <c r="CL57" s="52">
        <f t="shared" ref="CL57" si="936">($O57*$Q57*$S57)^(1/3)/(CL52*((1-CL$2)*$H52+CL$2*$H53) + CL54*((1-CL$2)*$H54+CL$2*$H55) + CL56*((1-CL$2)*$H56+CL$2*$H57))</f>
        <v>3254.7216567399287</v>
      </c>
      <c r="CM57" s="52">
        <f t="shared" ref="CM57" si="937">($O57*$Q57*$S57)^(1/3)/(CM52*((1-CM$2)*$H52+CM$2*$H53) + CM54*((1-CM$2)*$H54+CM$2*$H55) + CM56*((1-CM$2)*$H56+CM$2*$H57))</f>
        <v>3645.047078865131</v>
      </c>
      <c r="CN57" s="52">
        <f t="shared" ref="CN57" si="938">($O57*$Q57*$S57)^(1/3)/(CN52*((1-CN$2)*$H52+CN$2*$H53) + CN54*((1-CN$2)*$H54+CN$2*$H55) + CN56*((1-CN$2)*$H56+CN$2*$H57))</f>
        <v>3307.2202633168563</v>
      </c>
      <c r="CO57" s="52">
        <f t="shared" ref="CO57" si="939">($O57*$Q57*$S57)^(1/3)/(CO52*((1-CO$2)*$H52+CO$2*$H53) + CO54*((1-CO$2)*$H54+CO$2*$H55) + CO56*((1-CO$2)*$H56+CO$2*$H57))</f>
        <v>3699.1475170553517</v>
      </c>
      <c r="CP57" s="52">
        <f t="shared" ref="CP57" si="940">($O57*$Q57*$S57)^(1/3)/(CP52*((1-CP$2)*$H52+CP$2*$H53) + CP54*((1-CP$2)*$H54+CP$2*$H55) + CP56*((1-CP$2)*$H56+CP$2*$H57))</f>
        <v>3402.8475854728972</v>
      </c>
      <c r="CQ57" s="52">
        <f t="shared" ref="CQ57" si="941">($O57*$Q57*$S57)^(1/3)/(CQ52*((1-CQ$2)*$H52+CQ$2*$H53) + CQ54*((1-CQ$2)*$H54+CQ$2*$H55) + CQ56*((1-CQ$2)*$H56+CQ$2*$H57))</f>
        <v>3469.8033465210906</v>
      </c>
      <c r="CS57" s="50">
        <f t="shared" ref="CS57" si="942">100*$AF57/AF57</f>
        <v>100</v>
      </c>
      <c r="CT57" s="50">
        <f t="shared" ref="CT57" si="943">100*$AF57/AG57</f>
        <v>96.424999999999969</v>
      </c>
      <c r="CU57" s="50">
        <f t="shared" ref="CU57" si="944">100*$AF57/AH57</f>
        <v>92.025000000000006</v>
      </c>
      <c r="CV57" s="50">
        <f t="shared" ref="CV57" si="945">100*$AF57/AI57</f>
        <v>76.525000000000006</v>
      </c>
      <c r="CW57" s="50">
        <f t="shared" ref="CW57" si="946">100*$AF57/AJ57</f>
        <v>80.199999999999989</v>
      </c>
      <c r="CX57" s="50">
        <f t="shared" ref="CX57" si="947">100*$AF57/AK57</f>
        <v>68.274999999999991</v>
      </c>
      <c r="CY57" s="50">
        <f t="shared" ref="CY57" si="948">100*$AF57/AL57</f>
        <v>64.525000000000006</v>
      </c>
      <c r="CZ57" s="50">
        <f t="shared" ref="CZ57" si="949">100*$AF57/AM57</f>
        <v>55.174999999999997</v>
      </c>
      <c r="DA57" s="50">
        <f t="shared" ref="DA57" si="950">100*$AF57/AN57</f>
        <v>93.437500000000014</v>
      </c>
      <c r="DB57" s="50">
        <f t="shared" ref="DB57" si="951">100*$AF57/AO57</f>
        <v>90.3671875</v>
      </c>
      <c r="DC57" s="50">
        <f t="shared" ref="DC57" si="952">100*$AF57/AP57</f>
        <v>86.570312500000028</v>
      </c>
      <c r="DD57" s="50">
        <f t="shared" ref="DD57" si="953">100*$AF57/AQ57</f>
        <v>72.4609375</v>
      </c>
      <c r="DE57" s="50">
        <f t="shared" ref="DE57" si="954">100*$AF57/AR57</f>
        <v>76.3125</v>
      </c>
      <c r="DF57" s="50">
        <f t="shared" ref="DF57" si="955">100*$AF57/AS57</f>
        <v>65.2890625</v>
      </c>
      <c r="DG57" s="50">
        <f t="shared" ref="DG57" si="956">100*$AF57/AT57</f>
        <v>62.664062500000007</v>
      </c>
      <c r="DH57" s="50">
        <f t="shared" ref="DH57" si="957">100*$AF57/AU57</f>
        <v>54.507812499999993</v>
      </c>
      <c r="DI57" s="50">
        <f t="shared" ref="DI57" si="958">100*$AF57/AV57</f>
        <v>86.874999999999986</v>
      </c>
      <c r="DJ57" s="50">
        <f t="shared" ref="DJ57" si="959">100*$AF57/AW57</f>
        <v>84.309374999999989</v>
      </c>
      <c r="DK57" s="50">
        <f t="shared" ref="DK57" si="960">100*$AF57/AX57</f>
        <v>81.11562499999998</v>
      </c>
      <c r="DL57" s="50">
        <f t="shared" ref="DL57" si="961">100*$AF57/AY57</f>
        <v>68.396874999999994</v>
      </c>
      <c r="DM57" s="50">
        <f t="shared" ref="DM57" si="962">100*$AF57/AZ57</f>
        <v>72.424999999999983</v>
      </c>
      <c r="DN57" s="50">
        <f t="shared" ref="DN57" si="963">100*$AF57/BA57</f>
        <v>62.303125000000001</v>
      </c>
      <c r="DO57" s="50">
        <f t="shared" ref="DO57" si="964">100*$AF57/BB57</f>
        <v>60.803124999999987</v>
      </c>
      <c r="DP57" s="50">
        <f t="shared" ref="DP57" si="965">100*$AF57/BC57</f>
        <v>53.840624999999996</v>
      </c>
      <c r="DQ57" s="50">
        <f t="shared" ref="DQ57" si="966">100*$AF57/BD57</f>
        <v>80.3125</v>
      </c>
      <c r="DR57" s="50">
        <f t="shared" ref="DR57" si="967">100*$AF57/BE57</f>
        <v>78.251562500000006</v>
      </c>
      <c r="DS57" s="50">
        <f t="shared" ref="DS57" si="968">100*$AF57/BF57</f>
        <v>75.660937500000003</v>
      </c>
      <c r="DT57" s="50">
        <f t="shared" ref="DT57" si="969">100*$AF57/BG57</f>
        <v>64.332812500000003</v>
      </c>
      <c r="DU57" s="50">
        <f t="shared" ref="DU57" si="970">100*$AF57/BH57</f>
        <v>68.537500000000009</v>
      </c>
      <c r="DV57" s="50">
        <f t="shared" ref="DV57" si="971">100*$AF57/BI57</f>
        <v>59.317187500000003</v>
      </c>
      <c r="DW57" s="50">
        <f t="shared" ref="DW57" si="972">100*$AF57/BJ57</f>
        <v>58.942187500000003</v>
      </c>
      <c r="DX57" s="50">
        <f t="shared" ref="DX57" si="973">100*$AF57/BK57</f>
        <v>53.173437499999999</v>
      </c>
      <c r="DY57" s="50">
        <f t="shared" ref="DY57" si="974">100*$AF57/BL57</f>
        <v>73.749999999999986</v>
      </c>
      <c r="DZ57" s="50">
        <f t="shared" ref="DZ57" si="975">100*$AF57/BM57</f>
        <v>72.19374999999998</v>
      </c>
      <c r="EA57" s="50">
        <f t="shared" ref="EA57" si="976">100*$AF57/BN57</f>
        <v>70.206249999999997</v>
      </c>
      <c r="EB57" s="50">
        <f t="shared" ref="EB57" si="977">100*$AF57/BO57</f>
        <v>60.26874999999999</v>
      </c>
      <c r="EC57" s="50">
        <f t="shared" ref="EC57" si="978">100*$AF57/BP57</f>
        <v>64.650000000000006</v>
      </c>
      <c r="ED57" s="50">
        <f t="shared" ref="ED57" si="979">100*$AF57/BQ57</f>
        <v>56.331250000000004</v>
      </c>
      <c r="EE57" s="50">
        <f t="shared" ref="EE57" si="980">100*$AF57/BR57</f>
        <v>57.08124999999999</v>
      </c>
      <c r="EF57" s="50">
        <f t="shared" ref="EF57" si="981">100*$AF57/BS57</f>
        <v>52.506250000000001</v>
      </c>
      <c r="EG57" s="50">
        <f t="shared" ref="EG57" si="982">100*$AF57/BT57</f>
        <v>67.187499999999986</v>
      </c>
      <c r="EH57" s="50">
        <f t="shared" ref="EH57" si="983">100*$AF57/BU57</f>
        <v>66.135937499999997</v>
      </c>
      <c r="EI57" s="50">
        <f t="shared" ref="EI57" si="984">100*$AF57/BV57</f>
        <v>64.751562499999991</v>
      </c>
      <c r="EJ57" s="50">
        <f t="shared" ref="EJ57" si="985">100*$AF57/BW57</f>
        <v>56.204687499999991</v>
      </c>
      <c r="EK57" s="50">
        <f t="shared" ref="EK57" si="986">100*$AF57/BX57</f>
        <v>60.762499999999996</v>
      </c>
      <c r="EL57" s="50">
        <f t="shared" ref="EL57" si="987">100*$AF57/BY57</f>
        <v>53.345312499999999</v>
      </c>
      <c r="EM57" s="50">
        <f t="shared" ref="EM57" si="988">100*$AF57/BZ57</f>
        <v>55.220312499999999</v>
      </c>
      <c r="EN57" s="50">
        <f t="shared" ref="EN57" si="989">100*$AF57/CA57</f>
        <v>51.839062499999997</v>
      </c>
      <c r="EO57" s="50">
        <f t="shared" ref="EO57" si="990">100*$AF57/CB57</f>
        <v>60.625</v>
      </c>
      <c r="EP57" s="50">
        <f t="shared" ref="EP57" si="991">100*$AF57/CC57</f>
        <v>60.078125</v>
      </c>
      <c r="EQ57" s="50">
        <f t="shared" ref="EQ57" si="992">100*$AF57/CD57</f>
        <v>59.296875000000007</v>
      </c>
      <c r="ER57" s="50">
        <f t="shared" ref="ER57" si="993">100*$AF57/CE57</f>
        <v>52.140625000000007</v>
      </c>
      <c r="ES57" s="50">
        <f t="shared" ref="ES57" si="994">100*$AF57/CF57</f>
        <v>56.874999999999993</v>
      </c>
      <c r="ET57" s="50">
        <f t="shared" ref="ET57" si="995">100*$AF57/CG57</f>
        <v>50.359375</v>
      </c>
      <c r="EU57" s="50">
        <f t="shared" ref="EU57" si="996">100*$AF57/CH57</f>
        <v>53.359375</v>
      </c>
      <c r="EV57" s="50">
        <f t="shared" ref="EV57" si="997">100*$AF57/CI57</f>
        <v>51.171875</v>
      </c>
      <c r="EW57" s="50">
        <f t="shared" ref="EW57" si="998">100*$AF57/CJ57</f>
        <v>54.0625</v>
      </c>
      <c r="EX57" s="50">
        <f t="shared" ref="EX57" si="999">100*$AF57/CK57</f>
        <v>54.020312500000003</v>
      </c>
      <c r="EY57" s="50">
        <f t="shared" ref="EY57" si="1000">100*$AF57/CL57</f>
        <v>53.842187500000009</v>
      </c>
      <c r="EZ57" s="50">
        <f t="shared" ref="EZ57" si="1001">100*$AF57/CM57</f>
        <v>48.076562500000001</v>
      </c>
      <c r="FA57" s="50">
        <f t="shared" ref="FA57" si="1002">100*$AF57/CN57</f>
        <v>52.98749999999999</v>
      </c>
      <c r="FB57" s="50">
        <f t="shared" ref="FB57" si="1003">100*$AF57/CO57</f>
        <v>47.373437500000001</v>
      </c>
      <c r="FC57" s="50">
        <f t="shared" ref="FC57" si="1004">100*$AF57/CP57</f>
        <v>51.498437500000001</v>
      </c>
      <c r="FD57" s="50">
        <f t="shared" ref="FD57" si="1005">100*$AF57/CQ57</f>
        <v>50.504687500000003</v>
      </c>
    </row>
    <row r="58" spans="3:160" x14ac:dyDescent="0.4">
      <c r="C58" s="1" t="s">
        <v>19</v>
      </c>
      <c r="D58" s="1" t="s">
        <v>5</v>
      </c>
      <c r="E58" s="1">
        <v>0.28799999999999998</v>
      </c>
      <c r="F58" s="1">
        <v>0.18</v>
      </c>
      <c r="G58" s="1">
        <v>0.108</v>
      </c>
      <c r="H58" s="1">
        <v>4.8000000000000001E-2</v>
      </c>
      <c r="I58" s="1">
        <v>4542</v>
      </c>
      <c r="J58" s="1">
        <v>3821</v>
      </c>
      <c r="K58" s="1">
        <v>56</v>
      </c>
      <c r="L58" s="1">
        <v>5350</v>
      </c>
      <c r="M58" s="1">
        <v>5775</v>
      </c>
      <c r="N58" s="1">
        <v>72</v>
      </c>
      <c r="O58" s="1">
        <v>86</v>
      </c>
      <c r="P58" s="1">
        <v>87.5</v>
      </c>
      <c r="Q58" s="1">
        <v>90</v>
      </c>
      <c r="R58" s="1">
        <v>50</v>
      </c>
      <c r="S58" s="1">
        <v>86</v>
      </c>
      <c r="T58" s="4">
        <v>0</v>
      </c>
      <c r="U58" s="1">
        <v>1.653</v>
      </c>
      <c r="V58" s="1">
        <v>7.9000000000000001E-2</v>
      </c>
      <c r="W58" s="1">
        <v>4.0199999999999996</v>
      </c>
      <c r="X58" s="1">
        <f t="shared" ref="X58" si="1006">H59</f>
        <v>2.4E-2</v>
      </c>
      <c r="Y58" s="1">
        <f t="shared" ref="Y58" si="1007">H60</f>
        <v>5.3999999999999999E-2</v>
      </c>
      <c r="Z58" s="1">
        <f t="shared" ref="Z58" si="1008">H61</f>
        <v>2.7E-2</v>
      </c>
      <c r="AA58" s="1">
        <f t="shared" ref="AA58" si="1009">H62</f>
        <v>1.7999999999999999E-2</v>
      </c>
      <c r="AB58" s="1">
        <f t="shared" ref="AB58" si="1010">H63</f>
        <v>2.7E-2</v>
      </c>
      <c r="AC58" s="1">
        <f t="shared" si="114"/>
        <v>4389.2512070835319</v>
      </c>
      <c r="AE58" s="1" t="s">
        <v>96</v>
      </c>
      <c r="AF58" s="1">
        <v>1</v>
      </c>
      <c r="AG58" s="1">
        <v>0.81499999999999995</v>
      </c>
      <c r="AH58" s="1">
        <v>0.64500000000000002</v>
      </c>
      <c r="AI58" s="1">
        <v>0.39500000000000002</v>
      </c>
      <c r="AJ58" s="1">
        <v>0.36</v>
      </c>
      <c r="AK58" s="1">
        <v>0.245</v>
      </c>
      <c r="AL58" s="1">
        <v>0.14499999999999999</v>
      </c>
      <c r="AM58" s="20">
        <v>6.5000000000000002E-2</v>
      </c>
      <c r="AN58" s="1">
        <v>1</v>
      </c>
      <c r="AO58" s="1">
        <v>0.81499999999999995</v>
      </c>
      <c r="AP58" s="1">
        <v>0.64500000000000002</v>
      </c>
      <c r="AQ58" s="1">
        <v>0.39500000000000002</v>
      </c>
      <c r="AR58" s="1">
        <v>0.36</v>
      </c>
      <c r="AS58" s="1">
        <v>0.245</v>
      </c>
      <c r="AT58" s="1">
        <v>0.14499999999999999</v>
      </c>
      <c r="AU58" s="20">
        <v>6.5000000000000002E-2</v>
      </c>
      <c r="AV58" s="1">
        <v>1</v>
      </c>
      <c r="AW58" s="1">
        <v>0.81499999999999995</v>
      </c>
      <c r="AX58" s="1">
        <v>0.64500000000000002</v>
      </c>
      <c r="AY58" s="1">
        <v>0.39500000000000002</v>
      </c>
      <c r="AZ58" s="1">
        <v>0.36</v>
      </c>
      <c r="BA58" s="1">
        <v>0.245</v>
      </c>
      <c r="BB58" s="1">
        <v>0.14499999999999999</v>
      </c>
      <c r="BC58" s="20">
        <v>6.5000000000000002E-2</v>
      </c>
      <c r="BD58" s="1">
        <v>1</v>
      </c>
      <c r="BE58" s="1">
        <v>0.81499999999999995</v>
      </c>
      <c r="BF58" s="1">
        <v>0.64500000000000002</v>
      </c>
      <c r="BG58" s="1">
        <v>0.39500000000000002</v>
      </c>
      <c r="BH58" s="1">
        <v>0.36</v>
      </c>
      <c r="BI58" s="1">
        <v>0.245</v>
      </c>
      <c r="BJ58" s="1">
        <v>0.14499999999999999</v>
      </c>
      <c r="BK58" s="20">
        <v>6.5000000000000002E-2</v>
      </c>
      <c r="BL58" s="1">
        <v>1</v>
      </c>
      <c r="BM58" s="1">
        <v>0.81499999999999995</v>
      </c>
      <c r="BN58" s="1">
        <v>0.64500000000000002</v>
      </c>
      <c r="BO58" s="1">
        <v>0.39500000000000002</v>
      </c>
      <c r="BP58" s="1">
        <v>0.36</v>
      </c>
      <c r="BQ58" s="1">
        <v>0.245</v>
      </c>
      <c r="BR58" s="1">
        <v>0.14499999999999999</v>
      </c>
      <c r="BS58" s="20">
        <v>6.5000000000000002E-2</v>
      </c>
      <c r="BT58" s="1">
        <v>1</v>
      </c>
      <c r="BU58" s="1">
        <v>0.81499999999999995</v>
      </c>
      <c r="BV58" s="1">
        <v>0.64500000000000002</v>
      </c>
      <c r="BW58" s="1">
        <v>0.39500000000000002</v>
      </c>
      <c r="BX58" s="1">
        <v>0.36</v>
      </c>
      <c r="BY58" s="1">
        <v>0.245</v>
      </c>
      <c r="BZ58" s="1">
        <v>0.14499999999999999</v>
      </c>
      <c r="CA58" s="20">
        <v>6.5000000000000002E-2</v>
      </c>
      <c r="CB58" s="1">
        <v>1</v>
      </c>
      <c r="CC58" s="1">
        <v>0.81499999999999995</v>
      </c>
      <c r="CD58" s="1">
        <v>0.64500000000000002</v>
      </c>
      <c r="CE58" s="1">
        <v>0.39500000000000002</v>
      </c>
      <c r="CF58" s="1">
        <v>0.36</v>
      </c>
      <c r="CG58" s="1">
        <v>0.245</v>
      </c>
      <c r="CH58" s="1">
        <v>0.14499999999999999</v>
      </c>
      <c r="CI58" s="20">
        <v>6.5000000000000002E-2</v>
      </c>
      <c r="CJ58" s="1">
        <v>1</v>
      </c>
      <c r="CK58" s="1">
        <v>0.81499999999999995</v>
      </c>
      <c r="CL58" s="1">
        <v>0.64500000000000002</v>
      </c>
      <c r="CM58" s="1">
        <v>0.39500000000000002</v>
      </c>
      <c r="CN58" s="1">
        <v>0.36</v>
      </c>
      <c r="CO58" s="1">
        <v>0.245</v>
      </c>
      <c r="CP58" s="1">
        <v>0.14499999999999999</v>
      </c>
      <c r="CQ58" s="20">
        <v>6.5000000000000002E-2</v>
      </c>
    </row>
    <row r="59" spans="3:160" x14ac:dyDescent="0.4">
      <c r="C59" s="1" t="s">
        <v>19</v>
      </c>
      <c r="D59" s="1" t="s">
        <v>6</v>
      </c>
      <c r="E59" s="1">
        <v>0.25700000000000001</v>
      </c>
      <c r="F59" s="1">
        <v>0.14899999999999999</v>
      </c>
      <c r="G59" s="1">
        <v>0.108</v>
      </c>
      <c r="H59" s="1">
        <v>2.4E-2</v>
      </c>
      <c r="I59" s="1">
        <v>4542</v>
      </c>
      <c r="J59" s="1">
        <v>3821</v>
      </c>
      <c r="K59" s="1">
        <v>56</v>
      </c>
      <c r="L59" s="1">
        <v>5350</v>
      </c>
      <c r="M59" s="1">
        <v>5775</v>
      </c>
      <c r="N59" s="1">
        <v>72</v>
      </c>
      <c r="O59" s="1">
        <v>86</v>
      </c>
      <c r="P59" s="1">
        <v>87.5</v>
      </c>
      <c r="Q59" s="1">
        <v>90</v>
      </c>
      <c r="R59" s="1">
        <v>50</v>
      </c>
      <c r="S59" s="1">
        <v>86</v>
      </c>
      <c r="T59" s="4">
        <v>0</v>
      </c>
      <c r="U59" s="1">
        <v>1.653</v>
      </c>
      <c r="V59" s="1">
        <v>7.9000000000000001E-2</v>
      </c>
      <c r="W59" s="1">
        <v>4.0199999999999996</v>
      </c>
      <c r="X59" s="1">
        <f t="shared" ref="X59" si="1011">H59</f>
        <v>2.4E-2</v>
      </c>
      <c r="Y59" s="1">
        <f t="shared" ref="Y59" si="1012">H60</f>
        <v>5.3999999999999999E-2</v>
      </c>
      <c r="Z59" s="1">
        <f t="shared" ref="Z59" si="1013">H61</f>
        <v>2.7E-2</v>
      </c>
      <c r="AA59" s="1">
        <f t="shared" ref="AA59" si="1014">H62</f>
        <v>1.7999999999999999E-2</v>
      </c>
      <c r="AB59" s="1">
        <f t="shared" ref="AB59" si="1015">H63</f>
        <v>2.7E-2</v>
      </c>
      <c r="AC59" s="1">
        <f t="shared" si="114"/>
        <v>4389.2512070835319</v>
      </c>
      <c r="CQ59" s="20"/>
    </row>
    <row r="60" spans="3:160" x14ac:dyDescent="0.4">
      <c r="C60" s="1" t="s">
        <v>19</v>
      </c>
      <c r="D60" s="1" t="s">
        <v>7</v>
      </c>
      <c r="E60" s="1">
        <v>0.29499999999999998</v>
      </c>
      <c r="F60" s="1">
        <v>0.187</v>
      </c>
      <c r="G60" s="1">
        <v>0.108</v>
      </c>
      <c r="H60" s="1">
        <v>5.3999999999999999E-2</v>
      </c>
      <c r="I60" s="1">
        <v>4542</v>
      </c>
      <c r="J60" s="1">
        <v>3821</v>
      </c>
      <c r="K60" s="1">
        <v>56</v>
      </c>
      <c r="L60" s="1">
        <v>5350</v>
      </c>
      <c r="M60" s="1">
        <v>5775</v>
      </c>
      <c r="N60" s="1">
        <v>72</v>
      </c>
      <c r="O60" s="1">
        <v>86</v>
      </c>
      <c r="P60" s="1">
        <v>87.5</v>
      </c>
      <c r="Q60" s="1">
        <v>90</v>
      </c>
      <c r="R60" s="1">
        <v>50</v>
      </c>
      <c r="S60" s="1">
        <v>86</v>
      </c>
      <c r="T60" s="4">
        <v>0</v>
      </c>
      <c r="U60" s="1">
        <v>1.653</v>
      </c>
      <c r="V60" s="1">
        <v>7.9000000000000001E-2</v>
      </c>
      <c r="W60" s="1">
        <v>4.0199999999999996</v>
      </c>
      <c r="X60" s="1">
        <f t="shared" ref="X60" si="1016">H59</f>
        <v>2.4E-2</v>
      </c>
      <c r="Y60" s="1">
        <f t="shared" ref="Y60" si="1017">H60</f>
        <v>5.3999999999999999E-2</v>
      </c>
      <c r="Z60" s="1">
        <f t="shared" ref="Z60" si="1018">H61</f>
        <v>2.7E-2</v>
      </c>
      <c r="AA60" s="1">
        <f t="shared" ref="AA60" si="1019">H62</f>
        <v>1.7999999999999999E-2</v>
      </c>
      <c r="AB60" s="1">
        <f t="shared" ref="AB60" si="1020">H63</f>
        <v>2.7E-2</v>
      </c>
      <c r="AC60" s="1">
        <f t="shared" si="114"/>
        <v>4389.2512070835319</v>
      </c>
      <c r="AE60" s="1" t="s">
        <v>97</v>
      </c>
      <c r="AF60" s="1">
        <v>0</v>
      </c>
      <c r="AG60" s="1">
        <v>0.12</v>
      </c>
      <c r="AH60" s="1">
        <v>0.21</v>
      </c>
      <c r="AI60" s="1">
        <v>0.26</v>
      </c>
      <c r="AJ60" s="1">
        <v>0.28000000000000003</v>
      </c>
      <c r="AK60" s="1">
        <v>0.26</v>
      </c>
      <c r="AL60" s="1">
        <v>0.21</v>
      </c>
      <c r="AM60" s="20">
        <v>0.12</v>
      </c>
      <c r="AN60" s="1">
        <v>0</v>
      </c>
      <c r="AO60" s="1">
        <v>0.12</v>
      </c>
      <c r="AP60" s="1">
        <v>0.21</v>
      </c>
      <c r="AQ60" s="1">
        <v>0.26</v>
      </c>
      <c r="AR60" s="1">
        <v>0.28000000000000003</v>
      </c>
      <c r="AS60" s="1">
        <v>0.26</v>
      </c>
      <c r="AT60" s="1">
        <v>0.21</v>
      </c>
      <c r="AU60" s="20">
        <v>0.12</v>
      </c>
      <c r="AV60" s="1">
        <v>0</v>
      </c>
      <c r="AW60" s="1">
        <v>0.12</v>
      </c>
      <c r="AX60" s="1">
        <v>0.21</v>
      </c>
      <c r="AY60" s="1">
        <v>0.26</v>
      </c>
      <c r="AZ60" s="1">
        <v>0.28000000000000003</v>
      </c>
      <c r="BA60" s="1">
        <v>0.26</v>
      </c>
      <c r="BB60" s="1">
        <v>0.21</v>
      </c>
      <c r="BC60" s="20">
        <v>0.12</v>
      </c>
      <c r="BD60" s="1">
        <v>0</v>
      </c>
      <c r="BE60" s="1">
        <v>0.12</v>
      </c>
      <c r="BF60" s="1">
        <v>0.21</v>
      </c>
      <c r="BG60" s="1">
        <v>0.26</v>
      </c>
      <c r="BH60" s="1">
        <v>0.28000000000000003</v>
      </c>
      <c r="BI60" s="1">
        <v>0.26</v>
      </c>
      <c r="BJ60" s="1">
        <v>0.21</v>
      </c>
      <c r="BK60" s="20">
        <v>0.12</v>
      </c>
      <c r="BL60" s="1">
        <v>0</v>
      </c>
      <c r="BM60" s="1">
        <v>0.12</v>
      </c>
      <c r="BN60" s="1">
        <v>0.21</v>
      </c>
      <c r="BO60" s="1">
        <v>0.26</v>
      </c>
      <c r="BP60" s="1">
        <v>0.28000000000000003</v>
      </c>
      <c r="BQ60" s="1">
        <v>0.26</v>
      </c>
      <c r="BR60" s="1">
        <v>0.21</v>
      </c>
      <c r="BS60" s="20">
        <v>0.12</v>
      </c>
      <c r="BT60" s="1">
        <v>0</v>
      </c>
      <c r="BU60" s="1">
        <v>0.12</v>
      </c>
      <c r="BV60" s="1">
        <v>0.21</v>
      </c>
      <c r="BW60" s="1">
        <v>0.26</v>
      </c>
      <c r="BX60" s="1">
        <v>0.28000000000000003</v>
      </c>
      <c r="BY60" s="1">
        <v>0.26</v>
      </c>
      <c r="BZ60" s="1">
        <v>0.21</v>
      </c>
      <c r="CA60" s="20">
        <v>0.12</v>
      </c>
      <c r="CB60" s="1">
        <v>0</v>
      </c>
      <c r="CC60" s="1">
        <v>0.12</v>
      </c>
      <c r="CD60" s="1">
        <v>0.21</v>
      </c>
      <c r="CE60" s="1">
        <v>0.26</v>
      </c>
      <c r="CF60" s="1">
        <v>0.28000000000000003</v>
      </c>
      <c r="CG60" s="1">
        <v>0.26</v>
      </c>
      <c r="CH60" s="1">
        <v>0.21</v>
      </c>
      <c r="CI60" s="20">
        <v>0.12</v>
      </c>
      <c r="CJ60" s="1">
        <v>0</v>
      </c>
      <c r="CK60" s="1">
        <v>0.12</v>
      </c>
      <c r="CL60" s="1">
        <v>0.21</v>
      </c>
      <c r="CM60" s="1">
        <v>0.26</v>
      </c>
      <c r="CN60" s="1">
        <v>0.28000000000000003</v>
      </c>
      <c r="CO60" s="1">
        <v>0.26</v>
      </c>
      <c r="CP60" s="1">
        <v>0.21</v>
      </c>
      <c r="CQ60" s="20">
        <v>0.12</v>
      </c>
    </row>
    <row r="61" spans="3:160" x14ac:dyDescent="0.4">
      <c r="C61" s="1" t="s">
        <v>19</v>
      </c>
      <c r="D61" s="1" t="s">
        <v>8</v>
      </c>
      <c r="E61" s="1">
        <v>0.26</v>
      </c>
      <c r="F61" s="1">
        <v>0.152</v>
      </c>
      <c r="G61" s="1">
        <v>0.108</v>
      </c>
      <c r="H61" s="1">
        <v>2.7E-2</v>
      </c>
      <c r="I61" s="1">
        <v>4542</v>
      </c>
      <c r="J61" s="1">
        <v>3821</v>
      </c>
      <c r="K61" s="1">
        <v>56</v>
      </c>
      <c r="L61" s="1">
        <v>5350</v>
      </c>
      <c r="M61" s="1">
        <v>5775</v>
      </c>
      <c r="N61" s="1">
        <v>72</v>
      </c>
      <c r="O61" s="1">
        <v>86</v>
      </c>
      <c r="P61" s="1">
        <v>87.5</v>
      </c>
      <c r="Q61" s="1">
        <v>90</v>
      </c>
      <c r="R61" s="1">
        <v>50</v>
      </c>
      <c r="S61" s="1">
        <v>86</v>
      </c>
      <c r="T61" s="4">
        <v>0</v>
      </c>
      <c r="U61" s="1">
        <v>1.653</v>
      </c>
      <c r="V61" s="1">
        <v>7.9000000000000001E-2</v>
      </c>
      <c r="W61" s="1">
        <v>4.0199999999999996</v>
      </c>
      <c r="X61" s="1">
        <f t="shared" ref="X61" si="1021">H59</f>
        <v>2.4E-2</v>
      </c>
      <c r="Y61" s="1">
        <f t="shared" ref="Y61" si="1022">H60</f>
        <v>5.3999999999999999E-2</v>
      </c>
      <c r="Z61" s="1">
        <f t="shared" ref="Z61" si="1023">H61</f>
        <v>2.7E-2</v>
      </c>
      <c r="AA61" s="1">
        <f t="shared" ref="AA61" si="1024">H62</f>
        <v>1.7999999999999999E-2</v>
      </c>
      <c r="AB61" s="1">
        <f t="shared" ref="AB61" si="1025">H63</f>
        <v>2.7E-2</v>
      </c>
      <c r="AC61" s="1">
        <f t="shared" si="114"/>
        <v>4389.2512070835319</v>
      </c>
      <c r="CQ61" s="20"/>
    </row>
    <row r="62" spans="3:160" x14ac:dyDescent="0.4">
      <c r="C62" s="1" t="s">
        <v>19</v>
      </c>
      <c r="D62" s="1" t="s">
        <v>9</v>
      </c>
      <c r="E62" s="1">
        <v>0.25</v>
      </c>
      <c r="F62" s="1">
        <v>0.14199999999999999</v>
      </c>
      <c r="G62" s="1">
        <v>0.108</v>
      </c>
      <c r="H62" s="1">
        <v>1.7999999999999999E-2</v>
      </c>
      <c r="I62" s="1">
        <v>4542</v>
      </c>
      <c r="J62" s="1">
        <v>3821</v>
      </c>
      <c r="K62" s="1">
        <v>56</v>
      </c>
      <c r="L62" s="1">
        <v>5350</v>
      </c>
      <c r="M62" s="1">
        <v>5775</v>
      </c>
      <c r="N62" s="1">
        <v>72</v>
      </c>
      <c r="O62" s="1">
        <v>86</v>
      </c>
      <c r="P62" s="1">
        <v>87.5</v>
      </c>
      <c r="Q62" s="1">
        <v>90</v>
      </c>
      <c r="R62" s="1">
        <v>50</v>
      </c>
      <c r="S62" s="1">
        <v>86</v>
      </c>
      <c r="T62" s="4">
        <v>0</v>
      </c>
      <c r="U62" s="1">
        <v>1.653</v>
      </c>
      <c r="V62" s="1">
        <v>7.9000000000000001E-2</v>
      </c>
      <c r="W62" s="1">
        <v>4.0199999999999996</v>
      </c>
      <c r="X62" s="1">
        <f t="shared" ref="X62" si="1026">H59</f>
        <v>2.4E-2</v>
      </c>
      <c r="Y62" s="1">
        <f t="shared" ref="Y62" si="1027">H60</f>
        <v>5.3999999999999999E-2</v>
      </c>
      <c r="Z62" s="1">
        <f t="shared" ref="Z62" si="1028">H61</f>
        <v>2.7E-2</v>
      </c>
      <c r="AA62" s="1">
        <f t="shared" ref="AA62" si="1029">H62</f>
        <v>1.7999999999999999E-2</v>
      </c>
      <c r="AB62" s="1">
        <f t="shared" ref="AB62" si="1030">H63</f>
        <v>2.7E-2</v>
      </c>
      <c r="AC62" s="1">
        <f t="shared" si="114"/>
        <v>4389.2512070835319</v>
      </c>
      <c r="AE62" s="1" t="s">
        <v>98</v>
      </c>
      <c r="AF62" s="1">
        <v>0</v>
      </c>
      <c r="AG62" s="1">
        <v>6.5000000000000002E-2</v>
      </c>
      <c r="AH62" s="1">
        <v>0.14499999999999999</v>
      </c>
      <c r="AI62" s="1">
        <v>0.245</v>
      </c>
      <c r="AJ62" s="1">
        <v>0.36</v>
      </c>
      <c r="AK62" s="1">
        <v>0.39500000000000002</v>
      </c>
      <c r="AL62" s="1">
        <v>0.64500000000000002</v>
      </c>
      <c r="AM62" s="20">
        <v>0.81499999999999995</v>
      </c>
      <c r="AN62" s="1">
        <v>0</v>
      </c>
      <c r="AO62" s="1">
        <v>6.5000000000000002E-2</v>
      </c>
      <c r="AP62" s="1">
        <v>0.14499999999999999</v>
      </c>
      <c r="AQ62" s="1">
        <v>0.245</v>
      </c>
      <c r="AR62" s="1">
        <v>0.36</v>
      </c>
      <c r="AS62" s="1">
        <v>0.39500000000000002</v>
      </c>
      <c r="AT62" s="1">
        <v>0.64500000000000002</v>
      </c>
      <c r="AU62" s="20">
        <v>0.81499999999999995</v>
      </c>
      <c r="AV62" s="1">
        <v>0</v>
      </c>
      <c r="AW62" s="1">
        <v>6.5000000000000002E-2</v>
      </c>
      <c r="AX62" s="1">
        <v>0.14499999999999999</v>
      </c>
      <c r="AY62" s="1">
        <v>0.245</v>
      </c>
      <c r="AZ62" s="1">
        <v>0.36</v>
      </c>
      <c r="BA62" s="1">
        <v>0.39500000000000002</v>
      </c>
      <c r="BB62" s="1">
        <v>0.64500000000000002</v>
      </c>
      <c r="BC62" s="20">
        <v>0.81499999999999995</v>
      </c>
      <c r="BD62" s="1">
        <v>0</v>
      </c>
      <c r="BE62" s="1">
        <v>6.5000000000000002E-2</v>
      </c>
      <c r="BF62" s="1">
        <v>0.14499999999999999</v>
      </c>
      <c r="BG62" s="1">
        <v>0.245</v>
      </c>
      <c r="BH62" s="1">
        <v>0.36</v>
      </c>
      <c r="BI62" s="1">
        <v>0.39500000000000002</v>
      </c>
      <c r="BJ62" s="1">
        <v>0.64500000000000002</v>
      </c>
      <c r="BK62" s="20">
        <v>0.81499999999999995</v>
      </c>
      <c r="BL62" s="1">
        <v>0</v>
      </c>
      <c r="BM62" s="1">
        <v>6.5000000000000002E-2</v>
      </c>
      <c r="BN62" s="1">
        <v>0.14499999999999999</v>
      </c>
      <c r="BO62" s="1">
        <v>0.245</v>
      </c>
      <c r="BP62" s="1">
        <v>0.36</v>
      </c>
      <c r="BQ62" s="1">
        <v>0.39500000000000002</v>
      </c>
      <c r="BR62" s="1">
        <v>0.64500000000000002</v>
      </c>
      <c r="BS62" s="20">
        <v>0.81499999999999995</v>
      </c>
      <c r="BT62" s="1">
        <v>0</v>
      </c>
      <c r="BU62" s="1">
        <v>6.5000000000000002E-2</v>
      </c>
      <c r="BV62" s="1">
        <v>0.14499999999999999</v>
      </c>
      <c r="BW62" s="1">
        <v>0.245</v>
      </c>
      <c r="BX62" s="1">
        <v>0.36</v>
      </c>
      <c r="BY62" s="1">
        <v>0.39500000000000002</v>
      </c>
      <c r="BZ62" s="1">
        <v>0.64500000000000002</v>
      </c>
      <c r="CA62" s="20">
        <v>0.81499999999999995</v>
      </c>
      <c r="CB62" s="1">
        <v>0</v>
      </c>
      <c r="CC62" s="1">
        <v>6.5000000000000002E-2</v>
      </c>
      <c r="CD62" s="1">
        <v>0.14499999999999999</v>
      </c>
      <c r="CE62" s="1">
        <v>0.245</v>
      </c>
      <c r="CF62" s="1">
        <v>0.36</v>
      </c>
      <c r="CG62" s="1">
        <v>0.39500000000000002</v>
      </c>
      <c r="CH62" s="1">
        <v>0.64500000000000002</v>
      </c>
      <c r="CI62" s="20">
        <v>0.81499999999999995</v>
      </c>
      <c r="CJ62" s="1">
        <v>0</v>
      </c>
      <c r="CK62" s="1">
        <v>6.5000000000000002E-2</v>
      </c>
      <c r="CL62" s="1">
        <v>0.14499999999999999</v>
      </c>
      <c r="CM62" s="1">
        <v>0.245</v>
      </c>
      <c r="CN62" s="1">
        <v>0.36</v>
      </c>
      <c r="CO62" s="1">
        <v>0.39500000000000002</v>
      </c>
      <c r="CP62" s="1">
        <v>0.64500000000000002</v>
      </c>
      <c r="CQ62" s="20">
        <v>0.81499999999999995</v>
      </c>
    </row>
    <row r="63" spans="3:160" s="2" customFormat="1" x14ac:dyDescent="0.4">
      <c r="C63" s="2" t="s">
        <v>19</v>
      </c>
      <c r="D63" s="2" t="s">
        <v>10</v>
      </c>
      <c r="E63" s="2">
        <v>0.26</v>
      </c>
      <c r="F63" s="2">
        <v>0.152</v>
      </c>
      <c r="G63" s="2">
        <v>0.108</v>
      </c>
      <c r="H63" s="2">
        <v>2.7E-2</v>
      </c>
      <c r="I63" s="2">
        <v>4542</v>
      </c>
      <c r="J63" s="2">
        <v>3821</v>
      </c>
      <c r="K63" s="2">
        <v>56</v>
      </c>
      <c r="L63" s="2">
        <v>5350</v>
      </c>
      <c r="M63" s="2">
        <v>5775</v>
      </c>
      <c r="N63" s="2">
        <v>72</v>
      </c>
      <c r="O63" s="2">
        <v>86</v>
      </c>
      <c r="P63" s="2">
        <v>87.5</v>
      </c>
      <c r="Q63" s="2">
        <v>90</v>
      </c>
      <c r="R63" s="2">
        <v>50</v>
      </c>
      <c r="S63" s="2">
        <v>86</v>
      </c>
      <c r="T63" s="6">
        <f t="shared" si="399"/>
        <v>6522.2663221424909</v>
      </c>
      <c r="U63" s="2">
        <v>1.653</v>
      </c>
      <c r="V63" s="2">
        <v>7.9000000000000001E-2</v>
      </c>
      <c r="W63" s="2">
        <v>4.0199999999999996</v>
      </c>
      <c r="X63" s="2">
        <f t="shared" ref="X63" si="1031">H59</f>
        <v>2.4E-2</v>
      </c>
      <c r="Y63" s="2">
        <f t="shared" ref="Y63" si="1032">H60</f>
        <v>5.3999999999999999E-2</v>
      </c>
      <c r="Z63" s="2">
        <f t="shared" ref="Z63" si="1033">H61</f>
        <v>2.7E-2</v>
      </c>
      <c r="AA63" s="2">
        <f t="shared" ref="AA63" si="1034">H62</f>
        <v>1.7999999999999999E-2</v>
      </c>
      <c r="AB63" s="2">
        <f t="shared" ref="AB63" si="1035">H63</f>
        <v>2.7E-2</v>
      </c>
      <c r="AC63" s="1">
        <f t="shared" si="114"/>
        <v>4389.2512070835319</v>
      </c>
      <c r="AE63" s="2" t="s">
        <v>99</v>
      </c>
      <c r="AF63" s="23">
        <f>($O63*$Q63*$S63)^(1/3)/(AF58*((1-AF$2)*$H58+AF$2*$H59) + AF60*((1-AF$2)*$H60+AF$2*$H61) + AF62*((1-AF$2)*$H62+AF$2*$H63))</f>
        <v>1819.0245757689406</v>
      </c>
      <c r="AG63" s="23">
        <f t="shared" ref="AG63" si="1036">($O63*$Q63*$S63)^(1/3)/(AG58*((1-AG$2)*$H58+AG$2*$H59) + AG60*((1-AG$2)*$H60+AG$2*$H61) + AG62*((1-AG$2)*$H62+AG$2*$H63))</f>
        <v>1866.862938569792</v>
      </c>
      <c r="AH63" s="23">
        <f t="shared" ref="AH63" si="1037">($O63*$Q63*$S63)^(1/3)/(AH58*((1-AH$2)*$H58+AH$2*$H59) + AH60*((1-AH$2)*$H60+AH$2*$H61) + AH62*((1-AH$2)*$H62+AH$2*$H63))</f>
        <v>1944.1812433068169</v>
      </c>
      <c r="AI63" s="23">
        <f t="shared" ref="AI63" si="1038">($O63*$Q63*$S63)^(1/3)/(AI58*((1-AI$2)*$H58+AI$2*$H59) + AI60*((1-AI$2)*$H60+AI$2*$H61) + AI62*((1-AI$2)*$H62+AI$2*$H63))</f>
        <v>2333.9529440499641</v>
      </c>
      <c r="AJ63" s="23">
        <f t="shared" ref="AJ63" si="1039">($O63*$Q63*$S63)^(1/3)/(AJ58*((1-AJ$2)*$H58+AJ$2*$H59) + AJ60*((1-AJ$2)*$H60+AJ$2*$H61) + AJ62*((1-AJ$2)*$H62+AJ$2*$H63))</f>
        <v>2245.7093528011615</v>
      </c>
      <c r="AK63" s="23">
        <f t="shared" ref="AK63" si="1040">($O63*$Q63*$S63)^(1/3)/(AK58*((1-AK$2)*$H58+AK$2*$H59) + AK60*((1-AK$2)*$H60+AK$2*$H61) + AK62*((1-AK$2)*$H62+AK$2*$H63))</f>
        <v>2653.0896273749363</v>
      </c>
      <c r="AL63" s="23">
        <f t="shared" ref="AL63" si="1041">($O63*$Q63*$S63)^(1/3)/(AL58*((1-AL$2)*$H58+AL$2*$H59) + AL60*((1-AL$2)*$H60+AL$2*$H61) + AL62*((1-AL$2)*$H62+AL$2*$H63))</f>
        <v>2919.196911966204</v>
      </c>
      <c r="AM63" s="23">
        <f t="shared" ref="AM63" si="1042">($O63*$Q63*$S63)^(1/3)/(AM58*((1-AM$2)*$H58+AM$2*$H59) + AM60*((1-AM$2)*$H60+AM$2*$H61) + AM62*((1-AM$2)*$H62+AM$2*$H63))</f>
        <v>3597.5764168483374</v>
      </c>
      <c r="AN63" s="23">
        <f t="shared" ref="AN63" si="1043">($O63*$Q63*$S63)^(1/3)/(AN58*((1-AN$2)*$H58+AN$2*$H59) + AN60*((1-AN$2)*$H60+AN$2*$H61) + AN62*((1-AN$2)*$H62+AN$2*$H63))</f>
        <v>1940.2928808202032</v>
      </c>
      <c r="AO63" s="23">
        <f t="shared" ref="AO63" si="1044">($O63*$Q63*$S63)^(1/3)/(AO58*((1-AO$2)*$H58+AO$2*$H59) + AO60*((1-AO$2)*$H60+AO$2*$H61) + AO62*((1-AO$2)*$H62+AO$2*$H63))</f>
        <v>1984.7005557552268</v>
      </c>
      <c r="AP63" s="23">
        <f t="shared" ref="AP63" si="1045">($O63*$Q63*$S63)^(1/3)/(AP58*((1-AP$2)*$H58+AP$2*$H59) + AP60*((1-AP$2)*$H60+AP$2*$H61) + AP62*((1-AP$2)*$H62+AP$2*$H63))</f>
        <v>2057.8474143658527</v>
      </c>
      <c r="AQ63" s="23">
        <f t="shared" ref="AQ63" si="1046">($O63*$Q63*$S63)^(1/3)/(AQ58*((1-AQ$2)*$H58+AQ$2*$H59) + AQ60*((1-AQ$2)*$H60+AQ$2*$H61) + AQ62*((1-AQ$2)*$H62+AQ$2*$H63))</f>
        <v>2451.0252718398269</v>
      </c>
      <c r="AR63" s="23">
        <f t="shared" ref="AR63" si="1047">($O63*$Q63*$S63)^(1/3)/(AR58*((1-AR$2)*$H58+AR$2*$H59) + AR60*((1-AR$2)*$H60+AR$2*$H61) + AR62*((1-AR$2)*$H62+AR$2*$H63))</f>
        <v>2343.3488898794722</v>
      </c>
      <c r="AS63" s="23">
        <f t="shared" ref="AS63" si="1048">($O63*$Q63*$S63)^(1/3)/(AS58*((1-AS$2)*$H58+AS$2*$H59) + AS60*((1-AS$2)*$H60+AS$2*$H61) + AS62*((1-AS$2)*$H62+AS$2*$H63))</f>
        <v>2750.7253316607525</v>
      </c>
      <c r="AT63" s="23">
        <f t="shared" ref="AT63" si="1049">($O63*$Q63*$S63)^(1/3)/(AT58*((1-AT$2)*$H58+AT$2*$H59) + AT60*((1-AT$2)*$H60+AT$2*$H61) + AT62*((1-AT$2)*$H62+AT$2*$H63))</f>
        <v>2960.584216395504</v>
      </c>
      <c r="AU63" s="23">
        <f t="shared" ref="AU63" si="1050">($O63*$Q63*$S63)^(1/3)/(AU58*((1-AU$2)*$H58+AU$2*$H59) + AU60*((1-AU$2)*$H60+AU$2*$H61) + AU62*((1-AU$2)*$H62+AU$2*$H63))</f>
        <v>3551.2109463650486</v>
      </c>
      <c r="AV63" s="23">
        <f t="shared" ref="AV63" si="1051">($O63*$Q63*$S63)^(1/3)/(AV58*((1-AV$2)*$H58+AV$2*$H59) + AV60*((1-AV$2)*$H60+AV$2*$H61) + AV62*((1-AV$2)*$H62+AV$2*$H63))</f>
        <v>2078.885229450218</v>
      </c>
      <c r="AW63" s="23">
        <f t="shared" ref="AW63" si="1052">($O63*$Q63*$S63)^(1/3)/(AW58*((1-AW$2)*$H58+AW$2*$H59) + AW60*((1-AW$2)*$H60+AW$2*$H61) + AW62*((1-AW$2)*$H62+AW$2*$H63))</f>
        <v>2118.416392488622</v>
      </c>
      <c r="AX63" s="23">
        <f t="shared" ref="AX63" si="1053">($O63*$Q63*$S63)^(1/3)/(AX58*((1-AX$2)*$H58+AX$2*$H59) + AX60*((1-AX$2)*$H60+AX$2*$H61) + AX62*((1-AX$2)*$H62+AX$2*$H63))</f>
        <v>2185.6298291413159</v>
      </c>
      <c r="AY63" s="23">
        <f t="shared" ref="AY63" si="1054">($O63*$Q63*$S63)^(1/3)/(AY58*((1-AY$2)*$H58+AY$2*$H59) + AY60*((1-AY$2)*$H60+AY$2*$H61) + AY62*((1-AY$2)*$H62+AY$2*$H63))</f>
        <v>2580.4626587434823</v>
      </c>
      <c r="AZ63" s="23">
        <f t="shared" ref="AZ63" si="1055">($O63*$Q63*$S63)^(1/3)/(AZ58*((1-AZ$2)*$H58+AZ$2*$H59) + AZ60*((1-AZ$2)*$H60+AZ$2*$H61) + AZ62*((1-AZ$2)*$H62+AZ$2*$H63))</f>
        <v>2449.8647485103579</v>
      </c>
      <c r="BA63" s="23">
        <f t="shared" ref="BA63" si="1056">($O63*$Q63*$S63)^(1/3)/(BA58*((1-BA$2)*$H58+BA$2*$H59) + BA60*((1-BA$2)*$H60+BA$2*$H61) + BA62*((1-BA$2)*$H62+BA$2*$H63))</f>
        <v>2855.8217306319689</v>
      </c>
      <c r="BB63" s="23">
        <f t="shared" ref="BB63" si="1057">($O63*$Q63*$S63)^(1/3)/(BB58*((1-BB$2)*$H58+BB$2*$H59) + BB60*((1-BB$2)*$H60+BB$2*$H61) + BB62*((1-BB$2)*$H62+BB$2*$H63))</f>
        <v>3003.161946323029</v>
      </c>
      <c r="BC63" s="23">
        <f t="shared" ref="BC63" si="1058">($O63*$Q63*$S63)^(1/3)/(BC58*((1-BC$2)*$H58+BC$2*$H59) + BC60*((1-BC$2)*$H60+BC$2*$H61) + BC62*((1-BC$2)*$H62+BC$2*$H63))</f>
        <v>3506.0253832016933</v>
      </c>
      <c r="BD63" s="23">
        <f t="shared" ref="BD63" si="1059">($O63*$Q63*$S63)^(1/3)/(BD58*((1-BD$2)*$H58+BD$2*$H59) + BD60*((1-BD$2)*$H60+BD$2*$H61) + BD62*((1-BD$2)*$H62+BD$2*$H63))</f>
        <v>2238.7994778694656</v>
      </c>
      <c r="BE63" s="23">
        <f t="shared" ref="BE63" si="1060">($O63*$Q63*$S63)^(1/3)/(BE58*((1-BE$2)*$H58+BE$2*$H59) + BE60*((1-BE$2)*$H60+BE$2*$H61) + BE62*((1-BE$2)*$H62+BE$2*$H63))</f>
        <v>2271.4515945409926</v>
      </c>
      <c r="BF63" s="23">
        <f t="shared" ref="BF63" si="1061">($O63*$Q63*$S63)^(1/3)/(BF58*((1-BF$2)*$H58+BF$2*$H59) + BF60*((1-BF$2)*$H60+BF$2*$H61) + BF62*((1-BF$2)*$H62+BF$2*$H63))</f>
        <v>2330.3322393877233</v>
      </c>
      <c r="BG63" s="23">
        <f t="shared" ref="BG63" si="1062">($O63*$Q63*$S63)^(1/3)/(BG58*((1-BG$2)*$H58+BG$2*$H59) + BG60*((1-BG$2)*$H60+BG$2*$H61) + BG62*((1-BG$2)*$H62+BG$2*$H63))</f>
        <v>2724.3333025030643</v>
      </c>
      <c r="BH63" s="23">
        <f t="shared" ref="BH63" si="1063">($O63*$Q63*$S63)^(1/3)/(BH58*((1-BH$2)*$H58+BH$2*$H59) + BH60*((1-BH$2)*$H60+BH$2*$H61) + BH62*((1-BH$2)*$H62+BH$2*$H63))</f>
        <v>2566.5249746298987</v>
      </c>
      <c r="BI63" s="23">
        <f t="shared" ref="BI63" si="1064">($O63*$Q63*$S63)^(1/3)/(BI58*((1-BI$2)*$H58+BI$2*$H59) + BI60*((1-BI$2)*$H60+BI$2*$H61) + BI62*((1-BI$2)*$H62+BI$2*$H63))</f>
        <v>2969.267942337874</v>
      </c>
      <c r="BJ63" s="23">
        <f t="shared" ref="BJ63" si="1065">($O63*$Q63*$S63)^(1/3)/(BJ58*((1-BJ$2)*$H58+BJ$2*$H59) + BJ60*((1-BJ$2)*$H60+BJ$2*$H61) + BJ62*((1-BJ$2)*$H62+BJ$2*$H63))</f>
        <v>3046.9822115870502</v>
      </c>
      <c r="BK63" s="23">
        <f t="shared" ref="BK63" si="1066">($O63*$Q63*$S63)^(1/3)/(BK58*((1-BK$2)*$H58+BK$2*$H59) + BK60*((1-BK$2)*$H60+BK$2*$H61) + BK62*((1-BK$2)*$H62+BK$2*$H63))</f>
        <v>3461.9752538610423</v>
      </c>
      <c r="BL63" s="23">
        <f t="shared" ref="BL63" si="1067">($O63*$Q63*$S63)^(1/3)/(BL58*((1-BL$2)*$H58+BL$2*$H59) + BL60*((1-BL$2)*$H60+BL$2*$H61) + BL62*((1-BL$2)*$H62+BL$2*$H63))</f>
        <v>2425.366101025254</v>
      </c>
      <c r="BM63" s="23">
        <f t="shared" ref="BM63" si="1068">($O63*$Q63*$S63)^(1/3)/(BM58*((1-BM$2)*$H58+BM$2*$H59) + BM60*((1-BM$2)*$H60+BM$2*$H61) + BM62*((1-BM$2)*$H62+BM$2*$H63))</f>
        <v>2448.3190925176068</v>
      </c>
      <c r="BN63" s="23">
        <f t="shared" ref="BN63" si="1069">($O63*$Q63*$S63)^(1/3)/(BN58*((1-BN$2)*$H58+BN$2*$H59) + BN60*((1-BN$2)*$H60+BN$2*$H61) + BN62*((1-BN$2)*$H62+BN$2*$H63))</f>
        <v>2495.5535444632837</v>
      </c>
      <c r="BO63" s="23">
        <f t="shared" ref="BO63" si="1070">($O63*$Q63*$S63)^(1/3)/(BO58*((1-BO$2)*$H58+BO$2*$H59) + BO60*((1-BO$2)*$H60+BO$2*$H61) + BO62*((1-BO$2)*$H62+BO$2*$H63))</f>
        <v>2885.1938748255811</v>
      </c>
      <c r="BP63" s="23">
        <f t="shared" ref="BP63" si="1071">($O63*$Q63*$S63)^(1/3)/(BP58*((1-BP$2)*$H58+BP$2*$H59) + BP60*((1-BP$2)*$H60+BP$2*$H61) + BP62*((1-BP$2)*$H62+BP$2*$H63))</f>
        <v>2694.8512233613937</v>
      </c>
      <c r="BQ63" s="23">
        <f t="shared" ref="BQ63" si="1072">($O63*$Q63*$S63)^(1/3)/(BQ58*((1-BQ$2)*$H58+BQ$2*$H59) + BQ60*((1-BQ$2)*$H60+BQ$2*$H61) + BQ62*((1-BQ$2)*$H62+BQ$2*$H63))</f>
        <v>3092.1002084784118</v>
      </c>
      <c r="BR63" s="23">
        <f t="shared" ref="BR63" si="1073">($O63*$Q63*$S63)^(1/3)/(BR58*((1-BR$2)*$H58+BR$2*$H59) + BR60*((1-BR$2)*$H60+BR$2*$H61) + BR62*((1-BR$2)*$H62+BR$2*$H63))</f>
        <v>3092.1002084784118</v>
      </c>
      <c r="BS63" s="23">
        <f t="shared" ref="BS63" si="1074">($O63*$Q63*$S63)^(1/3)/(BS58*((1-BS$2)*$H58+BS$2*$H59) + BS60*((1-BS$2)*$H60+BS$2*$H61) + BS62*((1-BS$2)*$H62+BS$2*$H63))</f>
        <v>3419.0182921941914</v>
      </c>
      <c r="BT63" s="23">
        <f t="shared" ref="BT63" si="1075">($O63*$Q63*$S63)^(1/3)/(BT58*((1-BT$2)*$H58+BT$2*$H59) + BT60*((1-BT$2)*$H60+BT$2*$H61) + BT62*((1-BT$2)*$H62+BT$2*$H63))</f>
        <v>2645.8539283911864</v>
      </c>
      <c r="BU63" s="23">
        <f t="shared" ref="BU63" si="1076">($O63*$Q63*$S63)^(1/3)/(BU58*((1-BU$2)*$H58+BU$2*$H59) + BU60*((1-BU$2)*$H60+BU$2*$H61) + BU62*((1-BU$2)*$H62+BU$2*$H63))</f>
        <v>2655.056111504925</v>
      </c>
      <c r="BV63" s="23">
        <f t="shared" ref="BV63" si="1077">($O63*$Q63*$S63)^(1/3)/(BV58*((1-BV$2)*$H58+BV$2*$H59) + BV60*((1-BV$2)*$H60+BV$2*$H61) + BV62*((1-BV$2)*$H62+BV$2*$H63))</f>
        <v>2685.9911830008004</v>
      </c>
      <c r="BW63" s="23">
        <f t="shared" ref="BW63" si="1078">($O63*$Q63*$S63)^(1/3)/(BW58*((1-BW$2)*$H58+BW$2*$H59) + BW60*((1-BW$2)*$H60+BW$2*$H61) + BW62*((1-BW$2)*$H62+BW$2*$H63))</f>
        <v>3066.2427826223002</v>
      </c>
      <c r="BX63" s="23">
        <f t="shared" ref="BX63" si="1079">($O63*$Q63*$S63)^(1/3)/(BX58*((1-BX$2)*$H58+BX$2*$H59) + BX60*((1-BX$2)*$H60+BX$2*$H61) + BX62*((1-BX$2)*$H62+BX$2*$H63))</f>
        <v>2836.6854982751511</v>
      </c>
      <c r="BY63" s="23">
        <f t="shared" ref="BY63" si="1080">($O63*$Q63*$S63)^(1/3)/(BY58*((1-BY$2)*$H58+BY$2*$H59) + BY60*((1-BY$2)*$H60+BY$2*$H61) + BY62*((1-BY$2)*$H62+BY$2*$H63))</f>
        <v>3225.5336385457422</v>
      </c>
      <c r="BZ63" s="23">
        <f t="shared" ref="BZ63" si="1081">($O63*$Q63*$S63)^(1/3)/(BZ58*((1-BZ$2)*$H58+BZ$2*$H59) + BZ60*((1-BZ$2)*$H60+BZ$2*$H61) + BZ62*((1-BZ$2)*$H62+BZ$2*$H63))</f>
        <v>3138.5744516873278</v>
      </c>
      <c r="CA63" s="23">
        <f t="shared" ref="CA63" si="1082">($O63*$Q63*$S63)^(1/3)/(CA58*((1-CA$2)*$H58+CA$2*$H59) + CA60*((1-CA$2)*$H60+CA$2*$H61) + CA62*((1-CA$2)*$H62+CA$2*$H63))</f>
        <v>3377.1143041326336</v>
      </c>
      <c r="CB63" s="23">
        <f t="shared" ref="CB63" si="1083">($O63*$Q63*$S63)^(1/3)/(CB58*((1-CB$2)*$H58+CB$2*$H59) + CB60*((1-CB$2)*$H60+CB$2*$H61) + CB62*((1-CB$2)*$H62+CB$2*$H63))</f>
        <v>2910.4393212303048</v>
      </c>
      <c r="CC63" s="23">
        <f t="shared" ref="CC63" si="1084">($O63*$Q63*$S63)^(1/3)/(CC58*((1-CC$2)*$H58+CC$2*$H59) + CC60*((1-CC$2)*$H60+CC$2*$H61) + CC62*((1-CC$2)*$H62+CC$2*$H63))</f>
        <v>2899.9270855452041</v>
      </c>
      <c r="CD63" s="23">
        <f t="shared" ref="CD63" si="1085">($O63*$Q63*$S63)^(1/3)/(CD58*((1-CD$2)*$H58+CD$2*$H59) + CD60*((1-CD$2)*$H60+CD$2*$H61) + CD62*((1-CD$2)*$H62+CD$2*$H63))</f>
        <v>2907.894913181271</v>
      </c>
      <c r="CE63" s="23">
        <f t="shared" ref="CE63" si="1086">($O63*$Q63*$S63)^(1/3)/(CE58*((1-CE$2)*$H58+CE$2*$H59) + CE60*((1-CE$2)*$H60+CE$2*$H61) + CE62*((1-CE$2)*$H62+CE$2*$H63))</f>
        <v>3271.534996465145</v>
      </c>
      <c r="CF63" s="23">
        <f t="shared" ref="CF63" si="1087">($O63*$Q63*$S63)^(1/3)/(CF58*((1-CF$2)*$H58+CF$2*$H59) + CF60*((1-CF$2)*$H60+CF$2*$H61) + CF62*((1-CF$2)*$H62+CF$2*$H63))</f>
        <v>2994.2791370682148</v>
      </c>
      <c r="CG63" s="23">
        <f t="shared" ref="CG63" si="1088">($O63*$Q63*$S63)^(1/3)/(CG58*((1-CG$2)*$H58+CG$2*$H59) + CG60*((1-CG$2)*$H60+CG$2*$H61) + CG62*((1-CG$2)*$H62+CG$2*$H63))</f>
        <v>3371.0025437733375</v>
      </c>
      <c r="CH63" s="23">
        <f t="shared" ref="CH63" si="1089">($O63*$Q63*$S63)^(1/3)/(CH58*((1-CH$2)*$H58+CH$2*$H59) + CH60*((1-CH$2)*$H60+CH$2*$H61) + CH62*((1-CH$2)*$H62+CH$2*$H63))</f>
        <v>3186.4670274863061</v>
      </c>
      <c r="CI63" s="23">
        <f t="shared" ref="CI63" si="1090">($O63*$Q63*$S63)^(1/3)/(CI58*((1-CI$2)*$H58+CI$2*$H59) + CI60*((1-CI$2)*$H60+CI$2*$H61) + CI62*((1-CI$2)*$H62+CI$2*$H63))</f>
        <v>3336.2250422470902</v>
      </c>
      <c r="CJ63" s="23">
        <f t="shared" ref="CJ63" si="1091">($O63*$Q63*$S63)^(1/3)/(CJ58*((1-CJ$2)*$H58+CJ$2*$H59) + CJ60*((1-CJ$2)*$H60+CJ$2*$H61) + CJ62*((1-CJ$2)*$H62+CJ$2*$H63))</f>
        <v>3233.8214680336719</v>
      </c>
      <c r="CK63" s="23">
        <f t="shared" ref="CK63" si="1092">($O63*$Q63*$S63)^(1/3)/(CK58*((1-CK$2)*$H58+CK$2*$H59) + CK60*((1-CK$2)*$H60+CK$2*$H61) + CK62*((1-CK$2)*$H62+CK$2*$H63))</f>
        <v>3194.5550620624877</v>
      </c>
      <c r="CL63" s="23">
        <f t="shared" ref="CL63" si="1093">($O63*$Q63*$S63)^(1/3)/(CL58*((1-CL$2)*$H58+CL$2*$H59) + CL60*((1-CL$2)*$H60+CL$2*$H61) + CL62*((1-CL$2)*$H62+CL$2*$H63))</f>
        <v>3169.7657844724581</v>
      </c>
      <c r="CM63" s="23">
        <f t="shared" ref="CM63" si="1094">($O63*$Q63*$S63)^(1/3)/(CM58*((1-CM$2)*$H58+CM$2*$H59) + CM60*((1-CM$2)*$H60+CM$2*$H61) + CM62*((1-CM$2)*$H62+CM$2*$H63))</f>
        <v>3506.2893712585555</v>
      </c>
      <c r="CN63" s="23">
        <f t="shared" ref="CN63" si="1095">($O63*$Q63*$S63)^(1/3)/(CN58*((1-CN$2)*$H58+CN$2*$H59) + CN60*((1-CN$2)*$H60+CN$2*$H61) + CN62*((1-CN$2)*$H62+CN$2*$H63))</f>
        <v>3170.4132039545807</v>
      </c>
      <c r="CO63" s="23">
        <f t="shared" ref="CO63" si="1096">($O63*$Q63*$S63)^(1/3)/(CO58*((1-CO$2)*$H58+CO$2*$H59) + CO60*((1-CO$2)*$H60+CO$2*$H61) + CO62*((1-CO$2)*$H62+CO$2*$H63))</f>
        <v>3530.2122007190419</v>
      </c>
      <c r="CP63" s="23">
        <f t="shared" ref="CP63" si="1097">($O63*$Q63*$S63)^(1/3)/(CP58*((1-CP$2)*$H58+CP$2*$H59) + CP60*((1-CP$2)*$H60+CP$2*$H61) + CP62*((1-CP$2)*$H62+CP$2*$H63))</f>
        <v>3235.8438704527052</v>
      </c>
      <c r="CQ63" s="23">
        <f t="shared" ref="CQ63" si="1098">($O63*$Q63*$S63)^(1/3)/(CQ58*((1-CQ$2)*$H58+CQ$2*$H59) + CQ60*((1-CQ$2)*$H60+CQ$2*$H61) + CQ62*((1-CQ$2)*$H62+CQ$2*$H63))</f>
        <v>3296.3140893101777</v>
      </c>
      <c r="CS63" s="2">
        <f t="shared" ref="CS63" si="1099">100*$AF63/AF63</f>
        <v>100</v>
      </c>
      <c r="CT63" s="2">
        <f t="shared" ref="CT63" si="1100">100*$AF63/AG63</f>
        <v>97.437499999999972</v>
      </c>
      <c r="CU63" s="2">
        <f t="shared" ref="CU63" si="1101">100*$AF63/AH63</f>
        <v>93.5625</v>
      </c>
      <c r="CV63" s="2">
        <f t="shared" ref="CV63" si="1102">100*$AF63/AI63</f>
        <v>77.937499999999986</v>
      </c>
      <c r="CW63" s="2">
        <f t="shared" ref="CW63" si="1103">100*$AF63/AJ63</f>
        <v>80.999999999999986</v>
      </c>
      <c r="CX63" s="2">
        <f t="shared" ref="CX63" si="1104">100*$AF63/AK63</f>
        <v>68.5625</v>
      </c>
      <c r="CY63" s="2">
        <f t="shared" ref="CY63" si="1105">100*$AF63/AL63</f>
        <v>62.312499999999993</v>
      </c>
      <c r="CZ63" s="2">
        <f t="shared" ref="CZ63" si="1106">100*$AF63/AM63</f>
        <v>50.5625</v>
      </c>
      <c r="DA63" s="2">
        <f t="shared" ref="DA63" si="1107">100*$AF63/AN63</f>
        <v>93.75</v>
      </c>
      <c r="DB63" s="2">
        <f t="shared" ref="DB63" si="1108">100*$AF63/AO63</f>
        <v>91.652343749999986</v>
      </c>
      <c r="DC63" s="2">
        <f t="shared" ref="DC63" si="1109">100*$AF63/AP63</f>
        <v>88.39453125</v>
      </c>
      <c r="DD63" s="2">
        <f t="shared" ref="DD63" si="1110">100*$AF63/AQ63</f>
        <v>74.214843750000014</v>
      </c>
      <c r="DE63" s="2">
        <f t="shared" ref="DE63" si="1111">100*$AF63/AR63</f>
        <v>77.625000000000014</v>
      </c>
      <c r="DF63" s="2">
        <f t="shared" ref="DF63" si="1112">100*$AF63/AS63</f>
        <v>66.12890625</v>
      </c>
      <c r="DG63" s="2">
        <f t="shared" ref="DG63" si="1113">100*$AF63/AT63</f>
        <v>61.441406249999993</v>
      </c>
      <c r="DH63" s="2">
        <f t="shared" ref="DH63" si="1114">100*$AF63/AU63</f>
        <v>51.222656249999993</v>
      </c>
      <c r="DI63" s="2">
        <f t="shared" ref="DI63" si="1115">100*$AF63/AV63</f>
        <v>87.499999999999986</v>
      </c>
      <c r="DJ63" s="2">
        <f t="shared" ref="DJ63" si="1116">100*$AF63/AW63</f>
        <v>85.867187499999986</v>
      </c>
      <c r="DK63" s="2">
        <f t="shared" ref="DK63" si="1117">100*$AF63/AX63</f>
        <v>83.2265625</v>
      </c>
      <c r="DL63" s="2">
        <f t="shared" ref="DL63" si="1118">100*$AF63/AY63</f>
        <v>70.4921875</v>
      </c>
      <c r="DM63" s="2">
        <f t="shared" ref="DM63" si="1119">100*$AF63/AZ63</f>
        <v>74.249999999999986</v>
      </c>
      <c r="DN63" s="2">
        <f t="shared" ref="DN63" si="1120">100*$AF63/BA63</f>
        <v>63.695312499999993</v>
      </c>
      <c r="DO63" s="2">
        <f t="shared" ref="DO63" si="1121">100*$AF63/BB63</f>
        <v>60.570312499999986</v>
      </c>
      <c r="DP63" s="2">
        <f t="shared" ref="DP63" si="1122">100*$AF63/BC63</f>
        <v>51.882812499999986</v>
      </c>
      <c r="DQ63" s="2">
        <f t="shared" ref="DQ63" si="1123">100*$AF63/BD63</f>
        <v>81.249999999999986</v>
      </c>
      <c r="DR63" s="2">
        <f t="shared" ref="DR63" si="1124">100*$AF63/BE63</f>
        <v>80.082031249999986</v>
      </c>
      <c r="DS63" s="2">
        <f t="shared" ref="DS63" si="1125">100*$AF63/BF63</f>
        <v>78.05859375</v>
      </c>
      <c r="DT63" s="2">
        <f t="shared" ref="DT63" si="1126">100*$AF63/BG63</f>
        <v>66.76953125</v>
      </c>
      <c r="DU63" s="2">
        <f t="shared" ref="DU63" si="1127">100*$AF63/BH63</f>
        <v>70.875</v>
      </c>
      <c r="DV63" s="2">
        <f t="shared" ref="DV63" si="1128">100*$AF63/BI63</f>
        <v>61.26171875</v>
      </c>
      <c r="DW63" s="2">
        <f t="shared" ref="DW63" si="1129">100*$AF63/BJ63</f>
        <v>59.699218749999986</v>
      </c>
      <c r="DX63" s="2">
        <f t="shared" ref="DX63" si="1130">100*$AF63/BK63</f>
        <v>52.54296875</v>
      </c>
      <c r="DY63" s="2">
        <f t="shared" ref="DY63" si="1131">100*$AF63/BL63</f>
        <v>75</v>
      </c>
      <c r="DZ63" s="2">
        <f t="shared" ref="DZ63" si="1132">100*$AF63/BM63</f>
        <v>74.296875</v>
      </c>
      <c r="EA63" s="2">
        <f t="shared" ref="EA63" si="1133">100*$AF63/BN63</f>
        <v>72.890625</v>
      </c>
      <c r="EB63" s="2">
        <f t="shared" ref="EB63" si="1134">100*$AF63/BO63</f>
        <v>63.046875</v>
      </c>
      <c r="EC63" s="2">
        <f t="shared" ref="EC63" si="1135">100*$AF63/BP63</f>
        <v>67.499999999999986</v>
      </c>
      <c r="ED63" s="2">
        <f t="shared" ref="ED63" si="1136">100*$AF63/BQ63</f>
        <v>58.828124999999993</v>
      </c>
      <c r="EE63" s="2">
        <f t="shared" ref="EE63" si="1137">100*$AF63/BR63</f>
        <v>58.828124999999993</v>
      </c>
      <c r="EF63" s="2">
        <f t="shared" ref="EF63" si="1138">100*$AF63/BS63</f>
        <v>53.203124999999993</v>
      </c>
      <c r="EG63" s="2">
        <f t="shared" ref="EG63" si="1139">100*$AF63/BT63</f>
        <v>68.75</v>
      </c>
      <c r="EH63" s="2">
        <f t="shared" ref="EH63" si="1140">100*$AF63/BU63</f>
        <v>68.51171875</v>
      </c>
      <c r="EI63" s="2">
        <f t="shared" ref="EI63" si="1141">100*$AF63/BV63</f>
        <v>67.72265625</v>
      </c>
      <c r="EJ63" s="2">
        <f t="shared" ref="EJ63" si="1142">100*$AF63/BW63</f>
        <v>59.324218750000007</v>
      </c>
      <c r="EK63" s="2">
        <f t="shared" ref="EK63" si="1143">100*$AF63/BX63</f>
        <v>64.125</v>
      </c>
      <c r="EL63" s="2">
        <f t="shared" ref="EL63" si="1144">100*$AF63/BY63</f>
        <v>56.39453125</v>
      </c>
      <c r="EM63" s="2">
        <f t="shared" ref="EM63" si="1145">100*$AF63/BZ63</f>
        <v>57.957031249999993</v>
      </c>
      <c r="EN63" s="2">
        <f t="shared" ref="EN63" si="1146">100*$AF63/CA63</f>
        <v>53.863281249999993</v>
      </c>
      <c r="EO63" s="2">
        <f t="shared" ref="EO63" si="1147">100*$AF63/CB63</f>
        <v>62.5</v>
      </c>
      <c r="EP63" s="2">
        <f t="shared" ref="EP63" si="1148">100*$AF63/CC63</f>
        <v>62.726562499999986</v>
      </c>
      <c r="EQ63" s="2">
        <f t="shared" ref="EQ63" si="1149">100*$AF63/CD63</f>
        <v>62.554687500000007</v>
      </c>
      <c r="ER63" s="2">
        <f t="shared" ref="ER63" si="1150">100*$AF63/CE63</f>
        <v>55.601562500000007</v>
      </c>
      <c r="ES63" s="2">
        <f t="shared" ref="ES63" si="1151">100*$AF63/CF63</f>
        <v>60.75</v>
      </c>
      <c r="ET63" s="2">
        <f t="shared" ref="ET63" si="1152">100*$AF63/CG63</f>
        <v>53.960937499999993</v>
      </c>
      <c r="EU63" s="2">
        <f t="shared" ref="EU63" si="1153">100*$AF63/CH63</f>
        <v>57.0859375</v>
      </c>
      <c r="EV63" s="2">
        <f t="shared" ref="EV63" si="1154">100*$AF63/CI63</f>
        <v>54.523437499999993</v>
      </c>
      <c r="EW63" s="2">
        <f t="shared" ref="EW63" si="1155">100*$AF63/CJ63</f>
        <v>56.250000000000007</v>
      </c>
      <c r="EX63" s="2">
        <f t="shared" ref="EX63" si="1156">100*$AF63/CK63</f>
        <v>56.941406249999993</v>
      </c>
      <c r="EY63" s="2">
        <f t="shared" ref="EY63" si="1157">100*$AF63/CL63</f>
        <v>57.386718749999993</v>
      </c>
      <c r="EZ63" s="2">
        <f t="shared" ref="EZ63" si="1158">100*$AF63/CM63</f>
        <v>51.87890625</v>
      </c>
      <c r="FA63" s="2">
        <f t="shared" ref="FA63" si="1159">100*$AF63/CN63</f>
        <v>57.374999999999993</v>
      </c>
      <c r="FB63" s="2">
        <f t="shared" ref="FB63" si="1160">100*$AF63/CO63</f>
        <v>51.527343749999993</v>
      </c>
      <c r="FC63" s="2">
        <f t="shared" ref="FC63" si="1161">100*$AF63/CP63</f>
        <v>56.21484375</v>
      </c>
      <c r="FD63" s="2">
        <f t="shared" ref="FD63" si="1162">100*$AF63/CQ63</f>
        <v>55.18359375</v>
      </c>
    </row>
    <row r="64" spans="3:160" x14ac:dyDescent="0.4">
      <c r="C64" s="1" t="s">
        <v>20</v>
      </c>
      <c r="D64" s="1" t="s">
        <v>5</v>
      </c>
      <c r="E64" s="1">
        <v>0.28899999999999998</v>
      </c>
      <c r="F64" s="1">
        <v>0.18099999999999999</v>
      </c>
      <c r="G64" s="1">
        <v>0.108</v>
      </c>
      <c r="H64" s="1">
        <v>4.8000000000000001E-2</v>
      </c>
      <c r="I64" s="1">
        <v>4354</v>
      </c>
      <c r="J64" s="1">
        <v>3885</v>
      </c>
      <c r="K64" s="1">
        <v>56</v>
      </c>
      <c r="L64" s="1">
        <v>5159</v>
      </c>
      <c r="M64" s="1">
        <v>5839</v>
      </c>
      <c r="N64" s="1">
        <v>72</v>
      </c>
      <c r="O64" s="1">
        <v>86</v>
      </c>
      <c r="P64" s="1">
        <v>87.5</v>
      </c>
      <c r="Q64" s="1">
        <v>90</v>
      </c>
      <c r="R64" s="1">
        <v>50</v>
      </c>
      <c r="S64" s="1">
        <v>86</v>
      </c>
      <c r="T64" s="4">
        <v>0</v>
      </c>
      <c r="U64" s="1">
        <v>1.2110000000000001</v>
      </c>
      <c r="V64" s="1">
        <v>8.1000000000000003E-2</v>
      </c>
      <c r="W64" s="1">
        <v>4.0199999999999996</v>
      </c>
      <c r="X64" s="1">
        <f t="shared" ref="X64" si="1163">H65</f>
        <v>1.9E-2</v>
      </c>
      <c r="Y64" s="1">
        <f t="shared" ref="Y64" si="1164">H66</f>
        <v>5.5E-2</v>
      </c>
      <c r="Z64" s="1">
        <f t="shared" ref="Z64" si="1165">H67</f>
        <v>0.02</v>
      </c>
      <c r="AA64" s="1">
        <f t="shared" ref="AA64" si="1166">H68</f>
        <v>0.02</v>
      </c>
      <c r="AB64" s="1">
        <f t="shared" ref="AB64" si="1167">H69</f>
        <v>0.02</v>
      </c>
      <c r="AC64" s="1">
        <f t="shared" si="114"/>
        <v>4423.9444499738638</v>
      </c>
      <c r="AE64" s="1" t="s">
        <v>96</v>
      </c>
      <c r="AF64" s="1">
        <v>1</v>
      </c>
      <c r="AG64" s="1">
        <v>0.81499999999999995</v>
      </c>
      <c r="AH64" s="1">
        <v>0.64500000000000002</v>
      </c>
      <c r="AI64" s="1">
        <v>0.39500000000000002</v>
      </c>
      <c r="AJ64" s="1">
        <v>0.36</v>
      </c>
      <c r="AK64" s="1">
        <v>0.245</v>
      </c>
      <c r="AL64" s="1">
        <v>0.14499999999999999</v>
      </c>
      <c r="AM64" s="20">
        <v>6.5000000000000002E-2</v>
      </c>
      <c r="AN64" s="1">
        <v>1</v>
      </c>
      <c r="AO64" s="1">
        <v>0.81499999999999995</v>
      </c>
      <c r="AP64" s="1">
        <v>0.64500000000000002</v>
      </c>
      <c r="AQ64" s="1">
        <v>0.39500000000000002</v>
      </c>
      <c r="AR64" s="1">
        <v>0.36</v>
      </c>
      <c r="AS64" s="1">
        <v>0.245</v>
      </c>
      <c r="AT64" s="1">
        <v>0.14499999999999999</v>
      </c>
      <c r="AU64" s="20">
        <v>6.5000000000000002E-2</v>
      </c>
      <c r="AV64" s="1">
        <v>1</v>
      </c>
      <c r="AW64" s="1">
        <v>0.81499999999999995</v>
      </c>
      <c r="AX64" s="1">
        <v>0.64500000000000002</v>
      </c>
      <c r="AY64" s="1">
        <v>0.39500000000000002</v>
      </c>
      <c r="AZ64" s="1">
        <v>0.36</v>
      </c>
      <c r="BA64" s="1">
        <v>0.245</v>
      </c>
      <c r="BB64" s="1">
        <v>0.14499999999999999</v>
      </c>
      <c r="BC64" s="20">
        <v>6.5000000000000002E-2</v>
      </c>
      <c r="BD64" s="1">
        <v>1</v>
      </c>
      <c r="BE64" s="1">
        <v>0.81499999999999995</v>
      </c>
      <c r="BF64" s="1">
        <v>0.64500000000000002</v>
      </c>
      <c r="BG64" s="1">
        <v>0.39500000000000002</v>
      </c>
      <c r="BH64" s="1">
        <v>0.36</v>
      </c>
      <c r="BI64" s="1">
        <v>0.245</v>
      </c>
      <c r="BJ64" s="1">
        <v>0.14499999999999999</v>
      </c>
      <c r="BK64" s="20">
        <v>6.5000000000000002E-2</v>
      </c>
      <c r="BL64" s="1">
        <v>1</v>
      </c>
      <c r="BM64" s="1">
        <v>0.81499999999999995</v>
      </c>
      <c r="BN64" s="1">
        <v>0.64500000000000002</v>
      </c>
      <c r="BO64" s="1">
        <v>0.39500000000000002</v>
      </c>
      <c r="BP64" s="1">
        <v>0.36</v>
      </c>
      <c r="BQ64" s="1">
        <v>0.245</v>
      </c>
      <c r="BR64" s="1">
        <v>0.14499999999999999</v>
      </c>
      <c r="BS64" s="20">
        <v>6.5000000000000002E-2</v>
      </c>
      <c r="BT64" s="1">
        <v>1</v>
      </c>
      <c r="BU64" s="1">
        <v>0.81499999999999995</v>
      </c>
      <c r="BV64" s="1">
        <v>0.64500000000000002</v>
      </c>
      <c r="BW64" s="1">
        <v>0.39500000000000002</v>
      </c>
      <c r="BX64" s="1">
        <v>0.36</v>
      </c>
      <c r="BY64" s="1">
        <v>0.245</v>
      </c>
      <c r="BZ64" s="1">
        <v>0.14499999999999999</v>
      </c>
      <c r="CA64" s="20">
        <v>6.5000000000000002E-2</v>
      </c>
      <c r="CB64" s="1">
        <v>1</v>
      </c>
      <c r="CC64" s="1">
        <v>0.81499999999999995</v>
      </c>
      <c r="CD64" s="1">
        <v>0.64500000000000002</v>
      </c>
      <c r="CE64" s="1">
        <v>0.39500000000000002</v>
      </c>
      <c r="CF64" s="1">
        <v>0.36</v>
      </c>
      <c r="CG64" s="1">
        <v>0.245</v>
      </c>
      <c r="CH64" s="1">
        <v>0.14499999999999999</v>
      </c>
      <c r="CI64" s="20">
        <v>6.5000000000000002E-2</v>
      </c>
      <c r="CJ64" s="1">
        <v>1</v>
      </c>
      <c r="CK64" s="1">
        <v>0.81499999999999995</v>
      </c>
      <c r="CL64" s="1">
        <v>0.64500000000000002</v>
      </c>
      <c r="CM64" s="1">
        <v>0.39500000000000002</v>
      </c>
      <c r="CN64" s="1">
        <v>0.36</v>
      </c>
      <c r="CO64" s="1">
        <v>0.245</v>
      </c>
      <c r="CP64" s="1">
        <v>0.14499999999999999</v>
      </c>
      <c r="CQ64" s="20">
        <v>6.5000000000000002E-2</v>
      </c>
    </row>
    <row r="65" spans="3:160" x14ac:dyDescent="0.4">
      <c r="C65" s="1" t="s">
        <v>20</v>
      </c>
      <c r="D65" s="1" t="s">
        <v>6</v>
      </c>
      <c r="E65" s="1">
        <v>0.252</v>
      </c>
      <c r="F65" s="1">
        <v>0.14399999999999999</v>
      </c>
      <c r="G65" s="1">
        <v>0.108</v>
      </c>
      <c r="H65" s="1">
        <v>1.9E-2</v>
      </c>
      <c r="I65" s="1">
        <v>4354</v>
      </c>
      <c r="J65" s="1">
        <v>3885</v>
      </c>
      <c r="K65" s="1">
        <v>56</v>
      </c>
      <c r="L65" s="1">
        <v>5159</v>
      </c>
      <c r="M65" s="1">
        <v>5839</v>
      </c>
      <c r="N65" s="1">
        <v>72</v>
      </c>
      <c r="O65" s="1">
        <v>86</v>
      </c>
      <c r="P65" s="1">
        <v>87.5</v>
      </c>
      <c r="Q65" s="1">
        <v>90</v>
      </c>
      <c r="R65" s="1">
        <v>50</v>
      </c>
      <c r="S65" s="1">
        <v>86</v>
      </c>
      <c r="T65" s="4">
        <v>0</v>
      </c>
      <c r="U65" s="1">
        <v>1.2110000000000001</v>
      </c>
      <c r="V65" s="1">
        <v>8.1000000000000003E-2</v>
      </c>
      <c r="W65" s="1">
        <v>4.0199999999999996</v>
      </c>
      <c r="X65" s="1">
        <f t="shared" ref="X65" si="1168">H65</f>
        <v>1.9E-2</v>
      </c>
      <c r="Y65" s="1">
        <f t="shared" ref="Y65" si="1169">H66</f>
        <v>5.5E-2</v>
      </c>
      <c r="Z65" s="1">
        <f t="shared" ref="Z65" si="1170">H67</f>
        <v>0.02</v>
      </c>
      <c r="AA65" s="1">
        <f t="shared" ref="AA65" si="1171">H68</f>
        <v>0.02</v>
      </c>
      <c r="AB65" s="1">
        <f t="shared" ref="AB65" si="1172">H69</f>
        <v>0.02</v>
      </c>
      <c r="AC65" s="1">
        <f t="shared" si="114"/>
        <v>4423.9444499738638</v>
      </c>
      <c r="CQ65" s="20"/>
    </row>
    <row r="66" spans="3:160" x14ac:dyDescent="0.4">
      <c r="C66" s="1" t="s">
        <v>20</v>
      </c>
      <c r="D66" s="1" t="s">
        <v>7</v>
      </c>
      <c r="E66" s="1">
        <v>0.29599999999999999</v>
      </c>
      <c r="F66" s="1">
        <v>0.188</v>
      </c>
      <c r="G66" s="1">
        <v>0.109</v>
      </c>
      <c r="H66" s="1">
        <v>5.5E-2</v>
      </c>
      <c r="I66" s="1">
        <v>4354</v>
      </c>
      <c r="J66" s="1">
        <v>3885</v>
      </c>
      <c r="K66" s="1">
        <v>56</v>
      </c>
      <c r="L66" s="1">
        <v>5159</v>
      </c>
      <c r="M66" s="1">
        <v>5839</v>
      </c>
      <c r="N66" s="1">
        <v>72</v>
      </c>
      <c r="O66" s="1">
        <v>86</v>
      </c>
      <c r="P66" s="1">
        <v>87.5</v>
      </c>
      <c r="Q66" s="1">
        <v>90</v>
      </c>
      <c r="R66" s="1">
        <v>50</v>
      </c>
      <c r="S66" s="1">
        <v>86</v>
      </c>
      <c r="T66" s="4">
        <v>0</v>
      </c>
      <c r="U66" s="1">
        <v>1.2110000000000001</v>
      </c>
      <c r="V66" s="1">
        <v>8.1000000000000003E-2</v>
      </c>
      <c r="W66" s="1">
        <v>4.0199999999999996</v>
      </c>
      <c r="X66" s="1">
        <f t="shared" ref="X66" si="1173">H65</f>
        <v>1.9E-2</v>
      </c>
      <c r="Y66" s="1">
        <f t="shared" ref="Y66" si="1174">H66</f>
        <v>5.5E-2</v>
      </c>
      <c r="Z66" s="1">
        <f t="shared" ref="Z66" si="1175">H67</f>
        <v>0.02</v>
      </c>
      <c r="AA66" s="1">
        <f t="shared" ref="AA66" si="1176">H68</f>
        <v>0.02</v>
      </c>
      <c r="AB66" s="1">
        <f t="shared" ref="AB66" si="1177">H69</f>
        <v>0.02</v>
      </c>
      <c r="AC66" s="1">
        <f t="shared" si="114"/>
        <v>4423.9444499738638</v>
      </c>
      <c r="AE66" s="1" t="s">
        <v>97</v>
      </c>
      <c r="AF66" s="1">
        <v>0</v>
      </c>
      <c r="AG66" s="1">
        <v>0.12</v>
      </c>
      <c r="AH66" s="1">
        <v>0.21</v>
      </c>
      <c r="AI66" s="1">
        <v>0.26</v>
      </c>
      <c r="AJ66" s="1">
        <v>0.28000000000000003</v>
      </c>
      <c r="AK66" s="1">
        <v>0.26</v>
      </c>
      <c r="AL66" s="1">
        <v>0.21</v>
      </c>
      <c r="AM66" s="20">
        <v>0.12</v>
      </c>
      <c r="AN66" s="1">
        <v>0</v>
      </c>
      <c r="AO66" s="1">
        <v>0.12</v>
      </c>
      <c r="AP66" s="1">
        <v>0.21</v>
      </c>
      <c r="AQ66" s="1">
        <v>0.26</v>
      </c>
      <c r="AR66" s="1">
        <v>0.28000000000000003</v>
      </c>
      <c r="AS66" s="1">
        <v>0.26</v>
      </c>
      <c r="AT66" s="1">
        <v>0.21</v>
      </c>
      <c r="AU66" s="20">
        <v>0.12</v>
      </c>
      <c r="AV66" s="1">
        <v>0</v>
      </c>
      <c r="AW66" s="1">
        <v>0.12</v>
      </c>
      <c r="AX66" s="1">
        <v>0.21</v>
      </c>
      <c r="AY66" s="1">
        <v>0.26</v>
      </c>
      <c r="AZ66" s="1">
        <v>0.28000000000000003</v>
      </c>
      <c r="BA66" s="1">
        <v>0.26</v>
      </c>
      <c r="BB66" s="1">
        <v>0.21</v>
      </c>
      <c r="BC66" s="20">
        <v>0.12</v>
      </c>
      <c r="BD66" s="1">
        <v>0</v>
      </c>
      <c r="BE66" s="1">
        <v>0.12</v>
      </c>
      <c r="BF66" s="1">
        <v>0.21</v>
      </c>
      <c r="BG66" s="1">
        <v>0.26</v>
      </c>
      <c r="BH66" s="1">
        <v>0.28000000000000003</v>
      </c>
      <c r="BI66" s="1">
        <v>0.26</v>
      </c>
      <c r="BJ66" s="1">
        <v>0.21</v>
      </c>
      <c r="BK66" s="20">
        <v>0.12</v>
      </c>
      <c r="BL66" s="1">
        <v>0</v>
      </c>
      <c r="BM66" s="1">
        <v>0.12</v>
      </c>
      <c r="BN66" s="1">
        <v>0.21</v>
      </c>
      <c r="BO66" s="1">
        <v>0.26</v>
      </c>
      <c r="BP66" s="1">
        <v>0.28000000000000003</v>
      </c>
      <c r="BQ66" s="1">
        <v>0.26</v>
      </c>
      <c r="BR66" s="1">
        <v>0.21</v>
      </c>
      <c r="BS66" s="20">
        <v>0.12</v>
      </c>
      <c r="BT66" s="1">
        <v>0</v>
      </c>
      <c r="BU66" s="1">
        <v>0.12</v>
      </c>
      <c r="BV66" s="1">
        <v>0.21</v>
      </c>
      <c r="BW66" s="1">
        <v>0.26</v>
      </c>
      <c r="BX66" s="1">
        <v>0.28000000000000003</v>
      </c>
      <c r="BY66" s="1">
        <v>0.26</v>
      </c>
      <c r="BZ66" s="1">
        <v>0.21</v>
      </c>
      <c r="CA66" s="20">
        <v>0.12</v>
      </c>
      <c r="CB66" s="1">
        <v>0</v>
      </c>
      <c r="CC66" s="1">
        <v>0.12</v>
      </c>
      <c r="CD66" s="1">
        <v>0.21</v>
      </c>
      <c r="CE66" s="1">
        <v>0.26</v>
      </c>
      <c r="CF66" s="1">
        <v>0.28000000000000003</v>
      </c>
      <c r="CG66" s="1">
        <v>0.26</v>
      </c>
      <c r="CH66" s="1">
        <v>0.21</v>
      </c>
      <c r="CI66" s="20">
        <v>0.12</v>
      </c>
      <c r="CJ66" s="1">
        <v>0</v>
      </c>
      <c r="CK66" s="1">
        <v>0.12</v>
      </c>
      <c r="CL66" s="1">
        <v>0.21</v>
      </c>
      <c r="CM66" s="1">
        <v>0.26</v>
      </c>
      <c r="CN66" s="1">
        <v>0.28000000000000003</v>
      </c>
      <c r="CO66" s="1">
        <v>0.26</v>
      </c>
      <c r="CP66" s="1">
        <v>0.21</v>
      </c>
      <c r="CQ66" s="20">
        <v>0.12</v>
      </c>
    </row>
    <row r="67" spans="3:160" x14ac:dyDescent="0.4">
      <c r="C67" s="1" t="s">
        <v>20</v>
      </c>
      <c r="D67" s="1" t="s">
        <v>8</v>
      </c>
      <c r="E67" s="1">
        <v>0.253</v>
      </c>
      <c r="F67" s="1">
        <v>0.14499999999999999</v>
      </c>
      <c r="G67" s="1">
        <v>0.108</v>
      </c>
      <c r="H67" s="1">
        <v>0.02</v>
      </c>
      <c r="I67" s="1">
        <v>4354</v>
      </c>
      <c r="J67" s="1">
        <v>3885</v>
      </c>
      <c r="K67" s="1">
        <v>56</v>
      </c>
      <c r="L67" s="1">
        <v>5159</v>
      </c>
      <c r="M67" s="1">
        <v>5839</v>
      </c>
      <c r="N67" s="1">
        <v>72</v>
      </c>
      <c r="O67" s="1">
        <v>86</v>
      </c>
      <c r="P67" s="1">
        <v>87.5</v>
      </c>
      <c r="Q67" s="1">
        <v>90</v>
      </c>
      <c r="R67" s="1">
        <v>50</v>
      </c>
      <c r="S67" s="1">
        <v>86</v>
      </c>
      <c r="T67" s="4">
        <v>0</v>
      </c>
      <c r="U67" s="1">
        <v>1.2110000000000001</v>
      </c>
      <c r="V67" s="1">
        <v>8.1000000000000003E-2</v>
      </c>
      <c r="W67" s="1">
        <v>4.0199999999999996</v>
      </c>
      <c r="X67" s="1">
        <f t="shared" ref="X67" si="1178">H65</f>
        <v>1.9E-2</v>
      </c>
      <c r="Y67" s="1">
        <f t="shared" ref="Y67" si="1179">H66</f>
        <v>5.5E-2</v>
      </c>
      <c r="Z67" s="1">
        <f t="shared" ref="Z67" si="1180">H67</f>
        <v>0.02</v>
      </c>
      <c r="AA67" s="1">
        <f t="shared" ref="AA67" si="1181">H68</f>
        <v>0.02</v>
      </c>
      <c r="AB67" s="1">
        <f t="shared" ref="AB67" si="1182">H69</f>
        <v>0.02</v>
      </c>
      <c r="AC67" s="1">
        <f t="shared" si="114"/>
        <v>4423.9444499738638</v>
      </c>
      <c r="CQ67" s="20"/>
    </row>
    <row r="68" spans="3:160" x14ac:dyDescent="0.4">
      <c r="C68" s="1" t="s">
        <v>20</v>
      </c>
      <c r="D68" s="1" t="s">
        <v>9</v>
      </c>
      <c r="E68" s="1">
        <v>0.252</v>
      </c>
      <c r="F68" s="1">
        <v>0.14399999999999999</v>
      </c>
      <c r="G68" s="1">
        <v>0.108</v>
      </c>
      <c r="H68" s="1">
        <v>0.02</v>
      </c>
      <c r="I68" s="1">
        <v>4354</v>
      </c>
      <c r="J68" s="1">
        <v>3885</v>
      </c>
      <c r="K68" s="1">
        <v>56</v>
      </c>
      <c r="L68" s="1">
        <v>5159</v>
      </c>
      <c r="M68" s="1">
        <v>5839</v>
      </c>
      <c r="N68" s="1">
        <v>72</v>
      </c>
      <c r="O68" s="1">
        <v>86</v>
      </c>
      <c r="P68" s="1">
        <v>87.5</v>
      </c>
      <c r="Q68" s="1">
        <v>90</v>
      </c>
      <c r="R68" s="1">
        <v>50</v>
      </c>
      <c r="S68" s="1">
        <v>86</v>
      </c>
      <c r="T68" s="4">
        <v>0</v>
      </c>
      <c r="U68" s="1">
        <v>1.2110000000000001</v>
      </c>
      <c r="V68" s="1">
        <v>8.1000000000000003E-2</v>
      </c>
      <c r="W68" s="1">
        <v>4.0199999999999996</v>
      </c>
      <c r="X68" s="1">
        <f t="shared" ref="X68" si="1183">H65</f>
        <v>1.9E-2</v>
      </c>
      <c r="Y68" s="1">
        <f t="shared" ref="Y68" si="1184">H66</f>
        <v>5.5E-2</v>
      </c>
      <c r="Z68" s="1">
        <f t="shared" ref="Z68" si="1185">H67</f>
        <v>0.02</v>
      </c>
      <c r="AA68" s="1">
        <f t="shared" ref="AA68" si="1186">H68</f>
        <v>0.02</v>
      </c>
      <c r="AB68" s="1">
        <f t="shared" ref="AB68" si="1187">H69</f>
        <v>0.02</v>
      </c>
      <c r="AC68" s="1">
        <f t="shared" si="114"/>
        <v>4423.9444499738638</v>
      </c>
      <c r="AE68" s="1" t="s">
        <v>98</v>
      </c>
      <c r="AF68" s="1">
        <v>0</v>
      </c>
      <c r="AG68" s="1">
        <v>6.5000000000000002E-2</v>
      </c>
      <c r="AH68" s="1">
        <v>0.14499999999999999</v>
      </c>
      <c r="AI68" s="1">
        <v>0.245</v>
      </c>
      <c r="AJ68" s="1">
        <v>0.36</v>
      </c>
      <c r="AK68" s="1">
        <v>0.39500000000000002</v>
      </c>
      <c r="AL68" s="1">
        <v>0.64500000000000002</v>
      </c>
      <c r="AM68" s="20">
        <v>0.81499999999999995</v>
      </c>
      <c r="AN68" s="1">
        <v>0</v>
      </c>
      <c r="AO68" s="1">
        <v>6.5000000000000002E-2</v>
      </c>
      <c r="AP68" s="1">
        <v>0.14499999999999999</v>
      </c>
      <c r="AQ68" s="1">
        <v>0.245</v>
      </c>
      <c r="AR68" s="1">
        <v>0.36</v>
      </c>
      <c r="AS68" s="1">
        <v>0.39500000000000002</v>
      </c>
      <c r="AT68" s="1">
        <v>0.64500000000000002</v>
      </c>
      <c r="AU68" s="20">
        <v>0.81499999999999995</v>
      </c>
      <c r="AV68" s="1">
        <v>0</v>
      </c>
      <c r="AW68" s="1">
        <v>6.5000000000000002E-2</v>
      </c>
      <c r="AX68" s="1">
        <v>0.14499999999999999</v>
      </c>
      <c r="AY68" s="1">
        <v>0.245</v>
      </c>
      <c r="AZ68" s="1">
        <v>0.36</v>
      </c>
      <c r="BA68" s="1">
        <v>0.39500000000000002</v>
      </c>
      <c r="BB68" s="1">
        <v>0.64500000000000002</v>
      </c>
      <c r="BC68" s="20">
        <v>0.81499999999999995</v>
      </c>
      <c r="BD68" s="1">
        <v>0</v>
      </c>
      <c r="BE68" s="1">
        <v>6.5000000000000002E-2</v>
      </c>
      <c r="BF68" s="1">
        <v>0.14499999999999999</v>
      </c>
      <c r="BG68" s="1">
        <v>0.245</v>
      </c>
      <c r="BH68" s="1">
        <v>0.36</v>
      </c>
      <c r="BI68" s="1">
        <v>0.39500000000000002</v>
      </c>
      <c r="BJ68" s="1">
        <v>0.64500000000000002</v>
      </c>
      <c r="BK68" s="20">
        <v>0.81499999999999995</v>
      </c>
      <c r="BL68" s="1">
        <v>0</v>
      </c>
      <c r="BM68" s="1">
        <v>6.5000000000000002E-2</v>
      </c>
      <c r="BN68" s="1">
        <v>0.14499999999999999</v>
      </c>
      <c r="BO68" s="1">
        <v>0.245</v>
      </c>
      <c r="BP68" s="1">
        <v>0.36</v>
      </c>
      <c r="BQ68" s="1">
        <v>0.39500000000000002</v>
      </c>
      <c r="BR68" s="1">
        <v>0.64500000000000002</v>
      </c>
      <c r="BS68" s="20">
        <v>0.81499999999999995</v>
      </c>
      <c r="BT68" s="1">
        <v>0</v>
      </c>
      <c r="BU68" s="1">
        <v>6.5000000000000002E-2</v>
      </c>
      <c r="BV68" s="1">
        <v>0.14499999999999999</v>
      </c>
      <c r="BW68" s="1">
        <v>0.245</v>
      </c>
      <c r="BX68" s="1">
        <v>0.36</v>
      </c>
      <c r="BY68" s="1">
        <v>0.39500000000000002</v>
      </c>
      <c r="BZ68" s="1">
        <v>0.64500000000000002</v>
      </c>
      <c r="CA68" s="20">
        <v>0.81499999999999995</v>
      </c>
      <c r="CB68" s="1">
        <v>0</v>
      </c>
      <c r="CC68" s="1">
        <v>6.5000000000000002E-2</v>
      </c>
      <c r="CD68" s="1">
        <v>0.14499999999999999</v>
      </c>
      <c r="CE68" s="1">
        <v>0.245</v>
      </c>
      <c r="CF68" s="1">
        <v>0.36</v>
      </c>
      <c r="CG68" s="1">
        <v>0.39500000000000002</v>
      </c>
      <c r="CH68" s="1">
        <v>0.64500000000000002</v>
      </c>
      <c r="CI68" s="20">
        <v>0.81499999999999995</v>
      </c>
      <c r="CJ68" s="1">
        <v>0</v>
      </c>
      <c r="CK68" s="1">
        <v>6.5000000000000002E-2</v>
      </c>
      <c r="CL68" s="1">
        <v>0.14499999999999999</v>
      </c>
      <c r="CM68" s="1">
        <v>0.245</v>
      </c>
      <c r="CN68" s="1">
        <v>0.36</v>
      </c>
      <c r="CO68" s="1">
        <v>0.39500000000000002</v>
      </c>
      <c r="CP68" s="1">
        <v>0.64500000000000002</v>
      </c>
      <c r="CQ68" s="20">
        <v>0.81499999999999995</v>
      </c>
    </row>
    <row r="69" spans="3:160" s="2" customFormat="1" x14ac:dyDescent="0.4">
      <c r="C69" s="2" t="s">
        <v>20</v>
      </c>
      <c r="D69" s="2" t="s">
        <v>10</v>
      </c>
      <c r="E69" s="2">
        <v>0.253</v>
      </c>
      <c r="F69" s="2">
        <v>0.14499999999999999</v>
      </c>
      <c r="G69" s="2">
        <v>0.108</v>
      </c>
      <c r="H69" s="2">
        <v>0.02</v>
      </c>
      <c r="I69" s="2">
        <v>4354</v>
      </c>
      <c r="J69" s="2">
        <v>3885</v>
      </c>
      <c r="K69" s="2">
        <v>56</v>
      </c>
      <c r="L69" s="2">
        <v>5159</v>
      </c>
      <c r="M69" s="2">
        <v>5839</v>
      </c>
      <c r="N69" s="2">
        <v>72</v>
      </c>
      <c r="O69" s="2">
        <v>86</v>
      </c>
      <c r="P69" s="2">
        <v>87.5</v>
      </c>
      <c r="Q69" s="2">
        <v>90</v>
      </c>
      <c r="R69" s="2">
        <v>50</v>
      </c>
      <c r="S69" s="2">
        <v>86</v>
      </c>
      <c r="T69" s="6">
        <f t="shared" si="557"/>
        <v>7270.7762110843632</v>
      </c>
      <c r="U69" s="2">
        <v>1.2110000000000001</v>
      </c>
      <c r="V69" s="2">
        <v>8.1000000000000003E-2</v>
      </c>
      <c r="W69" s="2">
        <v>4.0199999999999996</v>
      </c>
      <c r="X69" s="2">
        <f t="shared" ref="X69" si="1188">H65</f>
        <v>1.9E-2</v>
      </c>
      <c r="Y69" s="2">
        <f t="shared" ref="Y69" si="1189">H66</f>
        <v>5.5E-2</v>
      </c>
      <c r="Z69" s="2">
        <f t="shared" ref="Z69" si="1190">H67</f>
        <v>0.02</v>
      </c>
      <c r="AA69" s="2">
        <f t="shared" ref="AA69" si="1191">H68</f>
        <v>0.02</v>
      </c>
      <c r="AB69" s="2">
        <f t="shared" ref="AB69" si="1192">H69</f>
        <v>0.02</v>
      </c>
      <c r="AC69" s="1">
        <f t="shared" ref="AC69:AC132" si="1193">1000000*(O69*Q69*S69)^(1/3)/(I69+0.5*J69+240*K69)</f>
        <v>4423.9444499738638</v>
      </c>
      <c r="AE69" s="2" t="s">
        <v>99</v>
      </c>
      <c r="AF69" s="23">
        <f>($O69*$Q69*$S69)^(1/3)/(AF64*((1-AF$2)*$H64+AF$2*$H65) + AF66*((1-AF$2)*$H66+AF$2*$H67) + AF68*((1-AF$2)*$H68+AF$2*$H69))</f>
        <v>1819.0245757689406</v>
      </c>
      <c r="AG69" s="23">
        <f t="shared" ref="AG69" si="1194">($O69*$Q69*$S69)^(1/3)/(AG64*((1-AG$2)*$H64+AG$2*$H65) + AG66*((1-AG$2)*$H66+AG$2*$H67) + AG68*((1-AG$2)*$H68+AG$2*$H69))</f>
        <v>1856.9370403426021</v>
      </c>
      <c r="AH69" s="23">
        <f t="shared" ref="AH69" si="1195">($O69*$Q69*$S69)^(1/3)/(AH64*((1-AH$2)*$H64+AH$2*$H65) + AH66*((1-AH$2)*$H66+AH$2*$H67) + AH68*((1-AH$2)*$H68+AH$2*$H69))</f>
        <v>1922.7742707973828</v>
      </c>
      <c r="AI69" s="23">
        <f t="shared" ref="AI69" si="1196">($O69*$Q69*$S69)^(1/3)/(AI64*((1-AI$2)*$H64+AI$2*$H65) + AI66*((1-AI$2)*$H66+AI$2*$H67) + AI68*((1-AI$2)*$H68+AI$2*$H69))</f>
        <v>2288.0812273823153</v>
      </c>
      <c r="AJ69" s="23">
        <f t="shared" ref="AJ69" si="1197">($O69*$Q69*$S69)^(1/3)/(AJ64*((1-AJ$2)*$H64+AJ$2*$H65) + AJ66*((1-AJ$2)*$H66+AJ$2*$H67) + AJ68*((1-AJ$2)*$H68+AJ$2*$H69))</f>
        <v>2189.3976839746529</v>
      </c>
      <c r="AK69" s="23">
        <f t="shared" ref="AK69" si="1198">($O69*$Q69*$S69)^(1/3)/(AK64*((1-AK$2)*$H64+AK$2*$H65) + AK66*((1-AK$2)*$H66+AK$2*$H67) + AK68*((1-AK$2)*$H68+AK$2*$H69))</f>
        <v>2571.0594710515061</v>
      </c>
      <c r="AL69" s="23">
        <f t="shared" ref="AL69" si="1199">($O69*$Q69*$S69)^(1/3)/(AL64*((1-AL$2)*$H64+AL$2*$H65) + AL66*((1-AL$2)*$H66+AL$2*$H67) + AL68*((1-AL$2)*$H68+AL$2*$H69))</f>
        <v>2779.7892275361082</v>
      </c>
      <c r="AM69" s="23">
        <f t="shared" ref="AM69" si="1200">($O69*$Q69*$S69)^(1/3)/(AM64*((1-AM$2)*$H64+AM$2*$H65) + AM66*((1-AM$2)*$H66+AM$2*$H67) + AM68*((1-AM$2)*$H68+AM$2*$H69))</f>
        <v>3355.6179722101906</v>
      </c>
      <c r="AN69" s="23">
        <f t="shared" ref="AN69" si="1201">($O69*$Q69*$S69)^(1/3)/(AN64*((1-AN$2)*$H64+AN$2*$H65) + AN66*((1-AN$2)*$H66+AN$2*$H67) + AN68*((1-AN$2)*$H68+AN$2*$H69))</f>
        <v>1967.6209495641497</v>
      </c>
      <c r="AO69" s="23">
        <f t="shared" ref="AO69" si="1202">($O69*$Q69*$S69)^(1/3)/(AO64*((1-AO$2)*$H64+AO$2*$H65) + AO66*((1-AO$2)*$H66+AO$2*$H67) + AO68*((1-AO$2)*$H68+AO$2*$H69))</f>
        <v>2005.3267411046384</v>
      </c>
      <c r="AP69" s="23">
        <f t="shared" ref="AP69" si="1203">($O69*$Q69*$S69)^(1/3)/(AP64*((1-AP$2)*$H64+AP$2*$H65) + AP66*((1-AP$2)*$H66+AP$2*$H67) + AP68*((1-AP$2)*$H68+AP$2*$H69))</f>
        <v>2071.3334927578712</v>
      </c>
      <c r="AQ69" s="23">
        <f t="shared" ref="AQ69" si="1204">($O69*$Q69*$S69)^(1/3)/(AQ64*((1-AQ$2)*$H64+AQ$2*$H65) + AQ66*((1-AQ$2)*$H66+AQ$2*$H67) + AQ68*((1-AQ$2)*$H68+AQ$2*$H69))</f>
        <v>2453.2634545448177</v>
      </c>
      <c r="AR69" s="23">
        <f t="shared" ref="AR69" si="1205">($O69*$Q69*$S69)^(1/3)/(AR64*((1-AR$2)*$H64+AR$2*$H65) + AR66*((1-AR$2)*$H66+AR$2*$H67) + AR68*((1-AR$2)*$H68+AR$2*$H69))</f>
        <v>2337.7022660484377</v>
      </c>
      <c r="AS69" s="23">
        <f t="shared" ref="AS69" si="1206">($O69*$Q69*$S69)^(1/3)/(AS64*((1-AS$2)*$H64+AS$2*$H65) + AS66*((1-AS$2)*$H66+AS$2*$H67) + AS68*((1-AS$2)*$H68+AS$2*$H69))</f>
        <v>2734.1439948929374</v>
      </c>
      <c r="AT69" s="23">
        <f t="shared" ref="AT69" si="1207">($O69*$Q69*$S69)^(1/3)/(AT64*((1-AT$2)*$H64+AT$2*$H65) + AT66*((1-AT$2)*$H66+AT$2*$H67) + AT68*((1-AT$2)*$H68+AT$2*$H69))</f>
        <v>2913.7780252175335</v>
      </c>
      <c r="AU69" s="23">
        <f t="shared" ref="AU69" si="1208">($O69*$Q69*$S69)^(1/3)/(AU64*((1-AU$2)*$H64+AU$2*$H65) + AU66*((1-AU$2)*$H66+AU$2*$H67) + AU68*((1-AU$2)*$H68+AU$2*$H69))</f>
        <v>3456.6642934320089</v>
      </c>
      <c r="AV69" s="23">
        <f t="shared" ref="AV69" si="1209">($O69*$Q69*$S69)^(1/3)/(AV64*((1-AV$2)*$H64+AV$2*$H65) + AV66*((1-AV$2)*$H66+AV$2*$H67) + AV68*((1-AV$2)*$H68+AV$2*$H69))</f>
        <v>2142.6547150161755</v>
      </c>
      <c r="AW69" s="23">
        <f t="shared" ref="AW69" si="1210">($O69*$Q69*$S69)^(1/3)/(AW64*((1-AW$2)*$H64+AW$2*$H65) + AW66*((1-AW$2)*$H66+AW$2*$H67) + AW68*((1-AW$2)*$H68+AW$2*$H69))</f>
        <v>2179.4921435778751</v>
      </c>
      <c r="AX69" s="23">
        <f t="shared" ref="AX69" si="1211">($O69*$Q69*$S69)^(1/3)/(AX64*((1-AX$2)*$H64+AX$2*$H65) + AX66*((1-AX$2)*$H66+AX$2*$H67) + AX68*((1-AX$2)*$H68+AX$2*$H69))</f>
        <v>2244.7711446967037</v>
      </c>
      <c r="AY69" s="23">
        <f t="shared" ref="AY69" si="1212">($O69*$Q69*$S69)^(1/3)/(AY64*((1-AY$2)*$H64+AY$2*$H65) + AY66*((1-AY$2)*$H66+AY$2*$H67) + AY68*((1-AY$2)*$H68+AY$2*$H69))</f>
        <v>2644.1512552344066</v>
      </c>
      <c r="AZ69" s="23">
        <f t="shared" ref="AZ69" si="1213">($O69*$Q69*$S69)^(1/3)/(AZ64*((1-AZ$2)*$H64+AZ$2*$H65) + AZ66*((1-AZ$2)*$H66+AZ$2*$H67) + AZ68*((1-AZ$2)*$H68+AZ$2*$H69))</f>
        <v>2507.5582894000331</v>
      </c>
      <c r="BA69" s="23">
        <f t="shared" ref="BA69" si="1214">($O69*$Q69*$S69)^(1/3)/(BA64*((1-BA$2)*$H64+BA$2*$H65) + BA66*((1-BA$2)*$H66+BA$2*$H67) + BA68*((1-BA$2)*$H68+BA$2*$H69))</f>
        <v>2919.3189162672847</v>
      </c>
      <c r="BB69" s="23">
        <f t="shared" ref="BB69" si="1215">($O69*$Q69*$S69)^(1/3)/(BB64*((1-BB$2)*$H64+BB$2*$H65) + BB66*((1-BB$2)*$H66+BB$2*$H67) + BB68*((1-BB$2)*$H68+BB$2*$H69))</f>
        <v>3061.3377617358692</v>
      </c>
      <c r="BC69" s="23">
        <f t="shared" ref="BC69" si="1216">($O69*$Q69*$S69)^(1/3)/(BC64*((1-BC$2)*$H64+BC$2*$H65) + BC66*((1-BC$2)*$H66+BC$2*$H67) + BC68*((1-BC$2)*$H68+BC$2*$H69))</f>
        <v>3563.985086459887</v>
      </c>
      <c r="BD69" s="23">
        <f t="shared" ref="BD69" si="1217">($O69*$Q69*$S69)^(1/3)/(BD64*((1-BD$2)*$H64+BD$2*$H65) + BD66*((1-BD$2)*$H66+BD$2*$H67) + BD68*((1-BD$2)*$H68+BD$2*$H69))</f>
        <v>2351.8701585699437</v>
      </c>
      <c r="BE69" s="23">
        <f t="shared" ref="BE69" si="1218">($O69*$Q69*$S69)^(1/3)/(BE64*((1-BE$2)*$H64+BE$2*$H65) + BE66*((1-BE$2)*$H66+BE$2*$H67) + BE68*((1-BE$2)*$H68+BE$2*$H69))</f>
        <v>2386.7879827622055</v>
      </c>
      <c r="BF69" s="23">
        <f t="shared" ref="BF69" si="1219">($O69*$Q69*$S69)^(1/3)/(BF64*((1-BF$2)*$H64+BF$2*$H65) + BF66*((1-BF$2)*$H66+BF$2*$H67) + BF68*((1-BF$2)*$H68+BF$2*$H69))</f>
        <v>2449.9077112578198</v>
      </c>
      <c r="BG69" s="23">
        <f t="shared" ref="BG69" si="1220">($O69*$Q69*$S69)^(1/3)/(BG64*((1-BG$2)*$H64+BG$2*$H65) + BG66*((1-BG$2)*$H66+BG$2*$H67) + BG68*((1-BG$2)*$H68+BG$2*$H69))</f>
        <v>2867.2513478040069</v>
      </c>
      <c r="BH69" s="23">
        <f t="shared" ref="BH69" si="1221">($O69*$Q69*$S69)^(1/3)/(BH64*((1-BH$2)*$H64+BH$2*$H65) + BH66*((1-BH$2)*$H66+BH$2*$H67) + BH68*((1-BH$2)*$H68+BH$2*$H69))</f>
        <v>2704.0315774824762</v>
      </c>
      <c r="BI69" s="23">
        <f t="shared" ref="BI69" si="1222">($O69*$Q69*$S69)^(1/3)/(BI64*((1-BI$2)*$H64+BI$2*$H65) + BI66*((1-BI$2)*$H66+BI$2*$H67) + BI68*((1-BI$2)*$H68+BI$2*$H69))</f>
        <v>3131.3986375956479</v>
      </c>
      <c r="BJ69" s="23">
        <f t="shared" ref="BJ69" si="1223">($O69*$Q69*$S69)^(1/3)/(BJ64*((1-BJ$2)*$H64+BJ$2*$H65) + BJ66*((1-BJ$2)*$H66+BJ$2*$H67) + BJ68*((1-BJ$2)*$H68+BJ$2*$H69))</f>
        <v>3224.640200795297</v>
      </c>
      <c r="BK69" s="23">
        <f t="shared" ref="BK69" si="1224">($O69*$Q69*$S69)^(1/3)/(BK64*((1-BK$2)*$H64+BK$2*$H65) + BK66*((1-BK$2)*$H66+BK$2*$H67) + BK68*((1-BK$2)*$H68+BK$2*$H69))</f>
        <v>3678.1834975133529</v>
      </c>
      <c r="BL69" s="23">
        <f t="shared" ref="BL69" si="1225">($O69*$Q69*$S69)^(1/3)/(BL64*((1-BL$2)*$H64+BL$2*$H65) + BL66*((1-BL$2)*$H66+BL$2*$H67) + BL68*((1-BL$2)*$H68+BL$2*$H69))</f>
        <v>2606.3635712510195</v>
      </c>
      <c r="BM69" s="23">
        <f t="shared" ref="BM69" si="1226">($O69*$Q69*$S69)^(1/3)/(BM64*((1-BM$2)*$H64+BM$2*$H65) + BM66*((1-BM$2)*$H66+BM$2*$H67) + BM68*((1-BM$2)*$H68+BM$2*$H69))</f>
        <v>2637.6611928678849</v>
      </c>
      <c r="BN69" s="23">
        <f t="shared" ref="BN69" si="1227">($O69*$Q69*$S69)^(1/3)/(BN64*((1-BN$2)*$H64+BN$2*$H65) + BN66*((1-BN$2)*$H66+BN$2*$H67) + BN68*((1-BN$2)*$H68+BN$2*$H69))</f>
        <v>2696.3075623225245</v>
      </c>
      <c r="BO69" s="23">
        <f t="shared" ref="BO69" si="1228">($O69*$Q69*$S69)^(1/3)/(BO64*((1-BO$2)*$H64+BO$2*$H65) + BO66*((1-BO$2)*$H66+BO$2*$H67) + BO68*((1-BO$2)*$H68+BO$2*$H69))</f>
        <v>3131.4688294417338</v>
      </c>
      <c r="BP69" s="23">
        <f t="shared" ref="BP69" si="1229">($O69*$Q69*$S69)^(1/3)/(BP64*((1-BP$2)*$H64+BP$2*$H65) + BP66*((1-BP$2)*$H66+BP$2*$H67) + BP68*((1-BP$2)*$H68+BP$2*$H69))</f>
        <v>2933.9106060789363</v>
      </c>
      <c r="BQ69" s="23">
        <f t="shared" ref="BQ69" si="1230">($O69*$Q69*$S69)^(1/3)/(BQ64*((1-BQ$2)*$H64+BQ$2*$H65) + BQ66*((1-BQ$2)*$H66+BQ$2*$H67) + BQ68*((1-BQ$2)*$H68+BQ$2*$H69))</f>
        <v>3376.706164049469</v>
      </c>
      <c r="BR69" s="23">
        <f t="shared" ref="BR69" si="1231">($O69*$Q69*$S69)^(1/3)/(BR64*((1-BR$2)*$H64+BR$2*$H65) + BR66*((1-BR$2)*$H66+BR$2*$H67) + BR68*((1-BR$2)*$H68+BR$2*$H69))</f>
        <v>3406.3466160893063</v>
      </c>
      <c r="BS69" s="23">
        <f t="shared" ref="BS69" si="1232">($O69*$Q69*$S69)^(1/3)/(BS64*((1-BS$2)*$H64+BS$2*$H65) + BS66*((1-BS$2)*$H66+BS$2*$H67) + BS68*((1-BS$2)*$H68+BS$2*$H69))</f>
        <v>3799.9425366949913</v>
      </c>
      <c r="BT69" s="23">
        <f t="shared" ref="BT69" si="1233">($O69*$Q69*$S69)^(1/3)/(BT64*((1-BT$2)*$H64+BT$2*$H65) + BT66*((1-BT$2)*$H66+BT$2*$H67) + BT68*((1-BT$2)*$H68+BT$2*$H69))</f>
        <v>2922.6168916120218</v>
      </c>
      <c r="BU69" s="23">
        <f t="shared" ref="BU69" si="1234">($O69*$Q69*$S69)^(1/3)/(BU64*((1-BU$2)*$H64+BU$2*$H65) + BU66*((1-BU$2)*$H66+BU$2*$H67) + BU68*((1-BU$2)*$H68+BU$2*$H69))</f>
        <v>2947.4668738328301</v>
      </c>
      <c r="BV69" s="23">
        <f t="shared" ref="BV69" si="1235">($O69*$Q69*$S69)^(1/3)/(BV64*((1-BV$2)*$H64+BV$2*$H65) + BV66*((1-BV$2)*$H66+BV$2*$H67) + BV68*((1-BV$2)*$H68+BV$2*$H69))</f>
        <v>2997.8130816732396</v>
      </c>
      <c r="BW69" s="23">
        <f t="shared" ref="BW69" si="1236">($O69*$Q69*$S69)^(1/3)/(BW64*((1-BW$2)*$H64+BW$2*$H65) + BW66*((1-BW$2)*$H66+BW$2*$H67) + BW68*((1-BW$2)*$H68+BW$2*$H69))</f>
        <v>3449.3243973989438</v>
      </c>
      <c r="BX69" s="23">
        <f t="shared" ref="BX69" si="1237">($O69*$Q69*$S69)^(1/3)/(BX64*((1-BX$2)*$H64+BX$2*$H65) + BX66*((1-BX$2)*$H66+BX$2*$H67) + BX68*((1-BX$2)*$H68+BX$2*$H69))</f>
        <v>3206.5067806430093</v>
      </c>
      <c r="BY69" s="23">
        <f t="shared" ref="BY69" si="1238">($O69*$Q69*$S69)^(1/3)/(BY64*((1-BY$2)*$H64+BY$2*$H65) + BY66*((1-BY$2)*$H66+BY$2*$H67) + BY68*((1-BY$2)*$H68+BY$2*$H69))</f>
        <v>3663.7142330139422</v>
      </c>
      <c r="BZ69" s="23">
        <f t="shared" ref="BZ69" si="1239">($O69*$Q69*$S69)^(1/3)/(BZ64*((1-BZ$2)*$H64+BZ$2*$H65) + BZ66*((1-BZ$2)*$H66+BZ$2*$H67) + BZ68*((1-BZ$2)*$H68+BZ$2*$H69))</f>
        <v>3609.7539448348793</v>
      </c>
      <c r="CA69" s="23">
        <f t="shared" ref="CA69" si="1240">($O69*$Q69*$S69)^(1/3)/(CA64*((1-CA$2)*$H64+CA$2*$H65) + CA66*((1-CA$2)*$H66+CA$2*$H67) + CA68*((1-CA$2)*$H68+CA$2*$H69))</f>
        <v>3930.0387492349473</v>
      </c>
      <c r="CB69" s="23">
        <f t="shared" ref="CB69" si="1241">($O69*$Q69*$S69)^(1/3)/(CB64*((1-CB$2)*$H64+CB$2*$H65) + CB66*((1-CB$2)*$H66+CB$2*$H67) + CB68*((1-CB$2)*$H68+CB$2*$H69))</f>
        <v>3326.2163671203489</v>
      </c>
      <c r="CC69" s="23">
        <f t="shared" ref="CC69" si="1242">($O69*$Q69*$S69)^(1/3)/(CC64*((1-CC$2)*$H64+CC$2*$H65) + CC66*((1-CC$2)*$H66+CC$2*$H67) + CC68*((1-CC$2)*$H68+CC$2*$H69))</f>
        <v>3339.7343394466816</v>
      </c>
      <c r="CD69" s="23">
        <f t="shared" ref="CD69" si="1243">($O69*$Q69*$S69)^(1/3)/(CD64*((1-CD$2)*$H64+CD$2*$H65) + CD66*((1-CD$2)*$H66+CD$2*$H67) + CD68*((1-CD$2)*$H68+CD$2*$H69))</f>
        <v>3375.2376762274625</v>
      </c>
      <c r="CE69" s="23">
        <f t="shared" ref="CE69" si="1244">($O69*$Q69*$S69)^(1/3)/(CE64*((1-CE$2)*$H64+CE$2*$H65) + CE66*((1-CE$2)*$H66+CE$2*$H67) + CE68*((1-CE$2)*$H68+CE$2*$H69))</f>
        <v>3838.9966314661897</v>
      </c>
      <c r="CF69" s="23">
        <f t="shared" ref="CF69" si="1245">($O69*$Q69*$S69)^(1/3)/(CF64*((1-CF$2)*$H64+CF$2*$H65) + CF66*((1-CF$2)*$H66+CF$2*$H67) + CF68*((1-CF$2)*$H68+CF$2*$H69))</f>
        <v>3534.9465440044191</v>
      </c>
      <c r="CG69" s="23">
        <f t="shared" ref="CG69" si="1246">($O69*$Q69*$S69)^(1/3)/(CG64*((1-CG$2)*$H64+CG$2*$H65) + CG66*((1-CG$2)*$H66+CG$2*$H67) + CG68*((1-CG$2)*$H68+CG$2*$H69))</f>
        <v>4004.043778132836</v>
      </c>
      <c r="CH69" s="23">
        <f t="shared" ref="CH69" si="1247">($O69*$Q69*$S69)^(1/3)/(CH64*((1-CH$2)*$H64+CH$2*$H65) + CH66*((1-CH$2)*$H66+CH$2*$H67) + CH68*((1-CH$2)*$H68+CH$2*$H69))</f>
        <v>3838.9966314661897</v>
      </c>
      <c r="CI69" s="23">
        <f t="shared" ref="CI69" si="1248">($O69*$Q69*$S69)^(1/3)/(CI64*((1-CI$2)*$H64+CI$2*$H65) + CI66*((1-CI$2)*$H66+CI$2*$H67) + CI68*((1-CI$2)*$H68+CI$2*$H69))</f>
        <v>4069.35879461272</v>
      </c>
      <c r="CJ69" s="23">
        <f t="shared" ref="CJ69" si="1249">($O69*$Q69*$S69)^(1/3)/(CJ64*((1-CJ$2)*$H64+CJ$2*$H65) + CJ66*((1-CJ$2)*$H66+CJ$2*$H67) + CJ68*((1-CJ$2)*$H68+CJ$2*$H69))</f>
        <v>3859.1460612998521</v>
      </c>
      <c r="CK69" s="23">
        <f t="shared" ref="CK69" si="1250">($O69*$Q69*$S69)^(1/3)/(CK64*((1-CK$2)*$H64+CK$2*$H65) + CK66*((1-CK$2)*$H66+CK$2*$H67) + CK68*((1-CK$2)*$H68+CK$2*$H69))</f>
        <v>3852.4415359748136</v>
      </c>
      <c r="CL69" s="23">
        <f t="shared" ref="CL69" si="1251">($O69*$Q69*$S69)^(1/3)/(CL64*((1-CL$2)*$H64+CL$2*$H65) + CL66*((1-CL$2)*$H66+CL$2*$H67) + CL68*((1-CL$2)*$H68+CL$2*$H69))</f>
        <v>3861.3860919056538</v>
      </c>
      <c r="CM69" s="23">
        <f t="shared" ref="CM69" si="1252">($O69*$Q69*$S69)^(1/3)/(CM64*((1-CM$2)*$H64+CM$2*$H65) + CM66*((1-CM$2)*$H66+CM$2*$H67) + CM68*((1-CM$2)*$H68+CM$2*$H69))</f>
        <v>4327.9248867391998</v>
      </c>
      <c r="CN69" s="23">
        <f t="shared" ref="CN69" si="1253">($O69*$Q69*$S69)^(1/3)/(CN64*((1-CN$2)*$H64+CN$2*$H65) + CN66*((1-CN$2)*$H66+CN$2*$H67) + CN68*((1-CN$2)*$H68+CN$2*$H69))</f>
        <v>3938.3482019354601</v>
      </c>
      <c r="CO69" s="23">
        <f t="shared" ref="CO69" si="1254">($O69*$Q69*$S69)^(1/3)/(CO64*((1-CO$2)*$H64+CO$2*$H65) + CO66*((1-CO$2)*$H66+CO$2*$H67) + CO68*((1-CO$2)*$H68+CO$2*$H69))</f>
        <v>4414.075876617102</v>
      </c>
      <c r="CP69" s="23">
        <f t="shared" ref="CP69" si="1255">($O69*$Q69*$S69)^(1/3)/(CP64*((1-CP$2)*$H64+CP$2*$H65) + CP66*((1-CP$2)*$H66+CP$2*$H67) + CP68*((1-CP$2)*$H68+CP$2*$H69))</f>
        <v>4099.3305971141945</v>
      </c>
      <c r="CQ69" s="23">
        <f t="shared" ref="CQ69" si="1256">($O69*$Q69*$S69)^(1/3)/(CQ64*((1-CQ$2)*$H64+CQ$2*$H65) + CQ66*((1-CQ$2)*$H66+CQ$2*$H67) + CQ68*((1-CQ$2)*$H68+CQ$2*$H69))</f>
        <v>4218.9196816674612</v>
      </c>
      <c r="CS69" s="2">
        <f t="shared" ref="CS69" si="1257">100*$AF69/AF69</f>
        <v>100</v>
      </c>
      <c r="CT69" s="2">
        <f t="shared" ref="CT69" si="1258">100*$AF69/AG69</f>
        <v>97.958333333333329</v>
      </c>
      <c r="CU69" s="2">
        <f t="shared" ref="CU69" si="1259">100*$AF69/AH69</f>
        <v>94.604166666666657</v>
      </c>
      <c r="CV69" s="2">
        <f t="shared" ref="CV69" si="1260">100*$AF69/AI69</f>
        <v>79.5</v>
      </c>
      <c r="CW69" s="2">
        <f t="shared" ref="CW69" si="1261">100*$AF69/AJ69</f>
        <v>83.083333333333329</v>
      </c>
      <c r="CX69" s="2">
        <f t="shared" ref="CX69" si="1262">100*$AF69/AK69</f>
        <v>70.75</v>
      </c>
      <c r="CY69" s="2">
        <f t="shared" ref="CY69" si="1263">100*$AF69/AL69</f>
        <v>65.437499999999986</v>
      </c>
      <c r="CZ69" s="2">
        <f t="shared" ref="CZ69" si="1264">100*$AF69/AM69</f>
        <v>54.208333333333329</v>
      </c>
      <c r="DA69" s="2">
        <f t="shared" ref="DA69" si="1265">100*$AF69/AN69</f>
        <v>92.447916666666671</v>
      </c>
      <c r="DB69" s="2">
        <f t="shared" ref="DB69" si="1266">100*$AF69/AO69</f>
        <v>90.709635416666671</v>
      </c>
      <c r="DC69" s="2">
        <f t="shared" ref="DC69" si="1267">100*$AF69/AP69</f>
        <v>87.819010416666671</v>
      </c>
      <c r="DD69" s="2">
        <f t="shared" ref="DD69" si="1268">100*$AF69/AQ69</f>
        <v>74.147135416666657</v>
      </c>
      <c r="DE69" s="2">
        <f t="shared" ref="DE69" si="1269">100*$AF69/AR69</f>
        <v>77.8125</v>
      </c>
      <c r="DF69" s="2">
        <f t="shared" ref="DF69" si="1270">100*$AF69/AS69</f>
        <v>66.529947916666671</v>
      </c>
      <c r="DG69" s="2">
        <f t="shared" ref="DG69" si="1271">100*$AF69/AT69</f>
        <v>62.428385416666664</v>
      </c>
      <c r="DH69" s="2">
        <f t="shared" ref="DH69" si="1272">100*$AF69/AU69</f>
        <v>52.623697916666664</v>
      </c>
      <c r="DI69" s="2">
        <f t="shared" ref="DI69" si="1273">100*$AF69/AV69</f>
        <v>84.895833333333329</v>
      </c>
      <c r="DJ69" s="2">
        <f t="shared" ref="DJ69" si="1274">100*$AF69/AW69</f>
        <v>83.4609375</v>
      </c>
      <c r="DK69" s="2">
        <f t="shared" ref="DK69" si="1275">100*$AF69/AX69</f>
        <v>81.033854166666657</v>
      </c>
      <c r="DL69" s="2">
        <f t="shared" ref="DL69" si="1276">100*$AF69/AY69</f>
        <v>68.794270833333329</v>
      </c>
      <c r="DM69" s="2">
        <f t="shared" ref="DM69" si="1277">100*$AF69/AZ69</f>
        <v>72.541666666666657</v>
      </c>
      <c r="DN69" s="2">
        <f t="shared" ref="DN69" si="1278">100*$AF69/BA69</f>
        <v>62.309895833333329</v>
      </c>
      <c r="DO69" s="2">
        <f t="shared" ref="DO69" si="1279">100*$AF69/BB69</f>
        <v>59.419270833333321</v>
      </c>
      <c r="DP69" s="2">
        <f t="shared" ref="DP69" si="1280">100*$AF69/BC69</f>
        <v>51.039062499999993</v>
      </c>
      <c r="DQ69" s="2">
        <f t="shared" ref="DQ69" si="1281">100*$AF69/BD69</f>
        <v>77.343749999999986</v>
      </c>
      <c r="DR69" s="2">
        <f t="shared" ref="DR69" si="1282">100*$AF69/BE69</f>
        <v>76.212239583333329</v>
      </c>
      <c r="DS69" s="2">
        <f t="shared" ref="DS69" si="1283">100*$AF69/BF69</f>
        <v>74.248697916666657</v>
      </c>
      <c r="DT69" s="2">
        <f t="shared" ref="DT69" si="1284">100*$AF69/BG69</f>
        <v>63.441406250000007</v>
      </c>
      <c r="DU69" s="2">
        <f t="shared" ref="DU69" si="1285">100*$AF69/BH69</f>
        <v>67.270833333333329</v>
      </c>
      <c r="DV69" s="2">
        <f t="shared" ref="DV69" si="1286">100*$AF69/BI69</f>
        <v>58.08984375</v>
      </c>
      <c r="DW69" s="2">
        <f t="shared" ref="DW69" si="1287">100*$AF69/BJ69</f>
        <v>56.410156249999993</v>
      </c>
      <c r="DX69" s="2">
        <f t="shared" ref="DX69" si="1288">100*$AF69/BK69</f>
        <v>49.454427083333329</v>
      </c>
      <c r="DY69" s="2">
        <f t="shared" ref="DY69" si="1289">100*$AF69/BL69</f>
        <v>69.791666666666657</v>
      </c>
      <c r="DZ69" s="2">
        <f t="shared" ref="DZ69" si="1290">100*$AF69/BM69</f>
        <v>68.963541666666657</v>
      </c>
      <c r="EA69" s="2">
        <f t="shared" ref="EA69" si="1291">100*$AF69/BN69</f>
        <v>67.463541666666657</v>
      </c>
      <c r="EB69" s="2">
        <f t="shared" ref="EB69" si="1292">100*$AF69/BO69</f>
        <v>58.088541666666671</v>
      </c>
      <c r="EC69" s="2">
        <f t="shared" ref="EC69" si="1293">100*$AF69/BP69</f>
        <v>62</v>
      </c>
      <c r="ED69" s="2">
        <f t="shared" ref="ED69" si="1294">100*$AF69/BQ69</f>
        <v>53.869791666666671</v>
      </c>
      <c r="EE69" s="2">
        <f t="shared" ref="EE69" si="1295">100*$AF69/BR69</f>
        <v>53.401041666666671</v>
      </c>
      <c r="EF69" s="2">
        <f t="shared" ref="EF69" si="1296">100*$AF69/BS69</f>
        <v>47.869791666666657</v>
      </c>
      <c r="EG69" s="2">
        <f t="shared" ref="EG69" si="1297">100*$AF69/BT69</f>
        <v>62.239583333333329</v>
      </c>
      <c r="EH69" s="2">
        <f t="shared" ref="EH69" si="1298">100*$AF69/BU69</f>
        <v>61.714843749999993</v>
      </c>
      <c r="EI69" s="2">
        <f t="shared" ref="EI69" si="1299">100*$AF69/BV69</f>
        <v>60.678385416666664</v>
      </c>
      <c r="EJ69" s="2">
        <f t="shared" ref="EJ69" si="1300">100*$AF69/BW69</f>
        <v>52.735677083333336</v>
      </c>
      <c r="EK69" s="2">
        <f t="shared" ref="EK69" si="1301">100*$AF69/BX69</f>
        <v>56.729166666666671</v>
      </c>
      <c r="EL69" s="2">
        <f t="shared" ref="EL69" si="1302">100*$AF69/BY69</f>
        <v>49.649739583333336</v>
      </c>
      <c r="EM69" s="2">
        <f t="shared" ref="EM69" si="1303">100*$AF69/BZ69</f>
        <v>50.391927083333321</v>
      </c>
      <c r="EN69" s="2">
        <f t="shared" ref="EN69" si="1304">100*$AF69/CA69</f>
        <v>46.285156249999986</v>
      </c>
      <c r="EO69" s="2">
        <f t="shared" ref="EO69" si="1305">100*$AF69/CB69</f>
        <v>54.687499999999993</v>
      </c>
      <c r="EP69" s="2">
        <f t="shared" ref="EP69" si="1306">100*$AF69/CC69</f>
        <v>54.466145833333314</v>
      </c>
      <c r="EQ69" s="2">
        <f t="shared" ref="EQ69" si="1307">100*$AF69/CD69</f>
        <v>53.89322916666665</v>
      </c>
      <c r="ER69" s="2">
        <f t="shared" ref="ER69" si="1308">100*$AF69/CE69</f>
        <v>47.3828125</v>
      </c>
      <c r="ES69" s="2">
        <f t="shared" ref="ES69" si="1309">100*$AF69/CF69</f>
        <v>51.458333333333329</v>
      </c>
      <c r="ET69" s="2">
        <f t="shared" ref="ET69" si="1310">100*$AF69/CG69</f>
        <v>45.429687499999993</v>
      </c>
      <c r="EU69" s="2">
        <f t="shared" ref="EU69" si="1311">100*$AF69/CH69</f>
        <v>47.3828125</v>
      </c>
      <c r="EV69" s="2">
        <f t="shared" ref="EV69" si="1312">100*$AF69/CI69</f>
        <v>44.700520833333321</v>
      </c>
      <c r="EW69" s="2">
        <f t="shared" ref="EW69" si="1313">100*$AF69/CJ69</f>
        <v>47.135416666666664</v>
      </c>
      <c r="EX69" s="2">
        <f t="shared" ref="EX69" si="1314">100*$AF69/CK69</f>
        <v>47.217447916666657</v>
      </c>
      <c r="EY69" s="2">
        <f t="shared" ref="EY69" si="1315">100*$AF69/CL69</f>
        <v>47.108072916666664</v>
      </c>
      <c r="EZ69" s="2">
        <f t="shared" ref="EZ69" si="1316">100*$AF69/CM69</f>
        <v>42.029947916666671</v>
      </c>
      <c r="FA69" s="2">
        <f t="shared" ref="FA69" si="1317">100*$AF69/CN69</f>
        <v>46.1875</v>
      </c>
      <c r="FB69" s="2">
        <f t="shared" ref="FB69" si="1318">100*$AF69/CO69</f>
        <v>41.209635416666657</v>
      </c>
      <c r="FC69" s="2">
        <f t="shared" ref="FC69" si="1319">100*$AF69/CP69</f>
        <v>44.373697916666664</v>
      </c>
      <c r="FD69" s="2">
        <f t="shared" ref="FD69" si="1320">100*$AF69/CQ69</f>
        <v>43.115885416666664</v>
      </c>
    </row>
    <row r="70" spans="3:160" x14ac:dyDescent="0.4">
      <c r="C70" s="1" t="s">
        <v>21</v>
      </c>
      <c r="D70" s="1" t="s">
        <v>5</v>
      </c>
      <c r="E70" s="1">
        <v>0.28899999999999998</v>
      </c>
      <c r="F70" s="1">
        <v>0.18099999999999999</v>
      </c>
      <c r="G70" s="1">
        <v>0.108</v>
      </c>
      <c r="H70" s="1">
        <v>4.8000000000000001E-2</v>
      </c>
      <c r="I70" s="1">
        <v>4352</v>
      </c>
      <c r="J70" s="1">
        <v>4005</v>
      </c>
      <c r="K70" s="1">
        <v>56</v>
      </c>
      <c r="L70" s="1">
        <v>5159</v>
      </c>
      <c r="M70" s="1">
        <v>5959</v>
      </c>
      <c r="N70" s="1">
        <v>72</v>
      </c>
      <c r="O70" s="1">
        <v>86</v>
      </c>
      <c r="P70" s="1">
        <v>87.5</v>
      </c>
      <c r="Q70" s="1">
        <v>90</v>
      </c>
      <c r="R70" s="1">
        <v>50</v>
      </c>
      <c r="S70" s="1">
        <v>86</v>
      </c>
      <c r="T70" s="4">
        <v>0</v>
      </c>
      <c r="U70" s="1">
        <v>1.974</v>
      </c>
      <c r="V70" s="1">
        <v>6.5000000000000002E-2</v>
      </c>
      <c r="W70" s="1">
        <v>4.0199999999999996</v>
      </c>
      <c r="X70" s="1">
        <f t="shared" ref="X70" si="1321">H71</f>
        <v>1.9E-2</v>
      </c>
      <c r="Y70" s="1">
        <f t="shared" ref="Y70" si="1322">H72</f>
        <v>5.5E-2</v>
      </c>
      <c r="Z70" s="1">
        <f t="shared" ref="Z70" si="1323">H73</f>
        <v>0.02</v>
      </c>
      <c r="AA70" s="1">
        <f t="shared" ref="AA70" si="1324">H74</f>
        <v>0.02</v>
      </c>
      <c r="AB70" s="1">
        <f t="shared" ref="AB70" si="1325">H75</f>
        <v>0.02</v>
      </c>
      <c r="AC70" s="1">
        <f t="shared" si="1193"/>
        <v>4410.9818200464351</v>
      </c>
      <c r="AE70" s="1" t="s">
        <v>96</v>
      </c>
      <c r="AF70" s="1">
        <v>1</v>
      </c>
      <c r="AG70" s="1">
        <v>0.81499999999999995</v>
      </c>
      <c r="AH70" s="1">
        <v>0.64500000000000002</v>
      </c>
      <c r="AI70" s="1">
        <v>0.39500000000000002</v>
      </c>
      <c r="AJ70" s="1">
        <v>0.36</v>
      </c>
      <c r="AK70" s="1">
        <v>0.245</v>
      </c>
      <c r="AL70" s="1">
        <v>0.14499999999999999</v>
      </c>
      <c r="AM70" s="20">
        <v>6.5000000000000002E-2</v>
      </c>
      <c r="AN70" s="1">
        <v>1</v>
      </c>
      <c r="AO70" s="1">
        <v>0.81499999999999995</v>
      </c>
      <c r="AP70" s="1">
        <v>0.64500000000000002</v>
      </c>
      <c r="AQ70" s="1">
        <v>0.39500000000000002</v>
      </c>
      <c r="AR70" s="1">
        <v>0.36</v>
      </c>
      <c r="AS70" s="1">
        <v>0.245</v>
      </c>
      <c r="AT70" s="1">
        <v>0.14499999999999999</v>
      </c>
      <c r="AU70" s="20">
        <v>6.5000000000000002E-2</v>
      </c>
      <c r="AV70" s="1">
        <v>1</v>
      </c>
      <c r="AW70" s="1">
        <v>0.81499999999999995</v>
      </c>
      <c r="AX70" s="1">
        <v>0.64500000000000002</v>
      </c>
      <c r="AY70" s="1">
        <v>0.39500000000000002</v>
      </c>
      <c r="AZ70" s="1">
        <v>0.36</v>
      </c>
      <c r="BA70" s="1">
        <v>0.245</v>
      </c>
      <c r="BB70" s="1">
        <v>0.14499999999999999</v>
      </c>
      <c r="BC70" s="20">
        <v>6.5000000000000002E-2</v>
      </c>
      <c r="BD70" s="1">
        <v>1</v>
      </c>
      <c r="BE70" s="1">
        <v>0.81499999999999995</v>
      </c>
      <c r="BF70" s="1">
        <v>0.64500000000000002</v>
      </c>
      <c r="BG70" s="1">
        <v>0.39500000000000002</v>
      </c>
      <c r="BH70" s="1">
        <v>0.36</v>
      </c>
      <c r="BI70" s="1">
        <v>0.245</v>
      </c>
      <c r="BJ70" s="1">
        <v>0.14499999999999999</v>
      </c>
      <c r="BK70" s="20">
        <v>6.5000000000000002E-2</v>
      </c>
      <c r="BL70" s="1">
        <v>1</v>
      </c>
      <c r="BM70" s="1">
        <v>0.81499999999999995</v>
      </c>
      <c r="BN70" s="1">
        <v>0.64500000000000002</v>
      </c>
      <c r="BO70" s="1">
        <v>0.39500000000000002</v>
      </c>
      <c r="BP70" s="1">
        <v>0.36</v>
      </c>
      <c r="BQ70" s="1">
        <v>0.245</v>
      </c>
      <c r="BR70" s="1">
        <v>0.14499999999999999</v>
      </c>
      <c r="BS70" s="20">
        <v>6.5000000000000002E-2</v>
      </c>
      <c r="BT70" s="1">
        <v>1</v>
      </c>
      <c r="BU70" s="1">
        <v>0.81499999999999995</v>
      </c>
      <c r="BV70" s="1">
        <v>0.64500000000000002</v>
      </c>
      <c r="BW70" s="1">
        <v>0.39500000000000002</v>
      </c>
      <c r="BX70" s="1">
        <v>0.36</v>
      </c>
      <c r="BY70" s="1">
        <v>0.245</v>
      </c>
      <c r="BZ70" s="1">
        <v>0.14499999999999999</v>
      </c>
      <c r="CA70" s="20">
        <v>6.5000000000000002E-2</v>
      </c>
      <c r="CB70" s="1">
        <v>1</v>
      </c>
      <c r="CC70" s="1">
        <v>0.81499999999999995</v>
      </c>
      <c r="CD70" s="1">
        <v>0.64500000000000002</v>
      </c>
      <c r="CE70" s="1">
        <v>0.39500000000000002</v>
      </c>
      <c r="CF70" s="1">
        <v>0.36</v>
      </c>
      <c r="CG70" s="1">
        <v>0.245</v>
      </c>
      <c r="CH70" s="1">
        <v>0.14499999999999999</v>
      </c>
      <c r="CI70" s="20">
        <v>6.5000000000000002E-2</v>
      </c>
      <c r="CJ70" s="1">
        <v>1</v>
      </c>
      <c r="CK70" s="1">
        <v>0.81499999999999995</v>
      </c>
      <c r="CL70" s="1">
        <v>0.64500000000000002</v>
      </c>
      <c r="CM70" s="1">
        <v>0.39500000000000002</v>
      </c>
      <c r="CN70" s="1">
        <v>0.36</v>
      </c>
      <c r="CO70" s="1">
        <v>0.245</v>
      </c>
      <c r="CP70" s="1">
        <v>0.14499999999999999</v>
      </c>
      <c r="CQ70" s="20">
        <v>6.5000000000000002E-2</v>
      </c>
    </row>
    <row r="71" spans="3:160" x14ac:dyDescent="0.4">
      <c r="C71" s="1" t="s">
        <v>21</v>
      </c>
      <c r="D71" s="1" t="s">
        <v>6</v>
      </c>
      <c r="E71" s="1">
        <v>0.252</v>
      </c>
      <c r="F71" s="1">
        <v>0.14399999999999999</v>
      </c>
      <c r="G71" s="1">
        <v>0.108</v>
      </c>
      <c r="H71" s="1">
        <v>1.9E-2</v>
      </c>
      <c r="I71" s="1">
        <v>4352</v>
      </c>
      <c r="J71" s="1">
        <v>4005</v>
      </c>
      <c r="K71" s="1">
        <v>56</v>
      </c>
      <c r="L71" s="1">
        <v>5159</v>
      </c>
      <c r="M71" s="1">
        <v>5959</v>
      </c>
      <c r="N71" s="1">
        <v>72</v>
      </c>
      <c r="O71" s="1">
        <v>86</v>
      </c>
      <c r="P71" s="1">
        <v>87.5</v>
      </c>
      <c r="Q71" s="1">
        <v>90</v>
      </c>
      <c r="R71" s="1">
        <v>50</v>
      </c>
      <c r="S71" s="1">
        <v>86</v>
      </c>
      <c r="T71" s="4">
        <v>0</v>
      </c>
      <c r="U71" s="1">
        <v>1.974</v>
      </c>
      <c r="V71" s="1">
        <v>6.5000000000000002E-2</v>
      </c>
      <c r="W71" s="1">
        <v>4.0199999999999996</v>
      </c>
      <c r="X71" s="1">
        <f t="shared" ref="X71" si="1326">H71</f>
        <v>1.9E-2</v>
      </c>
      <c r="Y71" s="1">
        <f t="shared" ref="Y71" si="1327">H72</f>
        <v>5.5E-2</v>
      </c>
      <c r="Z71" s="1">
        <f t="shared" ref="Z71" si="1328">H73</f>
        <v>0.02</v>
      </c>
      <c r="AA71" s="1">
        <f t="shared" ref="AA71" si="1329">H74</f>
        <v>0.02</v>
      </c>
      <c r="AB71" s="1">
        <f t="shared" ref="AB71" si="1330">H75</f>
        <v>0.02</v>
      </c>
      <c r="AC71" s="1">
        <f t="shared" si="1193"/>
        <v>4410.9818200464351</v>
      </c>
      <c r="CQ71" s="20"/>
    </row>
    <row r="72" spans="3:160" x14ac:dyDescent="0.4">
      <c r="C72" s="1" t="s">
        <v>21</v>
      </c>
      <c r="D72" s="1" t="s">
        <v>7</v>
      </c>
      <c r="E72" s="1">
        <v>0.29699999999999999</v>
      </c>
      <c r="F72" s="1">
        <v>0.188</v>
      </c>
      <c r="G72" s="1">
        <v>0.109</v>
      </c>
      <c r="H72" s="1">
        <v>5.5E-2</v>
      </c>
      <c r="I72" s="1">
        <v>4352</v>
      </c>
      <c r="J72" s="1">
        <v>4005</v>
      </c>
      <c r="K72" s="1">
        <v>56</v>
      </c>
      <c r="L72" s="1">
        <v>5159</v>
      </c>
      <c r="M72" s="1">
        <v>5959</v>
      </c>
      <c r="N72" s="1">
        <v>72</v>
      </c>
      <c r="O72" s="1">
        <v>86</v>
      </c>
      <c r="P72" s="1">
        <v>87.5</v>
      </c>
      <c r="Q72" s="1">
        <v>90</v>
      </c>
      <c r="R72" s="1">
        <v>50</v>
      </c>
      <c r="S72" s="1">
        <v>86</v>
      </c>
      <c r="T72" s="4">
        <v>0</v>
      </c>
      <c r="U72" s="1">
        <v>1.974</v>
      </c>
      <c r="V72" s="1">
        <v>6.5000000000000002E-2</v>
      </c>
      <c r="W72" s="1">
        <v>4.0199999999999996</v>
      </c>
      <c r="X72" s="1">
        <f t="shared" ref="X72" si="1331">H71</f>
        <v>1.9E-2</v>
      </c>
      <c r="Y72" s="1">
        <f t="shared" ref="Y72" si="1332">H72</f>
        <v>5.5E-2</v>
      </c>
      <c r="Z72" s="1">
        <f t="shared" ref="Z72" si="1333">H73</f>
        <v>0.02</v>
      </c>
      <c r="AA72" s="1">
        <f t="shared" ref="AA72" si="1334">H74</f>
        <v>0.02</v>
      </c>
      <c r="AB72" s="1">
        <f t="shared" ref="AB72" si="1335">H75</f>
        <v>0.02</v>
      </c>
      <c r="AC72" s="1">
        <f t="shared" si="1193"/>
        <v>4410.9818200464351</v>
      </c>
      <c r="AE72" s="1" t="s">
        <v>97</v>
      </c>
      <c r="AF72" s="1">
        <v>0</v>
      </c>
      <c r="AG72" s="1">
        <v>0.12</v>
      </c>
      <c r="AH72" s="1">
        <v>0.21</v>
      </c>
      <c r="AI72" s="1">
        <v>0.26</v>
      </c>
      <c r="AJ72" s="1">
        <v>0.28000000000000003</v>
      </c>
      <c r="AK72" s="1">
        <v>0.26</v>
      </c>
      <c r="AL72" s="1">
        <v>0.21</v>
      </c>
      <c r="AM72" s="20">
        <v>0.12</v>
      </c>
      <c r="AN72" s="1">
        <v>0</v>
      </c>
      <c r="AO72" s="1">
        <v>0.12</v>
      </c>
      <c r="AP72" s="1">
        <v>0.21</v>
      </c>
      <c r="AQ72" s="1">
        <v>0.26</v>
      </c>
      <c r="AR72" s="1">
        <v>0.28000000000000003</v>
      </c>
      <c r="AS72" s="1">
        <v>0.26</v>
      </c>
      <c r="AT72" s="1">
        <v>0.21</v>
      </c>
      <c r="AU72" s="20">
        <v>0.12</v>
      </c>
      <c r="AV72" s="1">
        <v>0</v>
      </c>
      <c r="AW72" s="1">
        <v>0.12</v>
      </c>
      <c r="AX72" s="1">
        <v>0.21</v>
      </c>
      <c r="AY72" s="1">
        <v>0.26</v>
      </c>
      <c r="AZ72" s="1">
        <v>0.28000000000000003</v>
      </c>
      <c r="BA72" s="1">
        <v>0.26</v>
      </c>
      <c r="BB72" s="1">
        <v>0.21</v>
      </c>
      <c r="BC72" s="20">
        <v>0.12</v>
      </c>
      <c r="BD72" s="1">
        <v>0</v>
      </c>
      <c r="BE72" s="1">
        <v>0.12</v>
      </c>
      <c r="BF72" s="1">
        <v>0.21</v>
      </c>
      <c r="BG72" s="1">
        <v>0.26</v>
      </c>
      <c r="BH72" s="1">
        <v>0.28000000000000003</v>
      </c>
      <c r="BI72" s="1">
        <v>0.26</v>
      </c>
      <c r="BJ72" s="1">
        <v>0.21</v>
      </c>
      <c r="BK72" s="20">
        <v>0.12</v>
      </c>
      <c r="BL72" s="1">
        <v>0</v>
      </c>
      <c r="BM72" s="1">
        <v>0.12</v>
      </c>
      <c r="BN72" s="1">
        <v>0.21</v>
      </c>
      <c r="BO72" s="1">
        <v>0.26</v>
      </c>
      <c r="BP72" s="1">
        <v>0.28000000000000003</v>
      </c>
      <c r="BQ72" s="1">
        <v>0.26</v>
      </c>
      <c r="BR72" s="1">
        <v>0.21</v>
      </c>
      <c r="BS72" s="20">
        <v>0.12</v>
      </c>
      <c r="BT72" s="1">
        <v>0</v>
      </c>
      <c r="BU72" s="1">
        <v>0.12</v>
      </c>
      <c r="BV72" s="1">
        <v>0.21</v>
      </c>
      <c r="BW72" s="1">
        <v>0.26</v>
      </c>
      <c r="BX72" s="1">
        <v>0.28000000000000003</v>
      </c>
      <c r="BY72" s="1">
        <v>0.26</v>
      </c>
      <c r="BZ72" s="1">
        <v>0.21</v>
      </c>
      <c r="CA72" s="20">
        <v>0.12</v>
      </c>
      <c r="CB72" s="1">
        <v>0</v>
      </c>
      <c r="CC72" s="1">
        <v>0.12</v>
      </c>
      <c r="CD72" s="1">
        <v>0.21</v>
      </c>
      <c r="CE72" s="1">
        <v>0.26</v>
      </c>
      <c r="CF72" s="1">
        <v>0.28000000000000003</v>
      </c>
      <c r="CG72" s="1">
        <v>0.26</v>
      </c>
      <c r="CH72" s="1">
        <v>0.21</v>
      </c>
      <c r="CI72" s="20">
        <v>0.12</v>
      </c>
      <c r="CJ72" s="1">
        <v>0</v>
      </c>
      <c r="CK72" s="1">
        <v>0.12</v>
      </c>
      <c r="CL72" s="1">
        <v>0.21</v>
      </c>
      <c r="CM72" s="1">
        <v>0.26</v>
      </c>
      <c r="CN72" s="1">
        <v>0.28000000000000003</v>
      </c>
      <c r="CO72" s="1">
        <v>0.26</v>
      </c>
      <c r="CP72" s="1">
        <v>0.21</v>
      </c>
      <c r="CQ72" s="20">
        <v>0.12</v>
      </c>
    </row>
    <row r="73" spans="3:160" x14ac:dyDescent="0.4">
      <c r="C73" s="1" t="s">
        <v>21</v>
      </c>
      <c r="D73" s="1" t="s">
        <v>8</v>
      </c>
      <c r="E73" s="1">
        <v>0.253</v>
      </c>
      <c r="F73" s="1">
        <v>0.14499999999999999</v>
      </c>
      <c r="G73" s="1">
        <v>0.108</v>
      </c>
      <c r="H73" s="1">
        <v>0.02</v>
      </c>
      <c r="I73" s="1">
        <v>4352</v>
      </c>
      <c r="J73" s="1">
        <v>4005</v>
      </c>
      <c r="K73" s="1">
        <v>56</v>
      </c>
      <c r="L73" s="1">
        <v>5159</v>
      </c>
      <c r="M73" s="1">
        <v>5959</v>
      </c>
      <c r="N73" s="1">
        <v>72</v>
      </c>
      <c r="O73" s="1">
        <v>86</v>
      </c>
      <c r="P73" s="1">
        <v>87.5</v>
      </c>
      <c r="Q73" s="1">
        <v>90</v>
      </c>
      <c r="R73" s="1">
        <v>50</v>
      </c>
      <c r="S73" s="1">
        <v>86</v>
      </c>
      <c r="T73" s="4">
        <v>0</v>
      </c>
      <c r="U73" s="1">
        <v>1.974</v>
      </c>
      <c r="V73" s="1">
        <v>6.5000000000000002E-2</v>
      </c>
      <c r="W73" s="1">
        <v>4.0199999999999996</v>
      </c>
      <c r="X73" s="1">
        <f t="shared" ref="X73" si="1336">H71</f>
        <v>1.9E-2</v>
      </c>
      <c r="Y73" s="1">
        <f t="shared" ref="Y73" si="1337">H72</f>
        <v>5.5E-2</v>
      </c>
      <c r="Z73" s="1">
        <f t="shared" ref="Z73" si="1338">H73</f>
        <v>0.02</v>
      </c>
      <c r="AA73" s="1">
        <f t="shared" ref="AA73" si="1339">H74</f>
        <v>0.02</v>
      </c>
      <c r="AB73" s="1">
        <f t="shared" ref="AB73" si="1340">H75</f>
        <v>0.02</v>
      </c>
      <c r="AC73" s="1">
        <f t="shared" si="1193"/>
        <v>4410.9818200464351</v>
      </c>
      <c r="CQ73" s="20"/>
    </row>
    <row r="74" spans="3:160" x14ac:dyDescent="0.4">
      <c r="C74" s="1" t="s">
        <v>21</v>
      </c>
      <c r="D74" s="1" t="s">
        <v>9</v>
      </c>
      <c r="E74" s="1">
        <v>0.253</v>
      </c>
      <c r="F74" s="1">
        <v>0.14499999999999999</v>
      </c>
      <c r="G74" s="1">
        <v>0.108</v>
      </c>
      <c r="H74" s="1">
        <v>0.02</v>
      </c>
      <c r="I74" s="1">
        <v>4352</v>
      </c>
      <c r="J74" s="1">
        <v>4005</v>
      </c>
      <c r="K74" s="1">
        <v>56</v>
      </c>
      <c r="L74" s="1">
        <v>5159</v>
      </c>
      <c r="M74" s="1">
        <v>5959</v>
      </c>
      <c r="N74" s="1">
        <v>72</v>
      </c>
      <c r="O74" s="1">
        <v>86</v>
      </c>
      <c r="P74" s="1">
        <v>87.5</v>
      </c>
      <c r="Q74" s="1">
        <v>90</v>
      </c>
      <c r="R74" s="1">
        <v>50</v>
      </c>
      <c r="S74" s="1">
        <v>86</v>
      </c>
      <c r="T74" s="4">
        <v>0</v>
      </c>
      <c r="U74" s="1">
        <v>1.974</v>
      </c>
      <c r="V74" s="1">
        <v>6.5000000000000002E-2</v>
      </c>
      <c r="W74" s="1">
        <v>4.0199999999999996</v>
      </c>
      <c r="X74" s="1">
        <f t="shared" ref="X74" si="1341">H71</f>
        <v>1.9E-2</v>
      </c>
      <c r="Y74" s="1">
        <f t="shared" ref="Y74" si="1342">H72</f>
        <v>5.5E-2</v>
      </c>
      <c r="Z74" s="1">
        <f t="shared" ref="Z74" si="1343">H73</f>
        <v>0.02</v>
      </c>
      <c r="AA74" s="1">
        <f t="shared" ref="AA74" si="1344">H74</f>
        <v>0.02</v>
      </c>
      <c r="AB74" s="1">
        <f t="shared" ref="AB74" si="1345">H75</f>
        <v>0.02</v>
      </c>
      <c r="AC74" s="1">
        <f t="shared" si="1193"/>
        <v>4410.9818200464351</v>
      </c>
      <c r="AE74" s="1" t="s">
        <v>98</v>
      </c>
      <c r="AF74" s="1">
        <v>0</v>
      </c>
      <c r="AG74" s="1">
        <v>6.5000000000000002E-2</v>
      </c>
      <c r="AH74" s="1">
        <v>0.14499999999999999</v>
      </c>
      <c r="AI74" s="1">
        <v>0.245</v>
      </c>
      <c r="AJ74" s="1">
        <v>0.36</v>
      </c>
      <c r="AK74" s="1">
        <v>0.39500000000000002</v>
      </c>
      <c r="AL74" s="1">
        <v>0.64500000000000002</v>
      </c>
      <c r="AM74" s="20">
        <v>0.81499999999999995</v>
      </c>
      <c r="AN74" s="1">
        <v>0</v>
      </c>
      <c r="AO74" s="1">
        <v>6.5000000000000002E-2</v>
      </c>
      <c r="AP74" s="1">
        <v>0.14499999999999999</v>
      </c>
      <c r="AQ74" s="1">
        <v>0.245</v>
      </c>
      <c r="AR74" s="1">
        <v>0.36</v>
      </c>
      <c r="AS74" s="1">
        <v>0.39500000000000002</v>
      </c>
      <c r="AT74" s="1">
        <v>0.64500000000000002</v>
      </c>
      <c r="AU74" s="20">
        <v>0.81499999999999995</v>
      </c>
      <c r="AV74" s="1">
        <v>0</v>
      </c>
      <c r="AW74" s="1">
        <v>6.5000000000000002E-2</v>
      </c>
      <c r="AX74" s="1">
        <v>0.14499999999999999</v>
      </c>
      <c r="AY74" s="1">
        <v>0.245</v>
      </c>
      <c r="AZ74" s="1">
        <v>0.36</v>
      </c>
      <c r="BA74" s="1">
        <v>0.39500000000000002</v>
      </c>
      <c r="BB74" s="1">
        <v>0.64500000000000002</v>
      </c>
      <c r="BC74" s="20">
        <v>0.81499999999999995</v>
      </c>
      <c r="BD74" s="1">
        <v>0</v>
      </c>
      <c r="BE74" s="1">
        <v>6.5000000000000002E-2</v>
      </c>
      <c r="BF74" s="1">
        <v>0.14499999999999999</v>
      </c>
      <c r="BG74" s="1">
        <v>0.245</v>
      </c>
      <c r="BH74" s="1">
        <v>0.36</v>
      </c>
      <c r="BI74" s="1">
        <v>0.39500000000000002</v>
      </c>
      <c r="BJ74" s="1">
        <v>0.64500000000000002</v>
      </c>
      <c r="BK74" s="20">
        <v>0.81499999999999995</v>
      </c>
      <c r="BL74" s="1">
        <v>0</v>
      </c>
      <c r="BM74" s="1">
        <v>6.5000000000000002E-2</v>
      </c>
      <c r="BN74" s="1">
        <v>0.14499999999999999</v>
      </c>
      <c r="BO74" s="1">
        <v>0.245</v>
      </c>
      <c r="BP74" s="1">
        <v>0.36</v>
      </c>
      <c r="BQ74" s="1">
        <v>0.39500000000000002</v>
      </c>
      <c r="BR74" s="1">
        <v>0.64500000000000002</v>
      </c>
      <c r="BS74" s="20">
        <v>0.81499999999999995</v>
      </c>
      <c r="BT74" s="1">
        <v>0</v>
      </c>
      <c r="BU74" s="1">
        <v>6.5000000000000002E-2</v>
      </c>
      <c r="BV74" s="1">
        <v>0.14499999999999999</v>
      </c>
      <c r="BW74" s="1">
        <v>0.245</v>
      </c>
      <c r="BX74" s="1">
        <v>0.36</v>
      </c>
      <c r="BY74" s="1">
        <v>0.39500000000000002</v>
      </c>
      <c r="BZ74" s="1">
        <v>0.64500000000000002</v>
      </c>
      <c r="CA74" s="20">
        <v>0.81499999999999995</v>
      </c>
      <c r="CB74" s="1">
        <v>0</v>
      </c>
      <c r="CC74" s="1">
        <v>6.5000000000000002E-2</v>
      </c>
      <c r="CD74" s="1">
        <v>0.14499999999999999</v>
      </c>
      <c r="CE74" s="1">
        <v>0.245</v>
      </c>
      <c r="CF74" s="1">
        <v>0.36</v>
      </c>
      <c r="CG74" s="1">
        <v>0.39500000000000002</v>
      </c>
      <c r="CH74" s="1">
        <v>0.64500000000000002</v>
      </c>
      <c r="CI74" s="20">
        <v>0.81499999999999995</v>
      </c>
      <c r="CJ74" s="1">
        <v>0</v>
      </c>
      <c r="CK74" s="1">
        <v>6.5000000000000002E-2</v>
      </c>
      <c r="CL74" s="1">
        <v>0.14499999999999999</v>
      </c>
      <c r="CM74" s="1">
        <v>0.245</v>
      </c>
      <c r="CN74" s="1">
        <v>0.36</v>
      </c>
      <c r="CO74" s="1">
        <v>0.39500000000000002</v>
      </c>
      <c r="CP74" s="1">
        <v>0.64500000000000002</v>
      </c>
      <c r="CQ74" s="20">
        <v>0.81499999999999995</v>
      </c>
    </row>
    <row r="75" spans="3:160" s="2" customFormat="1" x14ac:dyDescent="0.4">
      <c r="C75" s="2" t="s">
        <v>21</v>
      </c>
      <c r="D75" s="2" t="s">
        <v>10</v>
      </c>
      <c r="E75" s="2">
        <v>0.253</v>
      </c>
      <c r="F75" s="2">
        <v>0.14499999999999999</v>
      </c>
      <c r="G75" s="2">
        <v>0.108</v>
      </c>
      <c r="H75" s="2">
        <v>0.02</v>
      </c>
      <c r="I75" s="2">
        <v>4352</v>
      </c>
      <c r="J75" s="2">
        <v>4005</v>
      </c>
      <c r="K75" s="2">
        <v>56</v>
      </c>
      <c r="L75" s="2">
        <v>5159</v>
      </c>
      <c r="M75" s="2">
        <v>5959</v>
      </c>
      <c r="N75" s="2">
        <v>72</v>
      </c>
      <c r="O75" s="2">
        <v>86</v>
      </c>
      <c r="P75" s="2">
        <v>87.5</v>
      </c>
      <c r="Q75" s="2">
        <v>90</v>
      </c>
      <c r="R75" s="2">
        <v>50</v>
      </c>
      <c r="S75" s="2">
        <v>86</v>
      </c>
      <c r="T75" s="6">
        <f t="shared" si="715"/>
        <v>7051.5340102601685</v>
      </c>
      <c r="U75" s="2">
        <v>1.974</v>
      </c>
      <c r="V75" s="2">
        <v>6.5000000000000002E-2</v>
      </c>
      <c r="W75" s="2">
        <v>4.0199999999999996</v>
      </c>
      <c r="X75" s="2">
        <f t="shared" ref="X75" si="1346">H71</f>
        <v>1.9E-2</v>
      </c>
      <c r="Y75" s="2">
        <f t="shared" ref="Y75" si="1347">H72</f>
        <v>5.5E-2</v>
      </c>
      <c r="Z75" s="2">
        <f t="shared" ref="Z75" si="1348">H73</f>
        <v>0.02</v>
      </c>
      <c r="AA75" s="2">
        <f t="shared" ref="AA75" si="1349">H74</f>
        <v>0.02</v>
      </c>
      <c r="AB75" s="2">
        <f t="shared" ref="AB75" si="1350">H75</f>
        <v>0.02</v>
      </c>
      <c r="AC75" s="1">
        <f t="shared" si="1193"/>
        <v>4410.9818200464351</v>
      </c>
      <c r="AE75" s="2" t="s">
        <v>99</v>
      </c>
      <c r="AF75" s="23">
        <f>($O75*$Q75*$S75)^(1/3)/(AF70*((1-AF$2)*$H70+AF$2*$H71) + AF72*((1-AF$2)*$H72+AF$2*$H73) + AF74*((1-AF$2)*$H74+AF$2*$H75))</f>
        <v>1819.0245757689406</v>
      </c>
      <c r="AG75" s="23">
        <f t="shared" ref="AG75" si="1351">($O75*$Q75*$S75)^(1/3)/(AG70*((1-AG$2)*$H70+AG$2*$H71) + AG72*((1-AG$2)*$H72+AG$2*$H73) + AG74*((1-AG$2)*$H74+AG$2*$H75))</f>
        <v>1856.9370403426021</v>
      </c>
      <c r="AH75" s="23">
        <f t="shared" ref="AH75" si="1352">($O75*$Q75*$S75)^(1/3)/(AH70*((1-AH$2)*$H70+AH$2*$H71) + AH72*((1-AH$2)*$H72+AH$2*$H73) + AH74*((1-AH$2)*$H74+AH$2*$H75))</f>
        <v>1922.7742707973828</v>
      </c>
      <c r="AI75" s="23">
        <f t="shared" ref="AI75" si="1353">($O75*$Q75*$S75)^(1/3)/(AI70*((1-AI$2)*$H70+AI$2*$H71) + AI72*((1-AI$2)*$H72+AI$2*$H73) + AI74*((1-AI$2)*$H74+AI$2*$H75))</f>
        <v>2288.0812273823153</v>
      </c>
      <c r="AJ75" s="23">
        <f t="shared" ref="AJ75" si="1354">($O75*$Q75*$S75)^(1/3)/(AJ70*((1-AJ$2)*$H70+AJ$2*$H71) + AJ72*((1-AJ$2)*$H72+AJ$2*$H73) + AJ74*((1-AJ$2)*$H74+AJ$2*$H75))</f>
        <v>2189.3976839746529</v>
      </c>
      <c r="AK75" s="23">
        <f t="shared" ref="AK75" si="1355">($O75*$Q75*$S75)^(1/3)/(AK70*((1-AK$2)*$H70+AK$2*$H71) + AK72*((1-AK$2)*$H72+AK$2*$H73) + AK74*((1-AK$2)*$H74+AK$2*$H75))</f>
        <v>2571.0594710515061</v>
      </c>
      <c r="AL75" s="23">
        <f t="shared" ref="AL75" si="1356">($O75*$Q75*$S75)^(1/3)/(AL70*((1-AL$2)*$H70+AL$2*$H71) + AL72*((1-AL$2)*$H72+AL$2*$H73) + AL74*((1-AL$2)*$H74+AL$2*$H75))</f>
        <v>2779.7892275361082</v>
      </c>
      <c r="AM75" s="23">
        <f t="shared" ref="AM75" si="1357">($O75*$Q75*$S75)^(1/3)/(AM70*((1-AM$2)*$H70+AM$2*$H71) + AM72*((1-AM$2)*$H72+AM$2*$H73) + AM74*((1-AM$2)*$H74+AM$2*$H75))</f>
        <v>3355.6179722101906</v>
      </c>
      <c r="AN75" s="23">
        <f t="shared" ref="AN75" si="1358">($O75*$Q75*$S75)^(1/3)/(AN70*((1-AN$2)*$H70+AN$2*$H71) + AN72*((1-AN$2)*$H72+AN$2*$H73) + AN74*((1-AN$2)*$H74+AN$2*$H75))</f>
        <v>1967.6209495641497</v>
      </c>
      <c r="AO75" s="23">
        <f t="shared" ref="AO75" si="1359">($O75*$Q75*$S75)^(1/3)/(AO70*((1-AO$2)*$H70+AO$2*$H71) + AO72*((1-AO$2)*$H72+AO$2*$H73) + AO74*((1-AO$2)*$H74+AO$2*$H75))</f>
        <v>2005.3267411046384</v>
      </c>
      <c r="AP75" s="23">
        <f t="shared" ref="AP75" si="1360">($O75*$Q75*$S75)^(1/3)/(AP70*((1-AP$2)*$H70+AP$2*$H71) + AP72*((1-AP$2)*$H72+AP$2*$H73) + AP74*((1-AP$2)*$H74+AP$2*$H75))</f>
        <v>2071.3334927578712</v>
      </c>
      <c r="AQ75" s="23">
        <f t="shared" ref="AQ75" si="1361">($O75*$Q75*$S75)^(1/3)/(AQ70*((1-AQ$2)*$H70+AQ$2*$H71) + AQ72*((1-AQ$2)*$H72+AQ$2*$H73) + AQ74*((1-AQ$2)*$H74+AQ$2*$H75))</f>
        <v>2453.2634545448177</v>
      </c>
      <c r="AR75" s="23">
        <f t="shared" ref="AR75" si="1362">($O75*$Q75*$S75)^(1/3)/(AR70*((1-AR$2)*$H70+AR$2*$H71) + AR72*((1-AR$2)*$H72+AR$2*$H73) + AR74*((1-AR$2)*$H74+AR$2*$H75))</f>
        <v>2337.7022660484377</v>
      </c>
      <c r="AS75" s="23">
        <f t="shared" ref="AS75" si="1363">($O75*$Q75*$S75)^(1/3)/(AS70*((1-AS$2)*$H70+AS$2*$H71) + AS72*((1-AS$2)*$H72+AS$2*$H73) + AS74*((1-AS$2)*$H74+AS$2*$H75))</f>
        <v>2734.1439948929374</v>
      </c>
      <c r="AT75" s="23">
        <f t="shared" ref="AT75" si="1364">($O75*$Q75*$S75)^(1/3)/(AT70*((1-AT$2)*$H70+AT$2*$H71) + AT72*((1-AT$2)*$H72+AT$2*$H73) + AT74*((1-AT$2)*$H74+AT$2*$H75))</f>
        <v>2913.7780252175335</v>
      </c>
      <c r="AU75" s="23">
        <f t="shared" ref="AU75" si="1365">($O75*$Q75*$S75)^(1/3)/(AU70*((1-AU$2)*$H70+AU$2*$H71) + AU72*((1-AU$2)*$H72+AU$2*$H73) + AU74*((1-AU$2)*$H74+AU$2*$H75))</f>
        <v>3456.6642934320089</v>
      </c>
      <c r="AV75" s="23">
        <f t="shared" ref="AV75" si="1366">($O75*$Q75*$S75)^(1/3)/(AV70*((1-AV$2)*$H70+AV$2*$H71) + AV72*((1-AV$2)*$H72+AV$2*$H73) + AV74*((1-AV$2)*$H74+AV$2*$H75))</f>
        <v>2142.6547150161755</v>
      </c>
      <c r="AW75" s="23">
        <f t="shared" ref="AW75" si="1367">($O75*$Q75*$S75)^(1/3)/(AW70*((1-AW$2)*$H70+AW$2*$H71) + AW72*((1-AW$2)*$H72+AW$2*$H73) + AW74*((1-AW$2)*$H74+AW$2*$H75))</f>
        <v>2179.4921435778751</v>
      </c>
      <c r="AX75" s="23">
        <f t="shared" ref="AX75" si="1368">($O75*$Q75*$S75)^(1/3)/(AX70*((1-AX$2)*$H70+AX$2*$H71) + AX72*((1-AX$2)*$H72+AX$2*$H73) + AX74*((1-AX$2)*$H74+AX$2*$H75))</f>
        <v>2244.7711446967037</v>
      </c>
      <c r="AY75" s="23">
        <f t="shared" ref="AY75" si="1369">($O75*$Q75*$S75)^(1/3)/(AY70*((1-AY$2)*$H70+AY$2*$H71) + AY72*((1-AY$2)*$H72+AY$2*$H73) + AY74*((1-AY$2)*$H74+AY$2*$H75))</f>
        <v>2644.1512552344066</v>
      </c>
      <c r="AZ75" s="23">
        <f t="shared" ref="AZ75" si="1370">($O75*$Q75*$S75)^(1/3)/(AZ70*((1-AZ$2)*$H70+AZ$2*$H71) + AZ72*((1-AZ$2)*$H72+AZ$2*$H73) + AZ74*((1-AZ$2)*$H74+AZ$2*$H75))</f>
        <v>2507.5582894000331</v>
      </c>
      <c r="BA75" s="23">
        <f t="shared" ref="BA75" si="1371">($O75*$Q75*$S75)^(1/3)/(BA70*((1-BA$2)*$H70+BA$2*$H71) + BA72*((1-BA$2)*$H72+BA$2*$H73) + BA74*((1-BA$2)*$H74+BA$2*$H75))</f>
        <v>2919.3189162672847</v>
      </c>
      <c r="BB75" s="23">
        <f t="shared" ref="BB75" si="1372">($O75*$Q75*$S75)^(1/3)/(BB70*((1-BB$2)*$H70+BB$2*$H71) + BB72*((1-BB$2)*$H72+BB$2*$H73) + BB74*((1-BB$2)*$H74+BB$2*$H75))</f>
        <v>3061.3377617358692</v>
      </c>
      <c r="BC75" s="23">
        <f t="shared" ref="BC75" si="1373">($O75*$Q75*$S75)^(1/3)/(BC70*((1-BC$2)*$H70+BC$2*$H71) + BC72*((1-BC$2)*$H72+BC$2*$H73) + BC74*((1-BC$2)*$H74+BC$2*$H75))</f>
        <v>3563.985086459887</v>
      </c>
      <c r="BD75" s="23">
        <f t="shared" ref="BD75" si="1374">($O75*$Q75*$S75)^(1/3)/(BD70*((1-BD$2)*$H70+BD$2*$H71) + BD72*((1-BD$2)*$H72+BD$2*$H73) + BD74*((1-BD$2)*$H74+BD$2*$H75))</f>
        <v>2351.8701585699437</v>
      </c>
      <c r="BE75" s="23">
        <f t="shared" ref="BE75" si="1375">($O75*$Q75*$S75)^(1/3)/(BE70*((1-BE$2)*$H70+BE$2*$H71) + BE72*((1-BE$2)*$H72+BE$2*$H73) + BE74*((1-BE$2)*$H74+BE$2*$H75))</f>
        <v>2386.7879827622055</v>
      </c>
      <c r="BF75" s="23">
        <f t="shared" ref="BF75" si="1376">($O75*$Q75*$S75)^(1/3)/(BF70*((1-BF$2)*$H70+BF$2*$H71) + BF72*((1-BF$2)*$H72+BF$2*$H73) + BF74*((1-BF$2)*$H74+BF$2*$H75))</f>
        <v>2449.9077112578198</v>
      </c>
      <c r="BG75" s="23">
        <f t="shared" ref="BG75" si="1377">($O75*$Q75*$S75)^(1/3)/(BG70*((1-BG$2)*$H70+BG$2*$H71) + BG72*((1-BG$2)*$H72+BG$2*$H73) + BG74*((1-BG$2)*$H74+BG$2*$H75))</f>
        <v>2867.2513478040069</v>
      </c>
      <c r="BH75" s="23">
        <f t="shared" ref="BH75" si="1378">($O75*$Q75*$S75)^(1/3)/(BH70*((1-BH$2)*$H70+BH$2*$H71) + BH72*((1-BH$2)*$H72+BH$2*$H73) + BH74*((1-BH$2)*$H74+BH$2*$H75))</f>
        <v>2704.0315774824762</v>
      </c>
      <c r="BI75" s="23">
        <f t="shared" ref="BI75" si="1379">($O75*$Q75*$S75)^(1/3)/(BI70*((1-BI$2)*$H70+BI$2*$H71) + BI72*((1-BI$2)*$H72+BI$2*$H73) + BI74*((1-BI$2)*$H74+BI$2*$H75))</f>
        <v>3131.3986375956479</v>
      </c>
      <c r="BJ75" s="23">
        <f t="shared" ref="BJ75" si="1380">($O75*$Q75*$S75)^(1/3)/(BJ70*((1-BJ$2)*$H70+BJ$2*$H71) + BJ72*((1-BJ$2)*$H72+BJ$2*$H73) + BJ74*((1-BJ$2)*$H74+BJ$2*$H75))</f>
        <v>3224.640200795297</v>
      </c>
      <c r="BK75" s="23">
        <f t="shared" ref="BK75" si="1381">($O75*$Q75*$S75)^(1/3)/(BK70*((1-BK$2)*$H70+BK$2*$H71) + BK72*((1-BK$2)*$H72+BK$2*$H73) + BK74*((1-BK$2)*$H74+BK$2*$H75))</f>
        <v>3678.1834975133529</v>
      </c>
      <c r="BL75" s="23">
        <f t="shared" ref="BL75" si="1382">($O75*$Q75*$S75)^(1/3)/(BL70*((1-BL$2)*$H70+BL$2*$H71) + BL72*((1-BL$2)*$H72+BL$2*$H73) + BL74*((1-BL$2)*$H74+BL$2*$H75))</f>
        <v>2606.3635712510195</v>
      </c>
      <c r="BM75" s="23">
        <f t="shared" ref="BM75" si="1383">($O75*$Q75*$S75)^(1/3)/(BM70*((1-BM$2)*$H70+BM$2*$H71) + BM72*((1-BM$2)*$H72+BM$2*$H73) + BM74*((1-BM$2)*$H74+BM$2*$H75))</f>
        <v>2637.6611928678849</v>
      </c>
      <c r="BN75" s="23">
        <f t="shared" ref="BN75" si="1384">($O75*$Q75*$S75)^(1/3)/(BN70*((1-BN$2)*$H70+BN$2*$H71) + BN72*((1-BN$2)*$H72+BN$2*$H73) + BN74*((1-BN$2)*$H74+BN$2*$H75))</f>
        <v>2696.3075623225245</v>
      </c>
      <c r="BO75" s="23">
        <f t="shared" ref="BO75" si="1385">($O75*$Q75*$S75)^(1/3)/(BO70*((1-BO$2)*$H70+BO$2*$H71) + BO72*((1-BO$2)*$H72+BO$2*$H73) + BO74*((1-BO$2)*$H74+BO$2*$H75))</f>
        <v>3131.4688294417338</v>
      </c>
      <c r="BP75" s="23">
        <f t="shared" ref="BP75" si="1386">($O75*$Q75*$S75)^(1/3)/(BP70*((1-BP$2)*$H70+BP$2*$H71) + BP72*((1-BP$2)*$H72+BP$2*$H73) + BP74*((1-BP$2)*$H74+BP$2*$H75))</f>
        <v>2933.9106060789363</v>
      </c>
      <c r="BQ75" s="23">
        <f t="shared" ref="BQ75" si="1387">($O75*$Q75*$S75)^(1/3)/(BQ70*((1-BQ$2)*$H70+BQ$2*$H71) + BQ72*((1-BQ$2)*$H72+BQ$2*$H73) + BQ74*((1-BQ$2)*$H74+BQ$2*$H75))</f>
        <v>3376.706164049469</v>
      </c>
      <c r="BR75" s="23">
        <f t="shared" ref="BR75" si="1388">($O75*$Q75*$S75)^(1/3)/(BR70*((1-BR$2)*$H70+BR$2*$H71) + BR72*((1-BR$2)*$H72+BR$2*$H73) + BR74*((1-BR$2)*$H74+BR$2*$H75))</f>
        <v>3406.3466160893063</v>
      </c>
      <c r="BS75" s="23">
        <f t="shared" ref="BS75" si="1389">($O75*$Q75*$S75)^(1/3)/(BS70*((1-BS$2)*$H70+BS$2*$H71) + BS72*((1-BS$2)*$H72+BS$2*$H73) + BS74*((1-BS$2)*$H74+BS$2*$H75))</f>
        <v>3799.9425366949913</v>
      </c>
      <c r="BT75" s="23">
        <f t="shared" ref="BT75" si="1390">($O75*$Q75*$S75)^(1/3)/(BT70*((1-BT$2)*$H70+BT$2*$H71) + BT72*((1-BT$2)*$H72+BT$2*$H73) + BT74*((1-BT$2)*$H74+BT$2*$H75))</f>
        <v>2922.6168916120218</v>
      </c>
      <c r="BU75" s="23">
        <f t="shared" ref="BU75" si="1391">($O75*$Q75*$S75)^(1/3)/(BU70*((1-BU$2)*$H70+BU$2*$H71) + BU72*((1-BU$2)*$H72+BU$2*$H73) + BU74*((1-BU$2)*$H74+BU$2*$H75))</f>
        <v>2947.4668738328301</v>
      </c>
      <c r="BV75" s="23">
        <f t="shared" ref="BV75" si="1392">($O75*$Q75*$S75)^(1/3)/(BV70*((1-BV$2)*$H70+BV$2*$H71) + BV72*((1-BV$2)*$H72+BV$2*$H73) + BV74*((1-BV$2)*$H74+BV$2*$H75))</f>
        <v>2997.8130816732396</v>
      </c>
      <c r="BW75" s="23">
        <f t="shared" ref="BW75" si="1393">($O75*$Q75*$S75)^(1/3)/(BW70*((1-BW$2)*$H70+BW$2*$H71) + BW72*((1-BW$2)*$H72+BW$2*$H73) + BW74*((1-BW$2)*$H74+BW$2*$H75))</f>
        <v>3449.3243973989438</v>
      </c>
      <c r="BX75" s="23">
        <f t="shared" ref="BX75" si="1394">($O75*$Q75*$S75)^(1/3)/(BX70*((1-BX$2)*$H70+BX$2*$H71) + BX72*((1-BX$2)*$H72+BX$2*$H73) + BX74*((1-BX$2)*$H74+BX$2*$H75))</f>
        <v>3206.5067806430093</v>
      </c>
      <c r="BY75" s="23">
        <f t="shared" ref="BY75" si="1395">($O75*$Q75*$S75)^(1/3)/(BY70*((1-BY$2)*$H70+BY$2*$H71) + BY72*((1-BY$2)*$H72+BY$2*$H73) + BY74*((1-BY$2)*$H74+BY$2*$H75))</f>
        <v>3663.7142330139422</v>
      </c>
      <c r="BZ75" s="23">
        <f t="shared" ref="BZ75" si="1396">($O75*$Q75*$S75)^(1/3)/(BZ70*((1-BZ$2)*$H70+BZ$2*$H71) + BZ72*((1-BZ$2)*$H72+BZ$2*$H73) + BZ74*((1-BZ$2)*$H74+BZ$2*$H75))</f>
        <v>3609.7539448348793</v>
      </c>
      <c r="CA75" s="23">
        <f t="shared" ref="CA75" si="1397">($O75*$Q75*$S75)^(1/3)/(CA70*((1-CA$2)*$H70+CA$2*$H71) + CA72*((1-CA$2)*$H72+CA$2*$H73) + CA74*((1-CA$2)*$H74+CA$2*$H75))</f>
        <v>3930.0387492349473</v>
      </c>
      <c r="CB75" s="23">
        <f t="shared" ref="CB75" si="1398">($O75*$Q75*$S75)^(1/3)/(CB70*((1-CB$2)*$H70+CB$2*$H71) + CB72*((1-CB$2)*$H72+CB$2*$H73) + CB74*((1-CB$2)*$H74+CB$2*$H75))</f>
        <v>3326.2163671203489</v>
      </c>
      <c r="CC75" s="23">
        <f t="shared" ref="CC75" si="1399">($O75*$Q75*$S75)^(1/3)/(CC70*((1-CC$2)*$H70+CC$2*$H71) + CC72*((1-CC$2)*$H72+CC$2*$H73) + CC74*((1-CC$2)*$H74+CC$2*$H75))</f>
        <v>3339.7343394466816</v>
      </c>
      <c r="CD75" s="23">
        <f t="shared" ref="CD75" si="1400">($O75*$Q75*$S75)^(1/3)/(CD70*((1-CD$2)*$H70+CD$2*$H71) + CD72*((1-CD$2)*$H72+CD$2*$H73) + CD74*((1-CD$2)*$H74+CD$2*$H75))</f>
        <v>3375.2376762274625</v>
      </c>
      <c r="CE75" s="23">
        <f t="shared" ref="CE75" si="1401">($O75*$Q75*$S75)^(1/3)/(CE70*((1-CE$2)*$H70+CE$2*$H71) + CE72*((1-CE$2)*$H72+CE$2*$H73) + CE74*((1-CE$2)*$H74+CE$2*$H75))</f>
        <v>3838.9966314661897</v>
      </c>
      <c r="CF75" s="23">
        <f t="shared" ref="CF75" si="1402">($O75*$Q75*$S75)^(1/3)/(CF70*((1-CF$2)*$H70+CF$2*$H71) + CF72*((1-CF$2)*$H72+CF$2*$H73) + CF74*((1-CF$2)*$H74+CF$2*$H75))</f>
        <v>3534.9465440044191</v>
      </c>
      <c r="CG75" s="23">
        <f t="shared" ref="CG75" si="1403">($O75*$Q75*$S75)^(1/3)/(CG70*((1-CG$2)*$H70+CG$2*$H71) + CG72*((1-CG$2)*$H72+CG$2*$H73) + CG74*((1-CG$2)*$H74+CG$2*$H75))</f>
        <v>4004.043778132836</v>
      </c>
      <c r="CH75" s="23">
        <f t="shared" ref="CH75" si="1404">($O75*$Q75*$S75)^(1/3)/(CH70*((1-CH$2)*$H70+CH$2*$H71) + CH72*((1-CH$2)*$H72+CH$2*$H73) + CH74*((1-CH$2)*$H74+CH$2*$H75))</f>
        <v>3838.9966314661897</v>
      </c>
      <c r="CI75" s="23">
        <f t="shared" ref="CI75" si="1405">($O75*$Q75*$S75)^(1/3)/(CI70*((1-CI$2)*$H70+CI$2*$H71) + CI72*((1-CI$2)*$H72+CI$2*$H73) + CI74*((1-CI$2)*$H74+CI$2*$H75))</f>
        <v>4069.35879461272</v>
      </c>
      <c r="CJ75" s="23">
        <f t="shared" ref="CJ75" si="1406">($O75*$Q75*$S75)^(1/3)/(CJ70*((1-CJ$2)*$H70+CJ$2*$H71) + CJ72*((1-CJ$2)*$H72+CJ$2*$H73) + CJ74*((1-CJ$2)*$H74+CJ$2*$H75))</f>
        <v>3859.1460612998521</v>
      </c>
      <c r="CK75" s="23">
        <f t="shared" ref="CK75" si="1407">($O75*$Q75*$S75)^(1/3)/(CK70*((1-CK$2)*$H70+CK$2*$H71) + CK72*((1-CK$2)*$H72+CK$2*$H73) + CK74*((1-CK$2)*$H74+CK$2*$H75))</f>
        <v>3852.4415359748136</v>
      </c>
      <c r="CL75" s="23">
        <f t="shared" ref="CL75" si="1408">($O75*$Q75*$S75)^(1/3)/(CL70*((1-CL$2)*$H70+CL$2*$H71) + CL72*((1-CL$2)*$H72+CL$2*$H73) + CL74*((1-CL$2)*$H74+CL$2*$H75))</f>
        <v>3861.3860919056538</v>
      </c>
      <c r="CM75" s="23">
        <f t="shared" ref="CM75" si="1409">($O75*$Q75*$S75)^(1/3)/(CM70*((1-CM$2)*$H70+CM$2*$H71) + CM72*((1-CM$2)*$H72+CM$2*$H73) + CM74*((1-CM$2)*$H74+CM$2*$H75))</f>
        <v>4327.9248867391998</v>
      </c>
      <c r="CN75" s="23">
        <f t="shared" ref="CN75" si="1410">($O75*$Q75*$S75)^(1/3)/(CN70*((1-CN$2)*$H70+CN$2*$H71) + CN72*((1-CN$2)*$H72+CN$2*$H73) + CN74*((1-CN$2)*$H74+CN$2*$H75))</f>
        <v>3938.3482019354601</v>
      </c>
      <c r="CO75" s="23">
        <f t="shared" ref="CO75" si="1411">($O75*$Q75*$S75)^(1/3)/(CO70*((1-CO$2)*$H70+CO$2*$H71) + CO72*((1-CO$2)*$H72+CO$2*$H73) + CO74*((1-CO$2)*$H74+CO$2*$H75))</f>
        <v>4414.075876617102</v>
      </c>
      <c r="CP75" s="23">
        <f t="shared" ref="CP75" si="1412">($O75*$Q75*$S75)^(1/3)/(CP70*((1-CP$2)*$H70+CP$2*$H71) + CP72*((1-CP$2)*$H72+CP$2*$H73) + CP74*((1-CP$2)*$H74+CP$2*$H75))</f>
        <v>4099.3305971141945</v>
      </c>
      <c r="CQ75" s="23">
        <f t="shared" ref="CQ75" si="1413">($O75*$Q75*$S75)^(1/3)/(CQ70*((1-CQ$2)*$H70+CQ$2*$H71) + CQ72*((1-CQ$2)*$H72+CQ$2*$H73) + CQ74*((1-CQ$2)*$H74+CQ$2*$H75))</f>
        <v>4218.9196816674612</v>
      </c>
      <c r="CS75" s="2">
        <f t="shared" ref="CS75" si="1414">100*$AF75/AF75</f>
        <v>100</v>
      </c>
      <c r="CT75" s="2">
        <f t="shared" ref="CT75" si="1415">100*$AF75/AG75</f>
        <v>97.958333333333329</v>
      </c>
      <c r="CU75" s="2">
        <f t="shared" ref="CU75" si="1416">100*$AF75/AH75</f>
        <v>94.604166666666657</v>
      </c>
      <c r="CV75" s="2">
        <f t="shared" ref="CV75" si="1417">100*$AF75/AI75</f>
        <v>79.5</v>
      </c>
      <c r="CW75" s="2">
        <f t="shared" ref="CW75" si="1418">100*$AF75/AJ75</f>
        <v>83.083333333333329</v>
      </c>
      <c r="CX75" s="2">
        <f t="shared" ref="CX75" si="1419">100*$AF75/AK75</f>
        <v>70.75</v>
      </c>
      <c r="CY75" s="2">
        <f t="shared" ref="CY75" si="1420">100*$AF75/AL75</f>
        <v>65.437499999999986</v>
      </c>
      <c r="CZ75" s="2">
        <f t="shared" ref="CZ75" si="1421">100*$AF75/AM75</f>
        <v>54.208333333333329</v>
      </c>
      <c r="DA75" s="2">
        <f t="shared" ref="DA75" si="1422">100*$AF75/AN75</f>
        <v>92.447916666666671</v>
      </c>
      <c r="DB75" s="2">
        <f t="shared" ref="DB75" si="1423">100*$AF75/AO75</f>
        <v>90.709635416666671</v>
      </c>
      <c r="DC75" s="2">
        <f t="shared" ref="DC75" si="1424">100*$AF75/AP75</f>
        <v>87.819010416666671</v>
      </c>
      <c r="DD75" s="2">
        <f t="shared" ref="DD75" si="1425">100*$AF75/AQ75</f>
        <v>74.147135416666657</v>
      </c>
      <c r="DE75" s="2">
        <f t="shared" ref="DE75" si="1426">100*$AF75/AR75</f>
        <v>77.8125</v>
      </c>
      <c r="DF75" s="2">
        <f t="shared" ref="DF75" si="1427">100*$AF75/AS75</f>
        <v>66.529947916666671</v>
      </c>
      <c r="DG75" s="2">
        <f t="shared" ref="DG75" si="1428">100*$AF75/AT75</f>
        <v>62.428385416666664</v>
      </c>
      <c r="DH75" s="2">
        <f t="shared" ref="DH75" si="1429">100*$AF75/AU75</f>
        <v>52.623697916666664</v>
      </c>
      <c r="DI75" s="2">
        <f t="shared" ref="DI75" si="1430">100*$AF75/AV75</f>
        <v>84.895833333333329</v>
      </c>
      <c r="DJ75" s="2">
        <f t="shared" ref="DJ75" si="1431">100*$AF75/AW75</f>
        <v>83.4609375</v>
      </c>
      <c r="DK75" s="2">
        <f t="shared" ref="DK75" si="1432">100*$AF75/AX75</f>
        <v>81.033854166666657</v>
      </c>
      <c r="DL75" s="2">
        <f t="shared" ref="DL75" si="1433">100*$AF75/AY75</f>
        <v>68.794270833333329</v>
      </c>
      <c r="DM75" s="2">
        <f t="shared" ref="DM75" si="1434">100*$AF75/AZ75</f>
        <v>72.541666666666657</v>
      </c>
      <c r="DN75" s="2">
        <f t="shared" ref="DN75" si="1435">100*$AF75/BA75</f>
        <v>62.309895833333329</v>
      </c>
      <c r="DO75" s="2">
        <f t="shared" ref="DO75" si="1436">100*$AF75/BB75</f>
        <v>59.419270833333321</v>
      </c>
      <c r="DP75" s="2">
        <f t="shared" ref="DP75" si="1437">100*$AF75/BC75</f>
        <v>51.039062499999993</v>
      </c>
      <c r="DQ75" s="2">
        <f t="shared" ref="DQ75" si="1438">100*$AF75/BD75</f>
        <v>77.343749999999986</v>
      </c>
      <c r="DR75" s="2">
        <f t="shared" ref="DR75" si="1439">100*$AF75/BE75</f>
        <v>76.212239583333329</v>
      </c>
      <c r="DS75" s="2">
        <f t="shared" ref="DS75" si="1440">100*$AF75/BF75</f>
        <v>74.248697916666657</v>
      </c>
      <c r="DT75" s="2">
        <f t="shared" ref="DT75" si="1441">100*$AF75/BG75</f>
        <v>63.441406250000007</v>
      </c>
      <c r="DU75" s="2">
        <f t="shared" ref="DU75" si="1442">100*$AF75/BH75</f>
        <v>67.270833333333329</v>
      </c>
      <c r="DV75" s="2">
        <f t="shared" ref="DV75" si="1443">100*$AF75/BI75</f>
        <v>58.08984375</v>
      </c>
      <c r="DW75" s="2">
        <f t="shared" ref="DW75" si="1444">100*$AF75/BJ75</f>
        <v>56.410156249999993</v>
      </c>
      <c r="DX75" s="2">
        <f t="shared" ref="DX75" si="1445">100*$AF75/BK75</f>
        <v>49.454427083333329</v>
      </c>
      <c r="DY75" s="2">
        <f t="shared" ref="DY75" si="1446">100*$AF75/BL75</f>
        <v>69.791666666666657</v>
      </c>
      <c r="DZ75" s="2">
        <f t="shared" ref="DZ75" si="1447">100*$AF75/BM75</f>
        <v>68.963541666666657</v>
      </c>
      <c r="EA75" s="2">
        <f t="shared" ref="EA75" si="1448">100*$AF75/BN75</f>
        <v>67.463541666666657</v>
      </c>
      <c r="EB75" s="2">
        <f t="shared" ref="EB75" si="1449">100*$AF75/BO75</f>
        <v>58.088541666666671</v>
      </c>
      <c r="EC75" s="2">
        <f t="shared" ref="EC75" si="1450">100*$AF75/BP75</f>
        <v>62</v>
      </c>
      <c r="ED75" s="2">
        <f t="shared" ref="ED75" si="1451">100*$AF75/BQ75</f>
        <v>53.869791666666671</v>
      </c>
      <c r="EE75" s="2">
        <f t="shared" ref="EE75" si="1452">100*$AF75/BR75</f>
        <v>53.401041666666671</v>
      </c>
      <c r="EF75" s="2">
        <f t="shared" ref="EF75" si="1453">100*$AF75/BS75</f>
        <v>47.869791666666657</v>
      </c>
      <c r="EG75" s="2">
        <f t="shared" ref="EG75" si="1454">100*$AF75/BT75</f>
        <v>62.239583333333329</v>
      </c>
      <c r="EH75" s="2">
        <f t="shared" ref="EH75" si="1455">100*$AF75/BU75</f>
        <v>61.714843749999993</v>
      </c>
      <c r="EI75" s="2">
        <f t="shared" ref="EI75" si="1456">100*$AF75/BV75</f>
        <v>60.678385416666664</v>
      </c>
      <c r="EJ75" s="2">
        <f t="shared" ref="EJ75" si="1457">100*$AF75/BW75</f>
        <v>52.735677083333336</v>
      </c>
      <c r="EK75" s="2">
        <f t="shared" ref="EK75" si="1458">100*$AF75/BX75</f>
        <v>56.729166666666671</v>
      </c>
      <c r="EL75" s="2">
        <f t="shared" ref="EL75" si="1459">100*$AF75/BY75</f>
        <v>49.649739583333336</v>
      </c>
      <c r="EM75" s="2">
        <f t="shared" ref="EM75" si="1460">100*$AF75/BZ75</f>
        <v>50.391927083333321</v>
      </c>
      <c r="EN75" s="2">
        <f t="shared" ref="EN75" si="1461">100*$AF75/CA75</f>
        <v>46.285156249999986</v>
      </c>
      <c r="EO75" s="2">
        <f t="shared" ref="EO75" si="1462">100*$AF75/CB75</f>
        <v>54.687499999999993</v>
      </c>
      <c r="EP75" s="2">
        <f t="shared" ref="EP75" si="1463">100*$AF75/CC75</f>
        <v>54.466145833333314</v>
      </c>
      <c r="EQ75" s="2">
        <f t="shared" ref="EQ75" si="1464">100*$AF75/CD75</f>
        <v>53.89322916666665</v>
      </c>
      <c r="ER75" s="2">
        <f t="shared" ref="ER75" si="1465">100*$AF75/CE75</f>
        <v>47.3828125</v>
      </c>
      <c r="ES75" s="2">
        <f t="shared" ref="ES75" si="1466">100*$AF75/CF75</f>
        <v>51.458333333333329</v>
      </c>
      <c r="ET75" s="2">
        <f t="shared" ref="ET75" si="1467">100*$AF75/CG75</f>
        <v>45.429687499999993</v>
      </c>
      <c r="EU75" s="2">
        <f t="shared" ref="EU75" si="1468">100*$AF75/CH75</f>
        <v>47.3828125</v>
      </c>
      <c r="EV75" s="2">
        <f t="shared" ref="EV75" si="1469">100*$AF75/CI75</f>
        <v>44.700520833333321</v>
      </c>
      <c r="EW75" s="2">
        <f t="shared" ref="EW75" si="1470">100*$AF75/CJ75</f>
        <v>47.135416666666664</v>
      </c>
      <c r="EX75" s="2">
        <f t="shared" ref="EX75" si="1471">100*$AF75/CK75</f>
        <v>47.217447916666657</v>
      </c>
      <c r="EY75" s="2">
        <f t="shared" ref="EY75" si="1472">100*$AF75/CL75</f>
        <v>47.108072916666664</v>
      </c>
      <c r="EZ75" s="2">
        <f t="shared" ref="EZ75" si="1473">100*$AF75/CM75</f>
        <v>42.029947916666671</v>
      </c>
      <c r="FA75" s="2">
        <f t="shared" ref="FA75" si="1474">100*$AF75/CN75</f>
        <v>46.1875</v>
      </c>
      <c r="FB75" s="2">
        <f t="shared" ref="FB75" si="1475">100*$AF75/CO75</f>
        <v>41.209635416666657</v>
      </c>
      <c r="FC75" s="2">
        <f t="shared" ref="FC75" si="1476">100*$AF75/CP75</f>
        <v>44.373697916666664</v>
      </c>
      <c r="FD75" s="2">
        <f t="shared" ref="FD75" si="1477">100*$AF75/CQ75</f>
        <v>43.115885416666664</v>
      </c>
    </row>
    <row r="76" spans="3:160" x14ac:dyDescent="0.4">
      <c r="C76" s="1" t="s">
        <v>22</v>
      </c>
      <c r="D76" s="1" t="s">
        <v>5</v>
      </c>
      <c r="E76" s="1">
        <v>0.28999999999999998</v>
      </c>
      <c r="F76" s="1">
        <v>0.182</v>
      </c>
      <c r="G76" s="1">
        <v>0.108</v>
      </c>
      <c r="H76" s="1">
        <v>4.9000000000000002E-2</v>
      </c>
      <c r="I76" s="1">
        <v>4289</v>
      </c>
      <c r="J76" s="1">
        <v>3885</v>
      </c>
      <c r="K76" s="1">
        <v>56</v>
      </c>
      <c r="L76" s="1">
        <v>5096</v>
      </c>
      <c r="M76" s="1">
        <v>5839</v>
      </c>
      <c r="N76" s="1">
        <v>72</v>
      </c>
      <c r="O76" s="1">
        <v>86</v>
      </c>
      <c r="P76" s="1">
        <v>87.5</v>
      </c>
      <c r="Q76" s="1">
        <v>90</v>
      </c>
      <c r="R76" s="1">
        <v>50</v>
      </c>
      <c r="S76" s="1">
        <v>86</v>
      </c>
      <c r="T76" s="4">
        <v>0</v>
      </c>
      <c r="U76" s="1">
        <v>1.9950000000000001</v>
      </c>
      <c r="V76" s="1">
        <v>7.8E-2</v>
      </c>
      <c r="W76" s="1">
        <v>4.0199999999999996</v>
      </c>
      <c r="X76" s="1">
        <f t="shared" ref="X76" si="1478">H77</f>
        <v>2.5999999999999999E-2</v>
      </c>
      <c r="Y76" s="1">
        <f t="shared" ref="Y76" si="1479">H78</f>
        <v>4.3999999999999997E-2</v>
      </c>
      <c r="Z76" s="1">
        <f t="shared" ref="Z76" si="1480">H79</f>
        <v>2.5999999999999999E-2</v>
      </c>
      <c r="AA76" s="1">
        <f t="shared" ref="AA76" si="1481">H80</f>
        <v>1.7999999999999999E-2</v>
      </c>
      <c r="AB76" s="1">
        <f t="shared" ref="AB76" si="1482">H81</f>
        <v>2.5999999999999999E-2</v>
      </c>
      <c r="AC76" s="1">
        <f t="shared" si="1193"/>
        <v>4438.5623687522129</v>
      </c>
      <c r="AE76" s="1" t="s">
        <v>96</v>
      </c>
      <c r="AF76" s="1">
        <v>1</v>
      </c>
      <c r="AG76" s="1">
        <v>0.81499999999999995</v>
      </c>
      <c r="AH76" s="1">
        <v>0.64500000000000002</v>
      </c>
      <c r="AI76" s="1">
        <v>0.39500000000000002</v>
      </c>
      <c r="AJ76" s="1">
        <v>0.36</v>
      </c>
      <c r="AK76" s="1">
        <v>0.245</v>
      </c>
      <c r="AL76" s="1">
        <v>0.14499999999999999</v>
      </c>
      <c r="AM76" s="20">
        <v>6.5000000000000002E-2</v>
      </c>
      <c r="AN76" s="1">
        <v>1</v>
      </c>
      <c r="AO76" s="1">
        <v>0.81499999999999995</v>
      </c>
      <c r="AP76" s="1">
        <v>0.64500000000000002</v>
      </c>
      <c r="AQ76" s="1">
        <v>0.39500000000000002</v>
      </c>
      <c r="AR76" s="1">
        <v>0.36</v>
      </c>
      <c r="AS76" s="1">
        <v>0.245</v>
      </c>
      <c r="AT76" s="1">
        <v>0.14499999999999999</v>
      </c>
      <c r="AU76" s="20">
        <v>6.5000000000000002E-2</v>
      </c>
      <c r="AV76" s="1">
        <v>1</v>
      </c>
      <c r="AW76" s="1">
        <v>0.81499999999999995</v>
      </c>
      <c r="AX76" s="1">
        <v>0.64500000000000002</v>
      </c>
      <c r="AY76" s="1">
        <v>0.39500000000000002</v>
      </c>
      <c r="AZ76" s="1">
        <v>0.36</v>
      </c>
      <c r="BA76" s="1">
        <v>0.245</v>
      </c>
      <c r="BB76" s="1">
        <v>0.14499999999999999</v>
      </c>
      <c r="BC76" s="20">
        <v>6.5000000000000002E-2</v>
      </c>
      <c r="BD76" s="1">
        <v>1</v>
      </c>
      <c r="BE76" s="1">
        <v>0.81499999999999995</v>
      </c>
      <c r="BF76" s="1">
        <v>0.64500000000000002</v>
      </c>
      <c r="BG76" s="1">
        <v>0.39500000000000002</v>
      </c>
      <c r="BH76" s="1">
        <v>0.36</v>
      </c>
      <c r="BI76" s="1">
        <v>0.245</v>
      </c>
      <c r="BJ76" s="1">
        <v>0.14499999999999999</v>
      </c>
      <c r="BK76" s="20">
        <v>6.5000000000000002E-2</v>
      </c>
      <c r="BL76" s="1">
        <v>1</v>
      </c>
      <c r="BM76" s="1">
        <v>0.81499999999999995</v>
      </c>
      <c r="BN76" s="1">
        <v>0.64500000000000002</v>
      </c>
      <c r="BO76" s="1">
        <v>0.39500000000000002</v>
      </c>
      <c r="BP76" s="1">
        <v>0.36</v>
      </c>
      <c r="BQ76" s="1">
        <v>0.245</v>
      </c>
      <c r="BR76" s="1">
        <v>0.14499999999999999</v>
      </c>
      <c r="BS76" s="20">
        <v>6.5000000000000002E-2</v>
      </c>
      <c r="BT76" s="1">
        <v>1</v>
      </c>
      <c r="BU76" s="1">
        <v>0.81499999999999995</v>
      </c>
      <c r="BV76" s="1">
        <v>0.64500000000000002</v>
      </c>
      <c r="BW76" s="1">
        <v>0.39500000000000002</v>
      </c>
      <c r="BX76" s="1">
        <v>0.36</v>
      </c>
      <c r="BY76" s="1">
        <v>0.245</v>
      </c>
      <c r="BZ76" s="1">
        <v>0.14499999999999999</v>
      </c>
      <c r="CA76" s="20">
        <v>6.5000000000000002E-2</v>
      </c>
      <c r="CB76" s="1">
        <v>1</v>
      </c>
      <c r="CC76" s="1">
        <v>0.81499999999999995</v>
      </c>
      <c r="CD76" s="1">
        <v>0.64500000000000002</v>
      </c>
      <c r="CE76" s="1">
        <v>0.39500000000000002</v>
      </c>
      <c r="CF76" s="1">
        <v>0.36</v>
      </c>
      <c r="CG76" s="1">
        <v>0.245</v>
      </c>
      <c r="CH76" s="1">
        <v>0.14499999999999999</v>
      </c>
      <c r="CI76" s="20">
        <v>6.5000000000000002E-2</v>
      </c>
      <c r="CJ76" s="1">
        <v>1</v>
      </c>
      <c r="CK76" s="1">
        <v>0.81499999999999995</v>
      </c>
      <c r="CL76" s="1">
        <v>0.64500000000000002</v>
      </c>
      <c r="CM76" s="1">
        <v>0.39500000000000002</v>
      </c>
      <c r="CN76" s="1">
        <v>0.36</v>
      </c>
      <c r="CO76" s="1">
        <v>0.245</v>
      </c>
      <c r="CP76" s="1">
        <v>0.14499999999999999</v>
      </c>
      <c r="CQ76" s="20">
        <v>6.5000000000000002E-2</v>
      </c>
    </row>
    <row r="77" spans="3:160" x14ac:dyDescent="0.4">
      <c r="C77" s="1" t="s">
        <v>22</v>
      </c>
      <c r="D77" s="1" t="s">
        <v>6</v>
      </c>
      <c r="E77" s="1">
        <v>0.26</v>
      </c>
      <c r="F77" s="1">
        <v>0.152</v>
      </c>
      <c r="G77" s="1">
        <v>0.108</v>
      </c>
      <c r="H77" s="1">
        <v>2.5999999999999999E-2</v>
      </c>
      <c r="I77" s="1">
        <v>4289</v>
      </c>
      <c r="J77" s="1">
        <v>3885</v>
      </c>
      <c r="K77" s="1">
        <v>56</v>
      </c>
      <c r="L77" s="1">
        <v>5096</v>
      </c>
      <c r="M77" s="1">
        <v>5839</v>
      </c>
      <c r="N77" s="1">
        <v>72</v>
      </c>
      <c r="O77" s="1">
        <v>86</v>
      </c>
      <c r="P77" s="1">
        <v>87.5</v>
      </c>
      <c r="Q77" s="1">
        <v>90</v>
      </c>
      <c r="R77" s="1">
        <v>50</v>
      </c>
      <c r="S77" s="1">
        <v>86</v>
      </c>
      <c r="T77" s="4">
        <v>0</v>
      </c>
      <c r="U77" s="1">
        <v>1.9950000000000001</v>
      </c>
      <c r="V77" s="1">
        <v>7.8E-2</v>
      </c>
      <c r="W77" s="1">
        <v>4.0199999999999996</v>
      </c>
      <c r="X77" s="1">
        <f t="shared" ref="X77" si="1483">H77</f>
        <v>2.5999999999999999E-2</v>
      </c>
      <c r="Y77" s="1">
        <f t="shared" ref="Y77" si="1484">H78</f>
        <v>4.3999999999999997E-2</v>
      </c>
      <c r="Z77" s="1">
        <f t="shared" ref="Z77" si="1485">H79</f>
        <v>2.5999999999999999E-2</v>
      </c>
      <c r="AA77" s="1">
        <f t="shared" ref="AA77" si="1486">H80</f>
        <v>1.7999999999999999E-2</v>
      </c>
      <c r="AB77" s="1">
        <f t="shared" ref="AB77" si="1487">H81</f>
        <v>2.5999999999999999E-2</v>
      </c>
      <c r="AC77" s="1">
        <f t="shared" si="1193"/>
        <v>4438.5623687522129</v>
      </c>
      <c r="CQ77" s="20"/>
    </row>
    <row r="78" spans="3:160" x14ac:dyDescent="0.4">
      <c r="C78" s="1" t="s">
        <v>22</v>
      </c>
      <c r="D78" s="1" t="s">
        <v>7</v>
      </c>
      <c r="E78" s="1">
        <v>0.28599999999999998</v>
      </c>
      <c r="F78" s="1">
        <v>0.17799999999999999</v>
      </c>
      <c r="G78" s="1">
        <v>0.108</v>
      </c>
      <c r="H78" s="1">
        <v>4.3999999999999997E-2</v>
      </c>
      <c r="I78" s="1">
        <v>4289</v>
      </c>
      <c r="J78" s="1">
        <v>3885</v>
      </c>
      <c r="K78" s="1">
        <v>56</v>
      </c>
      <c r="L78" s="1">
        <v>5096</v>
      </c>
      <c r="M78" s="1">
        <v>5839</v>
      </c>
      <c r="N78" s="1">
        <v>72</v>
      </c>
      <c r="O78" s="1">
        <v>86</v>
      </c>
      <c r="P78" s="1">
        <v>87.5</v>
      </c>
      <c r="Q78" s="1">
        <v>90</v>
      </c>
      <c r="R78" s="1">
        <v>50</v>
      </c>
      <c r="S78" s="1">
        <v>86</v>
      </c>
      <c r="T78" s="4">
        <v>0</v>
      </c>
      <c r="U78" s="1">
        <v>1.9950000000000001</v>
      </c>
      <c r="V78" s="1">
        <v>7.8E-2</v>
      </c>
      <c r="W78" s="1">
        <v>4.0199999999999996</v>
      </c>
      <c r="X78" s="1">
        <f t="shared" ref="X78" si="1488">H77</f>
        <v>2.5999999999999999E-2</v>
      </c>
      <c r="Y78" s="1">
        <f t="shared" ref="Y78" si="1489">H78</f>
        <v>4.3999999999999997E-2</v>
      </c>
      <c r="Z78" s="1">
        <f t="shared" ref="Z78" si="1490">H79</f>
        <v>2.5999999999999999E-2</v>
      </c>
      <c r="AA78" s="1">
        <f t="shared" ref="AA78" si="1491">H80</f>
        <v>1.7999999999999999E-2</v>
      </c>
      <c r="AB78" s="1">
        <f t="shared" ref="AB78" si="1492">H81</f>
        <v>2.5999999999999999E-2</v>
      </c>
      <c r="AC78" s="1">
        <f t="shared" si="1193"/>
        <v>4438.5623687522129</v>
      </c>
      <c r="AE78" s="1" t="s">
        <v>97</v>
      </c>
      <c r="AF78" s="1">
        <v>0</v>
      </c>
      <c r="AG78" s="1">
        <v>0.12</v>
      </c>
      <c r="AH78" s="1">
        <v>0.21</v>
      </c>
      <c r="AI78" s="1">
        <v>0.26</v>
      </c>
      <c r="AJ78" s="1">
        <v>0.28000000000000003</v>
      </c>
      <c r="AK78" s="1">
        <v>0.26</v>
      </c>
      <c r="AL78" s="1">
        <v>0.21</v>
      </c>
      <c r="AM78" s="20">
        <v>0.12</v>
      </c>
      <c r="AN78" s="1">
        <v>0</v>
      </c>
      <c r="AO78" s="1">
        <v>0.12</v>
      </c>
      <c r="AP78" s="1">
        <v>0.21</v>
      </c>
      <c r="AQ78" s="1">
        <v>0.26</v>
      </c>
      <c r="AR78" s="1">
        <v>0.28000000000000003</v>
      </c>
      <c r="AS78" s="1">
        <v>0.26</v>
      </c>
      <c r="AT78" s="1">
        <v>0.21</v>
      </c>
      <c r="AU78" s="20">
        <v>0.12</v>
      </c>
      <c r="AV78" s="1">
        <v>0</v>
      </c>
      <c r="AW78" s="1">
        <v>0.12</v>
      </c>
      <c r="AX78" s="1">
        <v>0.21</v>
      </c>
      <c r="AY78" s="1">
        <v>0.26</v>
      </c>
      <c r="AZ78" s="1">
        <v>0.28000000000000003</v>
      </c>
      <c r="BA78" s="1">
        <v>0.26</v>
      </c>
      <c r="BB78" s="1">
        <v>0.21</v>
      </c>
      <c r="BC78" s="20">
        <v>0.12</v>
      </c>
      <c r="BD78" s="1">
        <v>0</v>
      </c>
      <c r="BE78" s="1">
        <v>0.12</v>
      </c>
      <c r="BF78" s="1">
        <v>0.21</v>
      </c>
      <c r="BG78" s="1">
        <v>0.26</v>
      </c>
      <c r="BH78" s="1">
        <v>0.28000000000000003</v>
      </c>
      <c r="BI78" s="1">
        <v>0.26</v>
      </c>
      <c r="BJ78" s="1">
        <v>0.21</v>
      </c>
      <c r="BK78" s="20">
        <v>0.12</v>
      </c>
      <c r="BL78" s="1">
        <v>0</v>
      </c>
      <c r="BM78" s="1">
        <v>0.12</v>
      </c>
      <c r="BN78" s="1">
        <v>0.21</v>
      </c>
      <c r="BO78" s="1">
        <v>0.26</v>
      </c>
      <c r="BP78" s="1">
        <v>0.28000000000000003</v>
      </c>
      <c r="BQ78" s="1">
        <v>0.26</v>
      </c>
      <c r="BR78" s="1">
        <v>0.21</v>
      </c>
      <c r="BS78" s="20">
        <v>0.12</v>
      </c>
      <c r="BT78" s="1">
        <v>0</v>
      </c>
      <c r="BU78" s="1">
        <v>0.12</v>
      </c>
      <c r="BV78" s="1">
        <v>0.21</v>
      </c>
      <c r="BW78" s="1">
        <v>0.26</v>
      </c>
      <c r="BX78" s="1">
        <v>0.28000000000000003</v>
      </c>
      <c r="BY78" s="1">
        <v>0.26</v>
      </c>
      <c r="BZ78" s="1">
        <v>0.21</v>
      </c>
      <c r="CA78" s="20">
        <v>0.12</v>
      </c>
      <c r="CB78" s="1">
        <v>0</v>
      </c>
      <c r="CC78" s="1">
        <v>0.12</v>
      </c>
      <c r="CD78" s="1">
        <v>0.21</v>
      </c>
      <c r="CE78" s="1">
        <v>0.26</v>
      </c>
      <c r="CF78" s="1">
        <v>0.28000000000000003</v>
      </c>
      <c r="CG78" s="1">
        <v>0.26</v>
      </c>
      <c r="CH78" s="1">
        <v>0.21</v>
      </c>
      <c r="CI78" s="20">
        <v>0.12</v>
      </c>
      <c r="CJ78" s="1">
        <v>0</v>
      </c>
      <c r="CK78" s="1">
        <v>0.12</v>
      </c>
      <c r="CL78" s="1">
        <v>0.21</v>
      </c>
      <c r="CM78" s="1">
        <v>0.26</v>
      </c>
      <c r="CN78" s="1">
        <v>0.28000000000000003</v>
      </c>
      <c r="CO78" s="1">
        <v>0.26</v>
      </c>
      <c r="CP78" s="1">
        <v>0.21</v>
      </c>
      <c r="CQ78" s="20">
        <v>0.12</v>
      </c>
    </row>
    <row r="79" spans="3:160" x14ac:dyDescent="0.4">
      <c r="C79" s="1" t="s">
        <v>22</v>
      </c>
      <c r="D79" s="1" t="s">
        <v>8</v>
      </c>
      <c r="E79" s="1">
        <v>0.26</v>
      </c>
      <c r="F79" s="1">
        <v>0.152</v>
      </c>
      <c r="G79" s="1">
        <v>0.108</v>
      </c>
      <c r="H79" s="1">
        <v>2.5999999999999999E-2</v>
      </c>
      <c r="I79" s="1">
        <v>4289</v>
      </c>
      <c r="J79" s="1">
        <v>3885</v>
      </c>
      <c r="K79" s="1">
        <v>56</v>
      </c>
      <c r="L79" s="1">
        <v>5096</v>
      </c>
      <c r="M79" s="1">
        <v>5839</v>
      </c>
      <c r="N79" s="1">
        <v>72</v>
      </c>
      <c r="O79" s="1">
        <v>86</v>
      </c>
      <c r="P79" s="1">
        <v>87.5</v>
      </c>
      <c r="Q79" s="1">
        <v>90</v>
      </c>
      <c r="R79" s="1">
        <v>50</v>
      </c>
      <c r="S79" s="1">
        <v>86</v>
      </c>
      <c r="T79" s="4">
        <v>0</v>
      </c>
      <c r="U79" s="1">
        <v>1.9950000000000001</v>
      </c>
      <c r="V79" s="1">
        <v>7.8E-2</v>
      </c>
      <c r="W79" s="1">
        <v>4.0199999999999996</v>
      </c>
      <c r="X79" s="1">
        <f t="shared" ref="X79" si="1493">H77</f>
        <v>2.5999999999999999E-2</v>
      </c>
      <c r="Y79" s="1">
        <f t="shared" ref="Y79" si="1494">H78</f>
        <v>4.3999999999999997E-2</v>
      </c>
      <c r="Z79" s="1">
        <f t="shared" ref="Z79" si="1495">H79</f>
        <v>2.5999999999999999E-2</v>
      </c>
      <c r="AA79" s="1">
        <f t="shared" ref="AA79" si="1496">H80</f>
        <v>1.7999999999999999E-2</v>
      </c>
      <c r="AB79" s="1">
        <f t="shared" ref="AB79" si="1497">H81</f>
        <v>2.5999999999999999E-2</v>
      </c>
      <c r="AC79" s="1">
        <f t="shared" si="1193"/>
        <v>4438.5623687522129</v>
      </c>
      <c r="CQ79" s="20"/>
    </row>
    <row r="80" spans="3:160" x14ac:dyDescent="0.4">
      <c r="C80" s="1" t="s">
        <v>22</v>
      </c>
      <c r="D80" s="1" t="s">
        <v>9</v>
      </c>
      <c r="E80" s="1">
        <v>0.251</v>
      </c>
      <c r="F80" s="1">
        <v>0.14299999999999999</v>
      </c>
      <c r="G80" s="1">
        <v>0.108</v>
      </c>
      <c r="H80" s="1">
        <v>1.7999999999999999E-2</v>
      </c>
      <c r="I80" s="1">
        <v>4289</v>
      </c>
      <c r="J80" s="1">
        <v>3885</v>
      </c>
      <c r="K80" s="1">
        <v>56</v>
      </c>
      <c r="L80" s="1">
        <v>5096</v>
      </c>
      <c r="M80" s="1">
        <v>5839</v>
      </c>
      <c r="N80" s="1">
        <v>72</v>
      </c>
      <c r="O80" s="1">
        <v>86</v>
      </c>
      <c r="P80" s="1">
        <v>87.5</v>
      </c>
      <c r="Q80" s="1">
        <v>90</v>
      </c>
      <c r="R80" s="1">
        <v>50</v>
      </c>
      <c r="S80" s="1">
        <v>86</v>
      </c>
      <c r="T80" s="4">
        <v>0</v>
      </c>
      <c r="U80" s="1">
        <v>1.9950000000000001</v>
      </c>
      <c r="V80" s="1">
        <v>7.8E-2</v>
      </c>
      <c r="W80" s="1">
        <v>4.0199999999999996</v>
      </c>
      <c r="X80" s="1">
        <f t="shared" ref="X80" si="1498">H77</f>
        <v>2.5999999999999999E-2</v>
      </c>
      <c r="Y80" s="1">
        <f t="shared" ref="Y80" si="1499">H78</f>
        <v>4.3999999999999997E-2</v>
      </c>
      <c r="Z80" s="1">
        <f t="shared" ref="Z80" si="1500">H79</f>
        <v>2.5999999999999999E-2</v>
      </c>
      <c r="AA80" s="1">
        <f t="shared" ref="AA80" si="1501">H80</f>
        <v>1.7999999999999999E-2</v>
      </c>
      <c r="AB80" s="1">
        <f t="shared" ref="AB80" si="1502">H81</f>
        <v>2.5999999999999999E-2</v>
      </c>
      <c r="AC80" s="1">
        <f t="shared" si="1193"/>
        <v>4438.5623687522129</v>
      </c>
      <c r="AE80" s="1" t="s">
        <v>98</v>
      </c>
      <c r="AF80" s="1">
        <v>0</v>
      </c>
      <c r="AG80" s="1">
        <v>6.5000000000000002E-2</v>
      </c>
      <c r="AH80" s="1">
        <v>0.14499999999999999</v>
      </c>
      <c r="AI80" s="1">
        <v>0.245</v>
      </c>
      <c r="AJ80" s="1">
        <v>0.36</v>
      </c>
      <c r="AK80" s="1">
        <v>0.39500000000000002</v>
      </c>
      <c r="AL80" s="1">
        <v>0.64500000000000002</v>
      </c>
      <c r="AM80" s="20">
        <v>0.81499999999999995</v>
      </c>
      <c r="AN80" s="1">
        <v>0</v>
      </c>
      <c r="AO80" s="1">
        <v>6.5000000000000002E-2</v>
      </c>
      <c r="AP80" s="1">
        <v>0.14499999999999999</v>
      </c>
      <c r="AQ80" s="1">
        <v>0.245</v>
      </c>
      <c r="AR80" s="1">
        <v>0.36</v>
      </c>
      <c r="AS80" s="1">
        <v>0.39500000000000002</v>
      </c>
      <c r="AT80" s="1">
        <v>0.64500000000000002</v>
      </c>
      <c r="AU80" s="20">
        <v>0.81499999999999995</v>
      </c>
      <c r="AV80" s="1">
        <v>0</v>
      </c>
      <c r="AW80" s="1">
        <v>6.5000000000000002E-2</v>
      </c>
      <c r="AX80" s="1">
        <v>0.14499999999999999</v>
      </c>
      <c r="AY80" s="1">
        <v>0.245</v>
      </c>
      <c r="AZ80" s="1">
        <v>0.36</v>
      </c>
      <c r="BA80" s="1">
        <v>0.39500000000000002</v>
      </c>
      <c r="BB80" s="1">
        <v>0.64500000000000002</v>
      </c>
      <c r="BC80" s="20">
        <v>0.81499999999999995</v>
      </c>
      <c r="BD80" s="1">
        <v>0</v>
      </c>
      <c r="BE80" s="1">
        <v>6.5000000000000002E-2</v>
      </c>
      <c r="BF80" s="1">
        <v>0.14499999999999999</v>
      </c>
      <c r="BG80" s="1">
        <v>0.245</v>
      </c>
      <c r="BH80" s="1">
        <v>0.36</v>
      </c>
      <c r="BI80" s="1">
        <v>0.39500000000000002</v>
      </c>
      <c r="BJ80" s="1">
        <v>0.64500000000000002</v>
      </c>
      <c r="BK80" s="20">
        <v>0.81499999999999995</v>
      </c>
      <c r="BL80" s="1">
        <v>0</v>
      </c>
      <c r="BM80" s="1">
        <v>6.5000000000000002E-2</v>
      </c>
      <c r="BN80" s="1">
        <v>0.14499999999999999</v>
      </c>
      <c r="BO80" s="1">
        <v>0.245</v>
      </c>
      <c r="BP80" s="1">
        <v>0.36</v>
      </c>
      <c r="BQ80" s="1">
        <v>0.39500000000000002</v>
      </c>
      <c r="BR80" s="1">
        <v>0.64500000000000002</v>
      </c>
      <c r="BS80" s="20">
        <v>0.81499999999999995</v>
      </c>
      <c r="BT80" s="1">
        <v>0</v>
      </c>
      <c r="BU80" s="1">
        <v>6.5000000000000002E-2</v>
      </c>
      <c r="BV80" s="1">
        <v>0.14499999999999999</v>
      </c>
      <c r="BW80" s="1">
        <v>0.245</v>
      </c>
      <c r="BX80" s="1">
        <v>0.36</v>
      </c>
      <c r="BY80" s="1">
        <v>0.39500000000000002</v>
      </c>
      <c r="BZ80" s="1">
        <v>0.64500000000000002</v>
      </c>
      <c r="CA80" s="20">
        <v>0.81499999999999995</v>
      </c>
      <c r="CB80" s="1">
        <v>0</v>
      </c>
      <c r="CC80" s="1">
        <v>6.5000000000000002E-2</v>
      </c>
      <c r="CD80" s="1">
        <v>0.14499999999999999</v>
      </c>
      <c r="CE80" s="1">
        <v>0.245</v>
      </c>
      <c r="CF80" s="1">
        <v>0.36</v>
      </c>
      <c r="CG80" s="1">
        <v>0.39500000000000002</v>
      </c>
      <c r="CH80" s="1">
        <v>0.64500000000000002</v>
      </c>
      <c r="CI80" s="20">
        <v>0.81499999999999995</v>
      </c>
      <c r="CJ80" s="1">
        <v>0</v>
      </c>
      <c r="CK80" s="1">
        <v>6.5000000000000002E-2</v>
      </c>
      <c r="CL80" s="1">
        <v>0.14499999999999999</v>
      </c>
      <c r="CM80" s="1">
        <v>0.245</v>
      </c>
      <c r="CN80" s="1">
        <v>0.36</v>
      </c>
      <c r="CO80" s="1">
        <v>0.39500000000000002</v>
      </c>
      <c r="CP80" s="1">
        <v>0.64500000000000002</v>
      </c>
      <c r="CQ80" s="20">
        <v>0.81499999999999995</v>
      </c>
    </row>
    <row r="81" spans="3:160" s="2" customFormat="1" x14ac:dyDescent="0.4">
      <c r="C81" s="2" t="s">
        <v>22</v>
      </c>
      <c r="D81" s="2" t="s">
        <v>10</v>
      </c>
      <c r="E81" s="2">
        <v>0.26</v>
      </c>
      <c r="F81" s="2">
        <v>0.152</v>
      </c>
      <c r="G81" s="2">
        <v>0.108</v>
      </c>
      <c r="H81" s="2">
        <v>2.5999999999999999E-2</v>
      </c>
      <c r="I81" s="2">
        <v>4289</v>
      </c>
      <c r="J81" s="2">
        <v>3885</v>
      </c>
      <c r="K81" s="2">
        <v>56</v>
      </c>
      <c r="L81" s="2">
        <v>5096</v>
      </c>
      <c r="M81" s="2">
        <v>5839</v>
      </c>
      <c r="N81" s="2">
        <v>72</v>
      </c>
      <c r="O81" s="2">
        <v>86</v>
      </c>
      <c r="P81" s="2">
        <v>87.5</v>
      </c>
      <c r="Q81" s="2">
        <v>90</v>
      </c>
      <c r="R81" s="2">
        <v>50</v>
      </c>
      <c r="S81" s="2">
        <v>86</v>
      </c>
      <c r="T81" s="6">
        <f t="shared" ref="T81" si="1503">(N76*O76*P76*Q76*R76*S76)/(I76*J76*K76*(F76*H76 + F77*H77 + F78*H78 + F79*H79 + F80*H80 + F81*H81))</f>
        <v>7206.7384124078226</v>
      </c>
      <c r="U81" s="2">
        <v>1.9950000000000001</v>
      </c>
      <c r="V81" s="2">
        <v>7.8E-2</v>
      </c>
      <c r="W81" s="2">
        <v>4.0199999999999996</v>
      </c>
      <c r="X81" s="2">
        <f t="shared" ref="X81" si="1504">H77</f>
        <v>2.5999999999999999E-2</v>
      </c>
      <c r="Y81" s="2">
        <f t="shared" ref="Y81" si="1505">H78</f>
        <v>4.3999999999999997E-2</v>
      </c>
      <c r="Z81" s="2">
        <f t="shared" ref="Z81" si="1506">H79</f>
        <v>2.5999999999999999E-2</v>
      </c>
      <c r="AA81" s="2">
        <f t="shared" ref="AA81" si="1507">H80</f>
        <v>1.7999999999999999E-2</v>
      </c>
      <c r="AB81" s="2">
        <f t="shared" ref="AB81" si="1508">H81</f>
        <v>2.5999999999999999E-2</v>
      </c>
      <c r="AC81" s="1">
        <f t="shared" si="1193"/>
        <v>4438.5623687522129</v>
      </c>
      <c r="AE81" s="2" t="s">
        <v>99</v>
      </c>
      <c r="AF81" s="23">
        <f>($O81*$Q81*$S81)^(1/3)/(AF76*((1-AF$2)*$H76+AF$2*$H77) + AF78*((1-AF$2)*$H78+AF$2*$H79) + AF80*((1-AF$2)*$H80+AF$2*$H81))</f>
        <v>1781.901625243044</v>
      </c>
      <c r="AG81" s="23">
        <f t="shared" ref="AG81" si="1509">($O81*$Q81*$S81)^(1/3)/(AG76*((1-AG$2)*$H76+AG$2*$H77) + AG78*((1-AG$2)*$H78+AG$2*$H79) + AG80*((1-AG$2)*$H80+AG$2*$H81))</f>
        <v>1882.3580820719881</v>
      </c>
      <c r="AH81" s="23">
        <f t="shared" ref="AH81" si="1510">($O81*$Q81*$S81)^(1/3)/(AH76*((1-AH$2)*$H76+AH$2*$H77) + AH78*((1-AH$2)*$H78+AH$2*$H79) + AH80*((1-AH$2)*$H80+AH$2*$H81))</f>
        <v>2009.2780954299656</v>
      </c>
      <c r="AI81" s="23">
        <f t="shared" ref="AI81" si="1511">($O81*$Q81*$S81)^(1/3)/(AI76*((1-AI$2)*$H76+AI$2*$H77) + AI78*((1-AI$2)*$H78+AI$2*$H79) + AI80*((1-AI$2)*$H80+AI$2*$H81))</f>
        <v>2480.1357658545421</v>
      </c>
      <c r="AJ81" s="23">
        <f t="shared" ref="AJ81" si="1512">($O81*$Q81*$S81)^(1/3)/(AJ76*((1-AJ$2)*$H76+AJ$2*$H77) + AJ78*((1-AJ$2)*$H78+AJ$2*$H79) + AJ80*((1-AJ$2)*$H80+AJ$2*$H81))</f>
        <v>2396.0806706067278</v>
      </c>
      <c r="AK81" s="23">
        <f t="shared" ref="AK81" si="1513">($O81*$Q81*$S81)^(1/3)/(AK76*((1-AK$2)*$H76+AK$2*$H77) + AK78*((1-AK$2)*$H78+AK$2*$H79) + AK80*((1-AK$2)*$H80+AK$2*$H81))</f>
        <v>2857.5741985570007</v>
      </c>
      <c r="AL81" s="23">
        <f t="shared" ref="AL81" si="1514">($O81*$Q81*$S81)^(1/3)/(AL76*((1-AL$2)*$H76+AL$2*$H77) + AL78*((1-AL$2)*$H78+AL$2*$H79) + AL80*((1-AL$2)*$H80+AL$2*$H81))</f>
        <v>3123.347509816103</v>
      </c>
      <c r="AM81" s="23">
        <f t="shared" ref="AM81" si="1515">($O81*$Q81*$S81)^(1/3)/(AM76*((1-AM$2)*$H76+AM$2*$H77) + AM78*((1-AM$2)*$H78+AM$2*$H79) + AM80*((1-AM$2)*$H80+AM$2*$H81))</f>
        <v>3774.0730337976734</v>
      </c>
      <c r="AN81" s="23">
        <f t="shared" ref="AN81" si="1516">($O81*$Q81*$S81)^(1/3)/(AN76*((1-AN$2)*$H76+AN$2*$H77) + AN78*((1-AN$2)*$H78+AN$2*$H79) + AN80*((1-AN$2)*$H80+AN$2*$H81))</f>
        <v>1892.9686642148324</v>
      </c>
      <c r="AO81" s="23">
        <f t="shared" ref="AO81" si="1517">($O81*$Q81*$S81)^(1/3)/(AO76*((1-AO$2)*$H76+AO$2*$H77) + AO78*((1-AO$2)*$H78+AO$2*$H79) + AO80*((1-AO$2)*$H80+AO$2*$H81))</f>
        <v>1991.7747247473535</v>
      </c>
      <c r="AP81" s="23">
        <f t="shared" ref="AP81" si="1518">($O81*$Q81*$S81)^(1/3)/(AP76*((1-AP$2)*$H76+AP$2*$H77) + AP78*((1-AP$2)*$H78+AP$2*$H79) + AP80*((1-AP$2)*$H80+AP$2*$H81))</f>
        <v>2115.4971821714284</v>
      </c>
      <c r="AQ81" s="23">
        <f t="shared" ref="AQ81" si="1519">($O81*$Q81*$S81)^(1/3)/(AQ76*((1-AQ$2)*$H76+AQ$2*$H77) + AQ78*((1-AQ$2)*$H78+AQ$2*$H79) + AQ80*((1-AQ$2)*$H80+AQ$2*$H81))</f>
        <v>2588.6391205561663</v>
      </c>
      <c r="AR81" s="23">
        <f t="shared" ref="AR81" si="1520">($O81*$Q81*$S81)^(1/3)/(AR76*((1-AR$2)*$H76+AR$2*$H77) + AR78*((1-AR$2)*$H78+AR$2*$H79) + AR80*((1-AR$2)*$H80+AR$2*$H81))</f>
        <v>2485.0769784234849</v>
      </c>
      <c r="AS81" s="23">
        <f t="shared" ref="AS81" si="1521">($O81*$Q81*$S81)^(1/3)/(AS76*((1-AS$2)*$H76+AS$2*$H77) + AS78*((1-AS$2)*$H78+AS$2*$H79) + AS80*((1-AS$2)*$H80+AS$2*$H81))</f>
        <v>2943.7403843280154</v>
      </c>
      <c r="AT81" s="23">
        <f t="shared" ref="AT81" si="1522">($O81*$Q81*$S81)^(1/3)/(AT76*((1-AT$2)*$H76+AT$2*$H77) + AT78*((1-AT$2)*$H78+AT$2*$H79) + AT80*((1-AT$2)*$H80+AT$2*$H81))</f>
        <v>3150.8917477288637</v>
      </c>
      <c r="AU81" s="23">
        <f t="shared" ref="AU81" si="1523">($O81*$Q81*$S81)^(1/3)/(AU76*((1-AU$2)*$H76+AU$2*$H77) + AU78*((1-AU$2)*$H78+AU$2*$H79) + AU80*((1-AU$2)*$H80+AU$2*$H81))</f>
        <v>3716.5417387814164</v>
      </c>
      <c r="AV81" s="23">
        <f t="shared" ref="AV81" si="1524">($O81*$Q81*$S81)^(1/3)/(AV76*((1-AV$2)*$H76+AV$2*$H77) + AV78*((1-AV$2)*$H78+AV$2*$H79) + AV80*((1-AV$2)*$H80+AV$2*$H81))</f>
        <v>2018.8018413158184</v>
      </c>
      <c r="AW81" s="23">
        <f t="shared" ref="AW81" si="1525">($O81*$Q81*$S81)^(1/3)/(AW76*((1-AW$2)*$H76+AW$2*$H77) + AW78*((1-AW$2)*$H78+AW$2*$H79) + AW80*((1-AW$2)*$H80+AW$2*$H81))</f>
        <v>2114.6966095342955</v>
      </c>
      <c r="AX81" s="23">
        <f t="shared" ref="AX81" si="1526">($O81*$Q81*$S81)^(1/3)/(AX76*((1-AX$2)*$H76+AX$2*$H77) + AX78*((1-AX$2)*$H78+AX$2*$H79) + AX80*((1-AX$2)*$H80+AX$2*$H81))</f>
        <v>2233.5734886172518</v>
      </c>
      <c r="AY81" s="23">
        <f t="shared" ref="AY81" si="1527">($O81*$Q81*$S81)^(1/3)/(AY76*((1-AY$2)*$H76+AY$2*$H77) + AY78*((1-AY$2)*$H78+AY$2*$H79) + AY80*((1-AY$2)*$H80+AY$2*$H81))</f>
        <v>2707.0706394422086</v>
      </c>
      <c r="AZ81" s="23">
        <f t="shared" ref="AZ81" si="1528">($O81*$Q81*$S81)^(1/3)/(AZ76*((1-AZ$2)*$H76+AZ$2*$H77) + AZ78*((1-AZ$2)*$H78+AZ$2*$H79) + AZ80*((1-AZ$2)*$H80+AZ$2*$H81))</f>
        <v>2580.9393921640308</v>
      </c>
      <c r="BA81" s="23">
        <f t="shared" ref="BA81" si="1529">($O81*$Q81*$S81)^(1/3)/(BA76*((1-BA$2)*$H76+BA$2*$H77) + BA78*((1-BA$2)*$H78+BA$2*$H79) + BA80*((1-BA$2)*$H80+BA$2*$H81))</f>
        <v>3035.2645769576902</v>
      </c>
      <c r="BB81" s="23">
        <f t="shared" ref="BB81" si="1530">($O81*$Q81*$S81)^(1/3)/(BB76*((1-BB$2)*$H76+BB$2*$H77) + BB78*((1-BB$2)*$H78+BB$2*$H79) + BB80*((1-BB$2)*$H80+BB$2*$H81))</f>
        <v>3178.9261234026912</v>
      </c>
      <c r="BC81" s="23">
        <f t="shared" ref="BC81" si="1531">($O81*$Q81*$S81)^(1/3)/(BC76*((1-BC$2)*$H76+BC$2*$H77) + BC78*((1-BC$2)*$H78+BC$2*$H79) + BC80*((1-BC$2)*$H80+BC$2*$H81))</f>
        <v>3660.7381012277833</v>
      </c>
      <c r="BD81" s="23">
        <f t="shared" ref="BD81" si="1532">($O81*$Q81*$S81)^(1/3)/(BD76*((1-BD$2)*$H76+BD$2*$H77) + BD78*((1-BD$2)*$H78+BD$2*$H79) + BD80*((1-BD$2)*$H80+BD$2*$H81))</f>
        <v>2162.5555328027035</v>
      </c>
      <c r="BE81" s="23">
        <f t="shared" ref="BE81" si="1533">($O81*$Q81*$S81)^(1/3)/(BE76*((1-BE$2)*$H76+BE$2*$H77) + BE78*((1-BE$2)*$H78+BE$2*$H79) + BE80*((1-BE$2)*$H80+BE$2*$H81))</f>
        <v>2253.788616908198</v>
      </c>
      <c r="BF81" s="23">
        <f t="shared" ref="BF81" si="1534">($O81*$Q81*$S81)^(1/3)/(BF76*((1-BF$2)*$H76+BF$2*$H77) + BF78*((1-BF$2)*$H78+BF$2*$H79) + BF80*((1-BF$2)*$H80+BF$2*$H81))</f>
        <v>2365.6098115156151</v>
      </c>
      <c r="BG81" s="23">
        <f t="shared" ref="BG81" si="1535">($O81*$Q81*$S81)^(1/3)/(BG76*((1-BG$2)*$H76+BG$2*$H77) + BG78*((1-BG$2)*$H78+BG$2*$H79) + BG80*((1-BG$2)*$H80+BG$2*$H81))</f>
        <v>2836.8583088446471</v>
      </c>
      <c r="BH81" s="23">
        <f t="shared" ref="BH81" si="1536">($O81*$Q81*$S81)^(1/3)/(BH76*((1-BH$2)*$H76+BH$2*$H77) + BH78*((1-BH$2)*$H78+BH$2*$H79) + BH80*((1-BH$2)*$H80+BH$2*$H81))</f>
        <v>2684.4943777681524</v>
      </c>
      <c r="BI81" s="23">
        <f t="shared" ref="BI81" si="1537">($O81*$Q81*$S81)^(1/3)/(BI76*((1-BI$2)*$H76+BI$2*$H77) + BI78*((1-BI$2)*$H78+BI$2*$H79) + BI80*((1-BI$2)*$H80+BI$2*$H81))</f>
        <v>3132.662572464506</v>
      </c>
      <c r="BJ81" s="23">
        <f t="shared" ref="BJ81" si="1538">($O81*$Q81*$S81)^(1/3)/(BJ76*((1-BJ$2)*$H76+BJ$2*$H77) + BJ78*((1-BJ$2)*$H78+BJ$2*$H79) + BJ80*((1-BJ$2)*$H80+BJ$2*$H81))</f>
        <v>3207.463836966012</v>
      </c>
      <c r="BK81" s="23">
        <f t="shared" ref="BK81" si="1539">($O81*$Q81*$S81)^(1/3)/(BK76*((1-BK$2)*$H76+BK$2*$H77) + BK78*((1-BK$2)*$H78+BK$2*$H79) + BK80*((1-BK$2)*$H80+BK$2*$H81))</f>
        <v>3606.5854503434789</v>
      </c>
      <c r="BL81" s="23">
        <f t="shared" ref="BL81" si="1540">($O81*$Q81*$S81)^(1/3)/(BL76*((1-BL$2)*$H76+BL$2*$H77) + BL78*((1-BL$2)*$H78+BL$2*$H79) + BL80*((1-BL$2)*$H80+BL$2*$H81))</f>
        <v>2328.3514569842441</v>
      </c>
      <c r="BM81" s="23">
        <f t="shared" ref="BM81" si="1541">($O81*$Q81*$S81)^(1/3)/(BM76*((1-BM$2)*$H76+BM$2*$H77) + BM78*((1-BM$2)*$H78+BM$2*$H79) + BM80*((1-BM$2)*$H80+BM$2*$H81))</f>
        <v>2412.4661086387832</v>
      </c>
      <c r="BN81" s="23">
        <f t="shared" ref="BN81" si="1542">($O81*$Q81*$S81)^(1/3)/(BN76*((1-BN$2)*$H76+BN$2*$H77) + BN78*((1-BN$2)*$H78+BN$2*$H79) + BN80*((1-BN$2)*$H80+BN$2*$H81))</f>
        <v>2514.2374094567467</v>
      </c>
      <c r="BO81" s="23">
        <f t="shared" ref="BO81" si="1543">($O81*$Q81*$S81)^(1/3)/(BO76*((1-BO$2)*$H76+BO$2*$H77) + BO78*((1-BO$2)*$H78+BO$2*$H79) + BO80*((1-BO$2)*$H80+BO$2*$H81))</f>
        <v>2979.7177591300801</v>
      </c>
      <c r="BP81" s="23">
        <f t="shared" ref="BP81" si="1544">($O81*$Q81*$S81)^(1/3)/(BP76*((1-BP$2)*$H76+BP$2*$H77) + BP78*((1-BP$2)*$H78+BP$2*$H79) + BP80*((1-BP$2)*$H80+BP$2*$H81))</f>
        <v>2796.7065867043289</v>
      </c>
      <c r="BQ81" s="23">
        <f t="shared" ref="BQ81" si="1545">($O81*$Q81*$S81)^(1/3)/(BQ76*((1-BQ$2)*$H76+BQ$2*$H77) + BQ78*((1-BQ$2)*$H78+BQ$2*$H79) + BQ80*((1-BQ$2)*$H80+BQ$2*$H81))</f>
        <v>3236.5185668393719</v>
      </c>
      <c r="BR81" s="23">
        <f t="shared" ref="BR81" si="1546">($O81*$Q81*$S81)^(1/3)/(BR76*((1-BR$2)*$H76+BR$2*$H77) + BR78*((1-BR$2)*$H78+BR$2*$H79) + BR80*((1-BR$2)*$H80+BR$2*$H81))</f>
        <v>3236.5185668393719</v>
      </c>
      <c r="BS81" s="23">
        <f t="shared" ref="BS81" si="1547">($O81*$Q81*$S81)^(1/3)/(BS76*((1-BS$2)*$H76+BS$2*$H77) + BS78*((1-BS$2)*$H78+BS$2*$H79) + BS80*((1-BS$2)*$H80+BS$2*$H81))</f>
        <v>3554.0115859126554</v>
      </c>
      <c r="BT81" s="23">
        <f t="shared" ref="BT81" si="1548">($O81*$Q81*$S81)^(1/3)/(BT76*((1-BT$2)*$H76+BT$2*$H77) + BT78*((1-BT$2)*$H78+BT$2*$H79) + BT80*((1-BT$2)*$H80+BT$2*$H81))</f>
        <v>2521.6802783222856</v>
      </c>
      <c r="BU81" s="23">
        <f t="shared" ref="BU81" si="1549">($O81*$Q81*$S81)^(1/3)/(BU76*((1-BU$2)*$H76+BU$2*$H77) + BU78*((1-BU$2)*$H78+BU$2*$H79) + BU80*((1-BU$2)*$H80+BU$2*$H81))</f>
        <v>2595.1791239073141</v>
      </c>
      <c r="BV81" s="23">
        <f t="shared" ref="BV81" si="1550">($O81*$Q81*$S81)^(1/3)/(BV76*((1-BV$2)*$H76+BV$2*$H77) + BV78*((1-BV$2)*$H78+BV$2*$H79) + BV80*((1-BV$2)*$H80+BV$2*$H81))</f>
        <v>2682.7931446057387</v>
      </c>
      <c r="BW81" s="23">
        <f t="shared" ref="BW81" si="1551">($O81*$Q81*$S81)^(1/3)/(BW76*((1-BW$2)*$H76+BW$2*$H77) + BW78*((1-BW$2)*$H78+BW$2*$H79) + BW80*((1-BW$2)*$H80+BW$2*$H81))</f>
        <v>3137.7285317488631</v>
      </c>
      <c r="BX81" s="23">
        <f t="shared" ref="BX81" si="1552">($O81*$Q81*$S81)^(1/3)/(BX76*((1-BX$2)*$H76+BX$2*$H77) + BX78*((1-BX$2)*$H78+BX$2*$H79) + BX80*((1-BX$2)*$H80+BX$2*$H81))</f>
        <v>2918.7089967210145</v>
      </c>
      <c r="BY81" s="23">
        <f t="shared" ref="BY81" si="1553">($O81*$Q81*$S81)^(1/3)/(BY76*((1-BY$2)*$H76+BY$2*$H77) + BY78*((1-BY$2)*$H78+BY$2*$H79) + BY80*((1-BY$2)*$H80+BY$2*$H81))</f>
        <v>3347.4968830195439</v>
      </c>
      <c r="BZ81" s="23">
        <f t="shared" ref="BZ81" si="1554">($O81*$Q81*$S81)^(1/3)/(BZ76*((1-BZ$2)*$H76+BZ$2*$H77) + BZ78*((1-BZ$2)*$H78+BZ$2*$H79) + BZ80*((1-BZ$2)*$H80+BZ$2*$H81))</f>
        <v>3266.1044915964426</v>
      </c>
      <c r="CA81" s="23">
        <f t="shared" ref="CA81" si="1555">($O81*$Q81*$S81)^(1/3)/(CA76*((1-CA$2)*$H76+CA$2*$H77) + CA78*((1-CA$2)*$H78+CA$2*$H79) + CA80*((1-CA$2)*$H80+CA$2*$H81))</f>
        <v>3502.9484571363469</v>
      </c>
      <c r="CB81" s="23">
        <f t="shared" ref="CB81" si="1556">($O81*$Q81*$S81)^(1/3)/(CB76*((1-CB$2)*$H76+CB$2*$H77) + CB78*((1-CB$2)*$H78+CB$2*$H79) + CB80*((1-CB$2)*$H80+CB$2*$H81))</f>
        <v>2750.0214058869024</v>
      </c>
      <c r="CC81" s="23">
        <f t="shared" ref="CC81" si="1557">($O81*$Q81*$S81)^(1/3)/(CC76*((1-CC$2)*$H76+CC$2*$H77) + CC78*((1-CC$2)*$H78+CC$2*$H79) + CC80*((1-CC$2)*$H80+CC$2*$H81))</f>
        <v>2807.8363029918128</v>
      </c>
      <c r="CD81" s="23">
        <f t="shared" ref="CD81" si="1558">($O81*$Q81*$S81)^(1/3)/(CD76*((1-CD$2)*$H76+CD$2*$H77) + CD78*((1-CD$2)*$H78+CD$2*$H79) + CD80*((1-CD$2)*$H80+CD$2*$H81))</f>
        <v>2875.5729986220135</v>
      </c>
      <c r="CE81" s="23">
        <f t="shared" ref="CE81" si="1559">($O81*$Q81*$S81)^(1/3)/(CE76*((1-CE$2)*$H76+CE$2*$H77) + CE78*((1-CE$2)*$H78+CE$2*$H79) + CE80*((1-CE$2)*$H80+CE$2*$H81))</f>
        <v>3313.4359712313139</v>
      </c>
      <c r="CF81" s="23">
        <f t="shared" ref="CF81" si="1560">($O81*$Q81*$S81)^(1/3)/(CF76*((1-CF$2)*$H76+CF$2*$H77) + CF78*((1-CF$2)*$H78+CF$2*$H79) + CF80*((1-CF$2)*$H80+CF$2*$H81))</f>
        <v>3051.8413015347483</v>
      </c>
      <c r="CG81" s="23">
        <f t="shared" ref="CG81" si="1561">($O81*$Q81*$S81)^(1/3)/(CG76*((1-CG$2)*$H76+CG$2*$H77) + CG78*((1-CG$2)*$H78+CG$2*$H79) + CG80*((1-CG$2)*$H80+CG$2*$H81))</f>
        <v>3466.3561961950927</v>
      </c>
      <c r="CH81" s="23">
        <f t="shared" ref="CH81" si="1562">($O81*$Q81*$S81)^(1/3)/(CH76*((1-CH$2)*$H76+CH$2*$H77) + CH78*((1-CH$2)*$H78+CH$2*$H79) + CH80*((1-CH$2)*$H80+CH$2*$H81))</f>
        <v>3296.2363130351246</v>
      </c>
      <c r="CI81" s="23">
        <f t="shared" ref="CI81" si="1563">($O81*$Q81*$S81)^(1/3)/(CI76*((1-CI$2)*$H76+CI$2*$H77) + CI78*((1-CI$2)*$H78+CI$2*$H79) + CI80*((1-CI$2)*$H80+CI$2*$H81))</f>
        <v>3453.3318687658739</v>
      </c>
      <c r="CJ81" s="23">
        <f t="shared" ref="CJ81" si="1564">($O81*$Q81*$S81)^(1/3)/(CJ76*((1-CJ$2)*$H76+CJ$2*$H77) + CJ78*((1-CJ$2)*$H78+CJ$2*$H79) + CJ80*((1-CJ$2)*$H80+CJ$2*$H81))</f>
        <v>3023.8330610184989</v>
      </c>
      <c r="CK81" s="23">
        <f t="shared" ref="CK81" si="1565">($O81*$Q81*$S81)^(1/3)/(CK76*((1-CK$2)*$H76+CK$2*$H77) + CK78*((1-CK$2)*$H78+CK$2*$H79) + CK80*((1-CK$2)*$H80+CK$2*$H81))</f>
        <v>3058.4558403365954</v>
      </c>
      <c r="CL81" s="23">
        <f t="shared" ref="CL81" si="1566">($O81*$Q81*$S81)^(1/3)/(CL76*((1-CL$2)*$H76+CL$2*$H77) + CL78*((1-CL$2)*$H78+CL$2*$H79) + CL80*((1-CL$2)*$H80+CL$2*$H81))</f>
        <v>3098.2033536416279</v>
      </c>
      <c r="CM81" s="23">
        <f t="shared" ref="CM81" si="1567">($O81*$Q81*$S81)^(1/3)/(CM76*((1-CM$2)*$H76+CM$2*$H77) + CM78*((1-CM$2)*$H78+CM$2*$H79) + CM80*((1-CM$2)*$H80+CM$2*$H81))</f>
        <v>3509.9893826550756</v>
      </c>
      <c r="CN81" s="23">
        <f t="shared" ref="CN81" si="1568">($O81*$Q81*$S81)^(1/3)/(CN76*((1-CN$2)*$H76+CN$2*$H77) + CN78*((1-CN$2)*$H78+CN$2*$H79) + CN80*((1-CN$2)*$H80+CN$2*$H81))</f>
        <v>3197.6993091708173</v>
      </c>
      <c r="CO81" s="23">
        <f t="shared" ref="CO81" si="1569">($O81*$Q81*$S81)^(1/3)/(CO76*((1-CO$2)*$H76+CO$2*$H77) + CO78*((1-CO$2)*$H78+CO$2*$H79) + CO80*((1-CO$2)*$H80+CO$2*$H81))</f>
        <v>3593.9669012645581</v>
      </c>
      <c r="CP81" s="23">
        <f t="shared" ref="CP81" si="1570">($O81*$Q81*$S81)^(1/3)/(CP76*((1-CP$2)*$H76+CP$2*$H77) + CP78*((1-CP$2)*$H78+CP$2*$H79) + CP80*((1-CP$2)*$H80+CP$2*$H81))</f>
        <v>3326.9292805376067</v>
      </c>
      <c r="CQ81" s="23">
        <f t="shared" ref="CQ81" si="1571">($O81*$Q81*$S81)^(1/3)/(CQ76*((1-CQ$2)*$H76+CQ$2*$H77) + CQ78*((1-CQ$2)*$H78+CQ$2*$H79) + CQ80*((1-CQ$2)*$H80+CQ$2*$H81))</f>
        <v>3405.101211861815</v>
      </c>
      <c r="CS81" s="2">
        <f t="shared" ref="CS81" si="1572">100*$AF81/AF81</f>
        <v>100</v>
      </c>
      <c r="CT81" s="2">
        <f t="shared" ref="CT81" si="1573">100*$AF81/AG81</f>
        <v>94.66326530612244</v>
      </c>
      <c r="CU81" s="2">
        <f t="shared" ref="CU81" si="1574">100*$AF81/AH81</f>
        <v>88.68367346938777</v>
      </c>
      <c r="CV81" s="2">
        <f t="shared" ref="CV81" si="1575">100*$AF81/AI81</f>
        <v>71.84693877551021</v>
      </c>
      <c r="CW81" s="2">
        <f t="shared" ref="CW81" si="1576">100*$AF81/AJ81</f>
        <v>74.367346938775512</v>
      </c>
      <c r="CX81" s="2">
        <f t="shared" ref="CX81" si="1577">100*$AF81/AK81</f>
        <v>62.357142857142861</v>
      </c>
      <c r="CY81" s="2">
        <f t="shared" ref="CY81" si="1578">100*$AF81/AL81</f>
        <v>57.051020408163268</v>
      </c>
      <c r="CZ81" s="2">
        <f t="shared" ref="CZ81" si="1579">100*$AF81/AM81</f>
        <v>47.214285714285708</v>
      </c>
      <c r="DA81" s="2">
        <f t="shared" ref="DA81" si="1580">100*$AF81/AN81</f>
        <v>94.132653061224502</v>
      </c>
      <c r="DB81" s="2">
        <f t="shared" ref="DB81" si="1581">100*$AF81/AO81</f>
        <v>89.463010204081655</v>
      </c>
      <c r="DC81" s="2">
        <f t="shared" ref="DC81" si="1582">100*$AF81/AP81</f>
        <v>84.230867346938794</v>
      </c>
      <c r="DD81" s="2">
        <f t="shared" ref="DD81" si="1583">100*$AF81/AQ81</f>
        <v>68.835459183673478</v>
      </c>
      <c r="DE81" s="2">
        <f t="shared" ref="DE81" si="1584">100*$AF81/AR81</f>
        <v>71.704081632653072</v>
      </c>
      <c r="DF81" s="2">
        <f t="shared" ref="DF81" si="1585">100*$AF81/AS81</f>
        <v>60.531887755102055</v>
      </c>
      <c r="DG81" s="2">
        <f t="shared" ref="DG81" si="1586">100*$AF81/AT81</f>
        <v>56.552295918367356</v>
      </c>
      <c r="DH81" s="2">
        <f t="shared" ref="DH81" si="1587">100*$AF81/AU81</f>
        <v>47.945153061224488</v>
      </c>
      <c r="DI81" s="2">
        <f t="shared" ref="DI81" si="1588">100*$AF81/AV81</f>
        <v>88.26530612244899</v>
      </c>
      <c r="DJ81" s="2">
        <f t="shared" ref="DJ81" si="1589">100*$AF81/AW81</f>
        <v>84.262755102040828</v>
      </c>
      <c r="DK81" s="2">
        <f t="shared" ref="DK81" si="1590">100*$AF81/AX81</f>
        <v>79.778061224489818</v>
      </c>
      <c r="DL81" s="2">
        <f t="shared" ref="DL81" si="1591">100*$AF81/AY81</f>
        <v>65.823979591836746</v>
      </c>
      <c r="DM81" s="2">
        <f t="shared" ref="DM81" si="1592">100*$AF81/AZ81</f>
        <v>69.040816326530617</v>
      </c>
      <c r="DN81" s="2">
        <f t="shared" ref="DN81" si="1593">100*$AF81/BA81</f>
        <v>58.706632653061227</v>
      </c>
      <c r="DO81" s="2">
        <f t="shared" ref="DO81" si="1594">100*$AF81/BB81</f>
        <v>56.053571428571423</v>
      </c>
      <c r="DP81" s="2">
        <f t="shared" ref="DP81" si="1595">100*$AF81/BC81</f>
        <v>48.676020408163261</v>
      </c>
      <c r="DQ81" s="2">
        <f t="shared" ref="DQ81" si="1596">100*$AF81/BD81</f>
        <v>82.397959183673478</v>
      </c>
      <c r="DR81" s="2">
        <f t="shared" ref="DR81" si="1597">100*$AF81/BE81</f>
        <v>79.0625</v>
      </c>
      <c r="DS81" s="2">
        <f t="shared" ref="DS81" si="1598">100*$AF81/BF81</f>
        <v>75.325255102040828</v>
      </c>
      <c r="DT81" s="2">
        <f t="shared" ref="DT81" si="1599">100*$AF81/BG81</f>
        <v>62.812500000000007</v>
      </c>
      <c r="DU81" s="2">
        <f t="shared" ref="DU81" si="1600">100*$AF81/BH81</f>
        <v>66.377551020408163</v>
      </c>
      <c r="DV81" s="2">
        <f t="shared" ref="DV81" si="1601">100*$AF81/BI81</f>
        <v>56.881377551020414</v>
      </c>
      <c r="DW81" s="2">
        <f t="shared" ref="DW81" si="1602">100*$AF81/BJ81</f>
        <v>55.554846938775512</v>
      </c>
      <c r="DX81" s="2">
        <f t="shared" ref="DX81" si="1603">100*$AF81/BK81</f>
        <v>49.406887755102041</v>
      </c>
      <c r="DY81" s="2">
        <f t="shared" ref="DY81" si="1604">100*$AF81/BL81</f>
        <v>76.530612244897966</v>
      </c>
      <c r="DZ81" s="2">
        <f t="shared" ref="DZ81" si="1605">100*$AF81/BM81</f>
        <v>73.862244897959187</v>
      </c>
      <c r="EA81" s="2">
        <f t="shared" ref="EA81" si="1606">100*$AF81/BN81</f>
        <v>70.872448979591823</v>
      </c>
      <c r="EB81" s="2">
        <f t="shared" ref="EB81" si="1607">100*$AF81/BO81</f>
        <v>59.801020408163254</v>
      </c>
      <c r="EC81" s="2">
        <f t="shared" ref="EC81" si="1608">100*$AF81/BP81</f>
        <v>63.714285714285722</v>
      </c>
      <c r="ED81" s="2">
        <f t="shared" ref="ED81" si="1609">100*$AF81/BQ81</f>
        <v>55.056122448979593</v>
      </c>
      <c r="EE81" s="2">
        <f t="shared" ref="EE81" si="1610">100*$AF81/BR81</f>
        <v>55.056122448979593</v>
      </c>
      <c r="EF81" s="2">
        <f t="shared" ref="EF81" si="1611">100*$AF81/BS81</f>
        <v>50.137755102040813</v>
      </c>
      <c r="EG81" s="2">
        <f t="shared" ref="EG81" si="1612">100*$AF81/BT81</f>
        <v>70.663265306122469</v>
      </c>
      <c r="EH81" s="2">
        <f t="shared" ref="EH81" si="1613">100*$AF81/BU81</f>
        <v>68.661989795918387</v>
      </c>
      <c r="EI81" s="2">
        <f t="shared" ref="EI81" si="1614">100*$AF81/BV81</f>
        <v>66.419642857142875</v>
      </c>
      <c r="EJ81" s="2">
        <f t="shared" ref="EJ81" si="1615">100*$AF81/BW81</f>
        <v>56.789540816326543</v>
      </c>
      <c r="EK81" s="2">
        <f t="shared" ref="EK81" si="1616">100*$AF81/BX81</f>
        <v>61.051020408163275</v>
      </c>
      <c r="EL81" s="2">
        <f t="shared" ref="EL81" si="1617">100*$AF81/BY81</f>
        <v>53.230867346938787</v>
      </c>
      <c r="EM81" s="2">
        <f t="shared" ref="EM81" si="1618">100*$AF81/BZ81</f>
        <v>54.557397959183682</v>
      </c>
      <c r="EN81" s="2">
        <f t="shared" ref="EN81" si="1619">100*$AF81/CA81</f>
        <v>50.868622448979593</v>
      </c>
      <c r="EO81" s="2">
        <f t="shared" ref="EO81" si="1620">100*$AF81/CB81</f>
        <v>64.795918367346943</v>
      </c>
      <c r="EP81" s="2">
        <f t="shared" ref="EP81" si="1621">100*$AF81/CC81</f>
        <v>63.461734693877553</v>
      </c>
      <c r="EQ81" s="2">
        <f t="shared" ref="EQ81" si="1622">100*$AF81/CD81</f>
        <v>61.966836734693878</v>
      </c>
      <c r="ER81" s="2">
        <f t="shared" ref="ER81" si="1623">100*$AF81/CE81</f>
        <v>53.778061224489797</v>
      </c>
      <c r="ES81" s="2">
        <f t="shared" ref="ES81" si="1624">100*$AF81/CF81</f>
        <v>58.387755102040828</v>
      </c>
      <c r="ET81" s="2">
        <f t="shared" ref="ET81" si="1625">100*$AF81/CG81</f>
        <v>51.405612244897974</v>
      </c>
      <c r="EU81" s="2">
        <f t="shared" ref="EU81" si="1626">100*$AF81/CH81</f>
        <v>54.058673469387756</v>
      </c>
      <c r="EV81" s="2">
        <f t="shared" ref="EV81" si="1627">100*$AF81/CI81</f>
        <v>51.599489795918366</v>
      </c>
      <c r="EW81" s="2">
        <f t="shared" ref="EW81" si="1628">100*$AF81/CJ81</f>
        <v>58.928571428571431</v>
      </c>
      <c r="EX81" s="2">
        <f t="shared" ref="EX81" si="1629">100*$AF81/CK81</f>
        <v>58.261479591836732</v>
      </c>
      <c r="EY81" s="2">
        <f t="shared" ref="EY81" si="1630">100*$AF81/CL81</f>
        <v>57.514030612244902</v>
      </c>
      <c r="EZ81" s="2">
        <f t="shared" ref="EZ81" si="1631">100*$AF81/CM81</f>
        <v>50.766581632653057</v>
      </c>
      <c r="FA81" s="2">
        <f t="shared" ref="FA81" si="1632">100*$AF81/CN81</f>
        <v>55.724489795918366</v>
      </c>
      <c r="FB81" s="2">
        <f t="shared" ref="FB81" si="1633">100*$AF81/CO81</f>
        <v>49.580357142857146</v>
      </c>
      <c r="FC81" s="2">
        <f t="shared" ref="FC81" si="1634">100*$AF81/CP81</f>
        <v>53.559948979591844</v>
      </c>
      <c r="FD81" s="2">
        <f t="shared" ref="FD81" si="1635">100*$AF81/CQ81</f>
        <v>52.330357142857132</v>
      </c>
    </row>
    <row r="82" spans="3:160" x14ac:dyDescent="0.4">
      <c r="C82" s="1" t="s">
        <v>23</v>
      </c>
      <c r="D82" s="1" t="s">
        <v>5</v>
      </c>
      <c r="E82" s="1">
        <v>0.28799999999999998</v>
      </c>
      <c r="F82" s="1">
        <v>0.18</v>
      </c>
      <c r="G82" s="1">
        <v>0.108</v>
      </c>
      <c r="H82" s="1">
        <v>4.8000000000000001E-2</v>
      </c>
      <c r="I82" s="1">
        <v>4354</v>
      </c>
      <c r="J82" s="1">
        <v>3885</v>
      </c>
      <c r="K82" s="1">
        <v>56</v>
      </c>
      <c r="L82" s="1">
        <v>5160</v>
      </c>
      <c r="M82" s="1">
        <v>5839</v>
      </c>
      <c r="N82" s="1">
        <v>72</v>
      </c>
      <c r="O82" s="1">
        <v>86</v>
      </c>
      <c r="P82" s="1">
        <v>87.5</v>
      </c>
      <c r="Q82" s="1">
        <v>90</v>
      </c>
      <c r="R82" s="1">
        <v>50</v>
      </c>
      <c r="S82" s="1">
        <v>86</v>
      </c>
      <c r="T82" s="4">
        <v>0</v>
      </c>
      <c r="U82" s="1">
        <v>1.2789999999999999</v>
      </c>
      <c r="V82" s="1">
        <v>5.8999999999999997E-2</v>
      </c>
      <c r="W82" s="1">
        <v>4.0199999999999996</v>
      </c>
      <c r="X82" s="1">
        <f t="shared" ref="X82" si="1636">H83</f>
        <v>1.9E-2</v>
      </c>
      <c r="Y82" s="1">
        <f t="shared" ref="Y82" si="1637">H84</f>
        <v>4.2999999999999997E-2</v>
      </c>
      <c r="Z82" s="1">
        <f t="shared" ref="Z82" si="1638">H85</f>
        <v>1.9E-2</v>
      </c>
      <c r="AA82" s="1">
        <f t="shared" ref="AA82" si="1639">H86</f>
        <v>1.7000000000000001E-2</v>
      </c>
      <c r="AB82" s="1">
        <f t="shared" ref="AB82" si="1640">H87</f>
        <v>1.9E-2</v>
      </c>
      <c r="AC82" s="1">
        <f t="shared" si="1193"/>
        <v>4423.9444499738638</v>
      </c>
      <c r="AE82" s="1" t="s">
        <v>96</v>
      </c>
      <c r="AF82" s="1">
        <v>1</v>
      </c>
      <c r="AG82" s="1">
        <v>0.81499999999999995</v>
      </c>
      <c r="AH82" s="1">
        <v>0.64500000000000002</v>
      </c>
      <c r="AI82" s="1">
        <v>0.39500000000000002</v>
      </c>
      <c r="AJ82" s="1">
        <v>0.36</v>
      </c>
      <c r="AK82" s="1">
        <v>0.245</v>
      </c>
      <c r="AL82" s="1">
        <v>0.14499999999999999</v>
      </c>
      <c r="AM82" s="20">
        <v>6.5000000000000002E-2</v>
      </c>
      <c r="AN82" s="1">
        <v>1</v>
      </c>
      <c r="AO82" s="1">
        <v>0.81499999999999995</v>
      </c>
      <c r="AP82" s="1">
        <v>0.64500000000000002</v>
      </c>
      <c r="AQ82" s="1">
        <v>0.39500000000000002</v>
      </c>
      <c r="AR82" s="1">
        <v>0.36</v>
      </c>
      <c r="AS82" s="1">
        <v>0.245</v>
      </c>
      <c r="AT82" s="1">
        <v>0.14499999999999999</v>
      </c>
      <c r="AU82" s="20">
        <v>6.5000000000000002E-2</v>
      </c>
      <c r="AV82" s="1">
        <v>1</v>
      </c>
      <c r="AW82" s="1">
        <v>0.81499999999999995</v>
      </c>
      <c r="AX82" s="1">
        <v>0.64500000000000002</v>
      </c>
      <c r="AY82" s="1">
        <v>0.39500000000000002</v>
      </c>
      <c r="AZ82" s="1">
        <v>0.36</v>
      </c>
      <c r="BA82" s="1">
        <v>0.245</v>
      </c>
      <c r="BB82" s="1">
        <v>0.14499999999999999</v>
      </c>
      <c r="BC82" s="20">
        <v>6.5000000000000002E-2</v>
      </c>
      <c r="BD82" s="1">
        <v>1</v>
      </c>
      <c r="BE82" s="1">
        <v>0.81499999999999995</v>
      </c>
      <c r="BF82" s="1">
        <v>0.64500000000000002</v>
      </c>
      <c r="BG82" s="1">
        <v>0.39500000000000002</v>
      </c>
      <c r="BH82" s="1">
        <v>0.36</v>
      </c>
      <c r="BI82" s="1">
        <v>0.245</v>
      </c>
      <c r="BJ82" s="1">
        <v>0.14499999999999999</v>
      </c>
      <c r="BK82" s="20">
        <v>6.5000000000000002E-2</v>
      </c>
      <c r="BL82" s="1">
        <v>1</v>
      </c>
      <c r="BM82" s="1">
        <v>0.81499999999999995</v>
      </c>
      <c r="BN82" s="1">
        <v>0.64500000000000002</v>
      </c>
      <c r="BO82" s="1">
        <v>0.39500000000000002</v>
      </c>
      <c r="BP82" s="1">
        <v>0.36</v>
      </c>
      <c r="BQ82" s="1">
        <v>0.245</v>
      </c>
      <c r="BR82" s="1">
        <v>0.14499999999999999</v>
      </c>
      <c r="BS82" s="20">
        <v>6.5000000000000002E-2</v>
      </c>
      <c r="BT82" s="1">
        <v>1</v>
      </c>
      <c r="BU82" s="1">
        <v>0.81499999999999995</v>
      </c>
      <c r="BV82" s="1">
        <v>0.64500000000000002</v>
      </c>
      <c r="BW82" s="1">
        <v>0.39500000000000002</v>
      </c>
      <c r="BX82" s="1">
        <v>0.36</v>
      </c>
      <c r="BY82" s="1">
        <v>0.245</v>
      </c>
      <c r="BZ82" s="1">
        <v>0.14499999999999999</v>
      </c>
      <c r="CA82" s="20">
        <v>6.5000000000000002E-2</v>
      </c>
      <c r="CB82" s="1">
        <v>1</v>
      </c>
      <c r="CC82" s="1">
        <v>0.81499999999999995</v>
      </c>
      <c r="CD82" s="1">
        <v>0.64500000000000002</v>
      </c>
      <c r="CE82" s="1">
        <v>0.39500000000000002</v>
      </c>
      <c r="CF82" s="1">
        <v>0.36</v>
      </c>
      <c r="CG82" s="1">
        <v>0.245</v>
      </c>
      <c r="CH82" s="1">
        <v>0.14499999999999999</v>
      </c>
      <c r="CI82" s="20">
        <v>6.5000000000000002E-2</v>
      </c>
      <c r="CJ82" s="1">
        <v>1</v>
      </c>
      <c r="CK82" s="1">
        <v>0.81499999999999995</v>
      </c>
      <c r="CL82" s="1">
        <v>0.64500000000000002</v>
      </c>
      <c r="CM82" s="1">
        <v>0.39500000000000002</v>
      </c>
      <c r="CN82" s="1">
        <v>0.36</v>
      </c>
      <c r="CO82" s="1">
        <v>0.245</v>
      </c>
      <c r="CP82" s="1">
        <v>0.14499999999999999</v>
      </c>
      <c r="CQ82" s="20">
        <v>6.5000000000000002E-2</v>
      </c>
    </row>
    <row r="83" spans="3:160" x14ac:dyDescent="0.4">
      <c r="C83" s="1" t="s">
        <v>23</v>
      </c>
      <c r="D83" s="1" t="s">
        <v>6</v>
      </c>
      <c r="E83" s="1">
        <v>0.251</v>
      </c>
      <c r="F83" s="1">
        <v>0.14299999999999999</v>
      </c>
      <c r="G83" s="1">
        <v>0.108</v>
      </c>
      <c r="H83" s="1">
        <v>1.9E-2</v>
      </c>
      <c r="I83" s="1">
        <v>4354</v>
      </c>
      <c r="J83" s="1">
        <v>3885</v>
      </c>
      <c r="K83" s="1">
        <v>56</v>
      </c>
      <c r="L83" s="1">
        <v>5160</v>
      </c>
      <c r="M83" s="1">
        <v>5839</v>
      </c>
      <c r="N83" s="1">
        <v>72</v>
      </c>
      <c r="O83" s="1">
        <v>86</v>
      </c>
      <c r="P83" s="1">
        <v>87.5</v>
      </c>
      <c r="Q83" s="1">
        <v>90</v>
      </c>
      <c r="R83" s="1">
        <v>50</v>
      </c>
      <c r="S83" s="1">
        <v>86</v>
      </c>
      <c r="T83" s="4">
        <v>0</v>
      </c>
      <c r="U83" s="1">
        <v>1.2789999999999999</v>
      </c>
      <c r="V83" s="1">
        <v>5.8999999999999997E-2</v>
      </c>
      <c r="W83" s="1">
        <v>4.0199999999999996</v>
      </c>
      <c r="X83" s="1">
        <f t="shared" ref="X83" si="1641">H83</f>
        <v>1.9E-2</v>
      </c>
      <c r="Y83" s="1">
        <f t="shared" ref="Y83" si="1642">H84</f>
        <v>4.2999999999999997E-2</v>
      </c>
      <c r="Z83" s="1">
        <f t="shared" ref="Z83" si="1643">H85</f>
        <v>1.9E-2</v>
      </c>
      <c r="AA83" s="1">
        <f t="shared" ref="AA83" si="1644">H86</f>
        <v>1.7000000000000001E-2</v>
      </c>
      <c r="AB83" s="1">
        <f t="shared" ref="AB83" si="1645">H87</f>
        <v>1.9E-2</v>
      </c>
      <c r="AC83" s="1">
        <f t="shared" si="1193"/>
        <v>4423.9444499738638</v>
      </c>
      <c r="CQ83" s="20"/>
    </row>
    <row r="84" spans="3:160" x14ac:dyDescent="0.4">
      <c r="C84" s="1" t="s">
        <v>23</v>
      </c>
      <c r="D84" s="1" t="s">
        <v>7</v>
      </c>
      <c r="E84" s="1">
        <v>0.28399999999999997</v>
      </c>
      <c r="F84" s="1">
        <v>0.17599999999999999</v>
      </c>
      <c r="G84" s="1">
        <v>0.108</v>
      </c>
      <c r="H84" s="1">
        <v>4.2999999999999997E-2</v>
      </c>
      <c r="I84" s="1">
        <v>4354</v>
      </c>
      <c r="J84" s="1">
        <v>3885</v>
      </c>
      <c r="K84" s="1">
        <v>56</v>
      </c>
      <c r="L84" s="1">
        <v>5160</v>
      </c>
      <c r="M84" s="1">
        <v>5839</v>
      </c>
      <c r="N84" s="1">
        <v>72</v>
      </c>
      <c r="O84" s="1">
        <v>86</v>
      </c>
      <c r="P84" s="1">
        <v>87.5</v>
      </c>
      <c r="Q84" s="1">
        <v>90</v>
      </c>
      <c r="R84" s="1">
        <v>50</v>
      </c>
      <c r="S84" s="1">
        <v>86</v>
      </c>
      <c r="T84" s="4">
        <v>0</v>
      </c>
      <c r="U84" s="1">
        <v>1.2789999999999999</v>
      </c>
      <c r="V84" s="1">
        <v>5.8999999999999997E-2</v>
      </c>
      <c r="W84" s="1">
        <v>4.0199999999999996</v>
      </c>
      <c r="X84" s="1">
        <f t="shared" ref="X84" si="1646">H83</f>
        <v>1.9E-2</v>
      </c>
      <c r="Y84" s="1">
        <f t="shared" ref="Y84" si="1647">H84</f>
        <v>4.2999999999999997E-2</v>
      </c>
      <c r="Z84" s="1">
        <f t="shared" ref="Z84" si="1648">H85</f>
        <v>1.9E-2</v>
      </c>
      <c r="AA84" s="1">
        <f t="shared" ref="AA84" si="1649">H86</f>
        <v>1.7000000000000001E-2</v>
      </c>
      <c r="AB84" s="1">
        <f t="shared" ref="AB84" si="1650">H87</f>
        <v>1.9E-2</v>
      </c>
      <c r="AC84" s="1">
        <f t="shared" si="1193"/>
        <v>4423.9444499738638</v>
      </c>
      <c r="AE84" s="1" t="s">
        <v>97</v>
      </c>
      <c r="AF84" s="1">
        <v>0</v>
      </c>
      <c r="AG84" s="1">
        <v>0.12</v>
      </c>
      <c r="AH84" s="1">
        <v>0.21</v>
      </c>
      <c r="AI84" s="1">
        <v>0.26</v>
      </c>
      <c r="AJ84" s="1">
        <v>0.28000000000000003</v>
      </c>
      <c r="AK84" s="1">
        <v>0.26</v>
      </c>
      <c r="AL84" s="1">
        <v>0.21</v>
      </c>
      <c r="AM84" s="20">
        <v>0.12</v>
      </c>
      <c r="AN84" s="1">
        <v>0</v>
      </c>
      <c r="AO84" s="1">
        <v>0.12</v>
      </c>
      <c r="AP84" s="1">
        <v>0.21</v>
      </c>
      <c r="AQ84" s="1">
        <v>0.26</v>
      </c>
      <c r="AR84" s="1">
        <v>0.28000000000000003</v>
      </c>
      <c r="AS84" s="1">
        <v>0.26</v>
      </c>
      <c r="AT84" s="1">
        <v>0.21</v>
      </c>
      <c r="AU84" s="20">
        <v>0.12</v>
      </c>
      <c r="AV84" s="1">
        <v>0</v>
      </c>
      <c r="AW84" s="1">
        <v>0.12</v>
      </c>
      <c r="AX84" s="1">
        <v>0.21</v>
      </c>
      <c r="AY84" s="1">
        <v>0.26</v>
      </c>
      <c r="AZ84" s="1">
        <v>0.28000000000000003</v>
      </c>
      <c r="BA84" s="1">
        <v>0.26</v>
      </c>
      <c r="BB84" s="1">
        <v>0.21</v>
      </c>
      <c r="BC84" s="20">
        <v>0.12</v>
      </c>
      <c r="BD84" s="1">
        <v>0</v>
      </c>
      <c r="BE84" s="1">
        <v>0.12</v>
      </c>
      <c r="BF84" s="1">
        <v>0.21</v>
      </c>
      <c r="BG84" s="1">
        <v>0.26</v>
      </c>
      <c r="BH84" s="1">
        <v>0.28000000000000003</v>
      </c>
      <c r="BI84" s="1">
        <v>0.26</v>
      </c>
      <c r="BJ84" s="1">
        <v>0.21</v>
      </c>
      <c r="BK84" s="20">
        <v>0.12</v>
      </c>
      <c r="BL84" s="1">
        <v>0</v>
      </c>
      <c r="BM84" s="1">
        <v>0.12</v>
      </c>
      <c r="BN84" s="1">
        <v>0.21</v>
      </c>
      <c r="BO84" s="1">
        <v>0.26</v>
      </c>
      <c r="BP84" s="1">
        <v>0.28000000000000003</v>
      </c>
      <c r="BQ84" s="1">
        <v>0.26</v>
      </c>
      <c r="BR84" s="1">
        <v>0.21</v>
      </c>
      <c r="BS84" s="20">
        <v>0.12</v>
      </c>
      <c r="BT84" s="1">
        <v>0</v>
      </c>
      <c r="BU84" s="1">
        <v>0.12</v>
      </c>
      <c r="BV84" s="1">
        <v>0.21</v>
      </c>
      <c r="BW84" s="1">
        <v>0.26</v>
      </c>
      <c r="BX84" s="1">
        <v>0.28000000000000003</v>
      </c>
      <c r="BY84" s="1">
        <v>0.26</v>
      </c>
      <c r="BZ84" s="1">
        <v>0.21</v>
      </c>
      <c r="CA84" s="20">
        <v>0.12</v>
      </c>
      <c r="CB84" s="1">
        <v>0</v>
      </c>
      <c r="CC84" s="1">
        <v>0.12</v>
      </c>
      <c r="CD84" s="1">
        <v>0.21</v>
      </c>
      <c r="CE84" s="1">
        <v>0.26</v>
      </c>
      <c r="CF84" s="1">
        <v>0.28000000000000003</v>
      </c>
      <c r="CG84" s="1">
        <v>0.26</v>
      </c>
      <c r="CH84" s="1">
        <v>0.21</v>
      </c>
      <c r="CI84" s="20">
        <v>0.12</v>
      </c>
      <c r="CJ84" s="1">
        <v>0</v>
      </c>
      <c r="CK84" s="1">
        <v>0.12</v>
      </c>
      <c r="CL84" s="1">
        <v>0.21</v>
      </c>
      <c r="CM84" s="1">
        <v>0.26</v>
      </c>
      <c r="CN84" s="1">
        <v>0.28000000000000003</v>
      </c>
      <c r="CO84" s="1">
        <v>0.26</v>
      </c>
      <c r="CP84" s="1">
        <v>0.21</v>
      </c>
      <c r="CQ84" s="20">
        <v>0.12</v>
      </c>
    </row>
    <row r="85" spans="3:160" x14ac:dyDescent="0.4">
      <c r="C85" s="1" t="s">
        <v>23</v>
      </c>
      <c r="D85" s="1" t="s">
        <v>8</v>
      </c>
      <c r="E85" s="1">
        <v>0.252</v>
      </c>
      <c r="F85" s="1">
        <v>0.14399999999999999</v>
      </c>
      <c r="G85" s="1">
        <v>0.108</v>
      </c>
      <c r="H85" s="1">
        <v>1.9E-2</v>
      </c>
      <c r="I85" s="1">
        <v>4354</v>
      </c>
      <c r="J85" s="1">
        <v>3885</v>
      </c>
      <c r="K85" s="1">
        <v>56</v>
      </c>
      <c r="L85" s="1">
        <v>5160</v>
      </c>
      <c r="M85" s="1">
        <v>5839</v>
      </c>
      <c r="N85" s="1">
        <v>72</v>
      </c>
      <c r="O85" s="1">
        <v>86</v>
      </c>
      <c r="P85" s="1">
        <v>87.5</v>
      </c>
      <c r="Q85" s="1">
        <v>90</v>
      </c>
      <c r="R85" s="1">
        <v>50</v>
      </c>
      <c r="S85" s="1">
        <v>86</v>
      </c>
      <c r="T85" s="4">
        <v>0</v>
      </c>
      <c r="U85" s="1">
        <v>1.2789999999999999</v>
      </c>
      <c r="V85" s="1">
        <v>5.8999999999999997E-2</v>
      </c>
      <c r="W85" s="1">
        <v>4.0199999999999996</v>
      </c>
      <c r="X85" s="1">
        <f t="shared" ref="X85" si="1651">H83</f>
        <v>1.9E-2</v>
      </c>
      <c r="Y85" s="1">
        <f t="shared" ref="Y85" si="1652">H84</f>
        <v>4.2999999999999997E-2</v>
      </c>
      <c r="Z85" s="1">
        <f t="shared" ref="Z85" si="1653">H85</f>
        <v>1.9E-2</v>
      </c>
      <c r="AA85" s="1">
        <f t="shared" ref="AA85" si="1654">H86</f>
        <v>1.7000000000000001E-2</v>
      </c>
      <c r="AB85" s="1">
        <f t="shared" ref="AB85" si="1655">H87</f>
        <v>1.9E-2</v>
      </c>
      <c r="AC85" s="1">
        <f t="shared" si="1193"/>
        <v>4423.9444499738638</v>
      </c>
      <c r="CQ85" s="20"/>
    </row>
    <row r="86" spans="3:160" x14ac:dyDescent="0.4">
      <c r="C86" s="1" t="s">
        <v>23</v>
      </c>
      <c r="D86" s="1" t="s">
        <v>9</v>
      </c>
      <c r="E86" s="1">
        <v>0.249</v>
      </c>
      <c r="F86" s="1">
        <v>0.14199999999999999</v>
      </c>
      <c r="G86" s="1">
        <v>0.108</v>
      </c>
      <c r="H86" s="1">
        <v>1.7000000000000001E-2</v>
      </c>
      <c r="I86" s="1">
        <v>4354</v>
      </c>
      <c r="J86" s="1">
        <v>3885</v>
      </c>
      <c r="K86" s="1">
        <v>56</v>
      </c>
      <c r="L86" s="1">
        <v>5160</v>
      </c>
      <c r="M86" s="1">
        <v>5839</v>
      </c>
      <c r="N86" s="1">
        <v>72</v>
      </c>
      <c r="O86" s="1">
        <v>86</v>
      </c>
      <c r="P86" s="1">
        <v>87.5</v>
      </c>
      <c r="Q86" s="1">
        <v>90</v>
      </c>
      <c r="R86" s="1">
        <v>50</v>
      </c>
      <c r="S86" s="1">
        <v>86</v>
      </c>
      <c r="T86" s="4">
        <v>0</v>
      </c>
      <c r="U86" s="1">
        <v>1.2789999999999999</v>
      </c>
      <c r="V86" s="1">
        <v>5.8999999999999997E-2</v>
      </c>
      <c r="W86" s="1">
        <v>4.0199999999999996</v>
      </c>
      <c r="X86" s="1">
        <f t="shared" ref="X86" si="1656">H83</f>
        <v>1.9E-2</v>
      </c>
      <c r="Y86" s="1">
        <f t="shared" ref="Y86" si="1657">H84</f>
        <v>4.2999999999999997E-2</v>
      </c>
      <c r="Z86" s="1">
        <f t="shared" ref="Z86" si="1658">H85</f>
        <v>1.9E-2</v>
      </c>
      <c r="AA86" s="1">
        <f t="shared" ref="AA86" si="1659">H86</f>
        <v>1.7000000000000001E-2</v>
      </c>
      <c r="AB86" s="1">
        <f t="shared" ref="AB86" si="1660">H87</f>
        <v>1.9E-2</v>
      </c>
      <c r="AC86" s="1">
        <f t="shared" si="1193"/>
        <v>4423.9444499738638</v>
      </c>
      <c r="AE86" s="1" t="s">
        <v>98</v>
      </c>
      <c r="AF86" s="1">
        <v>0</v>
      </c>
      <c r="AG86" s="1">
        <v>6.5000000000000002E-2</v>
      </c>
      <c r="AH86" s="1">
        <v>0.14499999999999999</v>
      </c>
      <c r="AI86" s="1">
        <v>0.245</v>
      </c>
      <c r="AJ86" s="1">
        <v>0.36</v>
      </c>
      <c r="AK86" s="1">
        <v>0.39500000000000002</v>
      </c>
      <c r="AL86" s="1">
        <v>0.64500000000000002</v>
      </c>
      <c r="AM86" s="20">
        <v>0.81499999999999995</v>
      </c>
      <c r="AN86" s="1">
        <v>0</v>
      </c>
      <c r="AO86" s="1">
        <v>6.5000000000000002E-2</v>
      </c>
      <c r="AP86" s="1">
        <v>0.14499999999999999</v>
      </c>
      <c r="AQ86" s="1">
        <v>0.245</v>
      </c>
      <c r="AR86" s="1">
        <v>0.36</v>
      </c>
      <c r="AS86" s="1">
        <v>0.39500000000000002</v>
      </c>
      <c r="AT86" s="1">
        <v>0.64500000000000002</v>
      </c>
      <c r="AU86" s="20">
        <v>0.81499999999999995</v>
      </c>
      <c r="AV86" s="1">
        <v>0</v>
      </c>
      <c r="AW86" s="1">
        <v>6.5000000000000002E-2</v>
      </c>
      <c r="AX86" s="1">
        <v>0.14499999999999999</v>
      </c>
      <c r="AY86" s="1">
        <v>0.245</v>
      </c>
      <c r="AZ86" s="1">
        <v>0.36</v>
      </c>
      <c r="BA86" s="1">
        <v>0.39500000000000002</v>
      </c>
      <c r="BB86" s="1">
        <v>0.64500000000000002</v>
      </c>
      <c r="BC86" s="20">
        <v>0.81499999999999995</v>
      </c>
      <c r="BD86" s="1">
        <v>0</v>
      </c>
      <c r="BE86" s="1">
        <v>6.5000000000000002E-2</v>
      </c>
      <c r="BF86" s="1">
        <v>0.14499999999999999</v>
      </c>
      <c r="BG86" s="1">
        <v>0.245</v>
      </c>
      <c r="BH86" s="1">
        <v>0.36</v>
      </c>
      <c r="BI86" s="1">
        <v>0.39500000000000002</v>
      </c>
      <c r="BJ86" s="1">
        <v>0.64500000000000002</v>
      </c>
      <c r="BK86" s="20">
        <v>0.81499999999999995</v>
      </c>
      <c r="BL86" s="1">
        <v>0</v>
      </c>
      <c r="BM86" s="1">
        <v>6.5000000000000002E-2</v>
      </c>
      <c r="BN86" s="1">
        <v>0.14499999999999999</v>
      </c>
      <c r="BO86" s="1">
        <v>0.245</v>
      </c>
      <c r="BP86" s="1">
        <v>0.36</v>
      </c>
      <c r="BQ86" s="1">
        <v>0.39500000000000002</v>
      </c>
      <c r="BR86" s="1">
        <v>0.64500000000000002</v>
      </c>
      <c r="BS86" s="20">
        <v>0.81499999999999995</v>
      </c>
      <c r="BT86" s="1">
        <v>0</v>
      </c>
      <c r="BU86" s="1">
        <v>6.5000000000000002E-2</v>
      </c>
      <c r="BV86" s="1">
        <v>0.14499999999999999</v>
      </c>
      <c r="BW86" s="1">
        <v>0.245</v>
      </c>
      <c r="BX86" s="1">
        <v>0.36</v>
      </c>
      <c r="BY86" s="1">
        <v>0.39500000000000002</v>
      </c>
      <c r="BZ86" s="1">
        <v>0.64500000000000002</v>
      </c>
      <c r="CA86" s="20">
        <v>0.81499999999999995</v>
      </c>
      <c r="CB86" s="1">
        <v>0</v>
      </c>
      <c r="CC86" s="1">
        <v>6.5000000000000002E-2</v>
      </c>
      <c r="CD86" s="1">
        <v>0.14499999999999999</v>
      </c>
      <c r="CE86" s="1">
        <v>0.245</v>
      </c>
      <c r="CF86" s="1">
        <v>0.36</v>
      </c>
      <c r="CG86" s="1">
        <v>0.39500000000000002</v>
      </c>
      <c r="CH86" s="1">
        <v>0.64500000000000002</v>
      </c>
      <c r="CI86" s="20">
        <v>0.81499999999999995</v>
      </c>
      <c r="CJ86" s="1">
        <v>0</v>
      </c>
      <c r="CK86" s="1">
        <v>6.5000000000000002E-2</v>
      </c>
      <c r="CL86" s="1">
        <v>0.14499999999999999</v>
      </c>
      <c r="CM86" s="1">
        <v>0.245</v>
      </c>
      <c r="CN86" s="1">
        <v>0.36</v>
      </c>
      <c r="CO86" s="1">
        <v>0.39500000000000002</v>
      </c>
      <c r="CP86" s="1">
        <v>0.64500000000000002</v>
      </c>
      <c r="CQ86" s="20">
        <v>0.81499999999999995</v>
      </c>
    </row>
    <row r="87" spans="3:160" s="2" customFormat="1" x14ac:dyDescent="0.4">
      <c r="C87" s="2" t="s">
        <v>23</v>
      </c>
      <c r="D87" s="2" t="s">
        <v>10</v>
      </c>
      <c r="E87" s="2">
        <v>0.252</v>
      </c>
      <c r="F87" s="2">
        <v>0.14399999999999999</v>
      </c>
      <c r="G87" s="2">
        <v>0.108</v>
      </c>
      <c r="H87" s="2">
        <v>1.9E-2</v>
      </c>
      <c r="I87" s="2">
        <v>4354</v>
      </c>
      <c r="J87" s="2">
        <v>3885</v>
      </c>
      <c r="K87" s="2">
        <v>56</v>
      </c>
      <c r="L87" s="2">
        <v>5160</v>
      </c>
      <c r="M87" s="2">
        <v>5839</v>
      </c>
      <c r="N87" s="2">
        <v>72</v>
      </c>
      <c r="O87" s="2">
        <v>86</v>
      </c>
      <c r="P87" s="2">
        <v>87.5</v>
      </c>
      <c r="Q87" s="2">
        <v>90</v>
      </c>
      <c r="R87" s="2">
        <v>50</v>
      </c>
      <c r="S87" s="2">
        <v>86</v>
      </c>
      <c r="T87" s="6">
        <f t="shared" si="399"/>
        <v>8255.9960825874605</v>
      </c>
      <c r="U87" s="2">
        <v>1.2789999999999999</v>
      </c>
      <c r="V87" s="2">
        <v>5.8999999999999997E-2</v>
      </c>
      <c r="W87" s="2">
        <v>4.0199999999999996</v>
      </c>
      <c r="X87" s="2">
        <f t="shared" ref="X87" si="1661">H83</f>
        <v>1.9E-2</v>
      </c>
      <c r="Y87" s="2">
        <f t="shared" ref="Y87" si="1662">H84</f>
        <v>4.2999999999999997E-2</v>
      </c>
      <c r="Z87" s="2">
        <f t="shared" ref="Z87" si="1663">H85</f>
        <v>1.9E-2</v>
      </c>
      <c r="AA87" s="2">
        <f t="shared" ref="AA87" si="1664">H86</f>
        <v>1.7000000000000001E-2</v>
      </c>
      <c r="AB87" s="2">
        <f t="shared" ref="AB87" si="1665">H87</f>
        <v>1.9E-2</v>
      </c>
      <c r="AC87" s="1">
        <f t="shared" si="1193"/>
        <v>4423.9444499738638</v>
      </c>
      <c r="AE87" s="2" t="s">
        <v>99</v>
      </c>
      <c r="AF87" s="23">
        <f>($O87*$Q87*$S87)^(1/3)/(AF82*((1-AF$2)*$H82+AF$2*$H83) + AF84*((1-AF$2)*$H84+AF$2*$H85) + AF86*((1-AF$2)*$H86+AF$2*$H87))</f>
        <v>1819.0245757689406</v>
      </c>
      <c r="AG87" s="23">
        <f t="shared" ref="AG87" si="1666">($O87*$Q87*$S87)^(1/3)/(AG82*((1-AG$2)*$H82+AG$2*$H83) + AG84*((1-AG$2)*$H84+AG$2*$H85) + AG86*((1-AG$2)*$H86+AG$2*$H87))</f>
        <v>1923.8334171402262</v>
      </c>
      <c r="AH87" s="23">
        <f t="shared" ref="AH87" si="1667">($O87*$Q87*$S87)^(1/3)/(AH82*((1-AH$2)*$H82+AH$2*$H83) + AH84*((1-AH$2)*$H84+AH$2*$H85) + AH86*((1-AH$2)*$H86+AH$2*$H87))</f>
        <v>2056.6053382854589</v>
      </c>
      <c r="AI87" s="23">
        <f t="shared" ref="AI87" si="1668">($O87*$Q87*$S87)^(1/3)/(AI82*((1-AI$2)*$H82+AI$2*$H83) + AI84*((1-AI$2)*$H84+AI$2*$H85) + AI86*((1-AI$2)*$H86+AI$2*$H87))</f>
        <v>2545.2027295411499</v>
      </c>
      <c r="AJ87" s="23">
        <f t="shared" ref="AJ87" si="1669">($O87*$Q87*$S87)^(1/3)/(AJ82*((1-AJ$2)*$H82+AJ$2*$H83) + AJ84*((1-AJ$2)*$H84+AJ$2*$H85) + AJ86*((1-AJ$2)*$H86+AJ$2*$H87))</f>
        <v>2463.6901703416806</v>
      </c>
      <c r="AK87" s="23">
        <f t="shared" ref="AK87" si="1670">($O87*$Q87*$S87)^(1/3)/(AK82*((1-AK$2)*$H82+AK$2*$H83) + AK84*((1-AK$2)*$H84+AK$2*$H85) + AK86*((1-AK$2)*$H86+AK$2*$H87))</f>
        <v>2944.2987569350585</v>
      </c>
      <c r="AL87" s="23">
        <f t="shared" ref="AL87" si="1671">($O87*$Q87*$S87)^(1/3)/(AL82*((1-AL$2)*$H82+AL$2*$H83) + AL84*((1-AL$2)*$H84+AL$2*$H85) + AL86*((1-AL$2)*$H86+AL$2*$H87))</f>
        <v>3239.2201683141961</v>
      </c>
      <c r="AM87" s="23">
        <f t="shared" ref="AM87" si="1672">($O87*$Q87*$S87)^(1/3)/(AM82*((1-AM$2)*$H82+AM$2*$H83) + AM84*((1-AM$2)*$H84+AM$2*$H85) + AM86*((1-AM$2)*$H86+AM$2*$H87))</f>
        <v>3944.5755426658757</v>
      </c>
      <c r="AN87" s="23">
        <f t="shared" ref="AN87" si="1673">($O87*$Q87*$S87)^(1/3)/(AN82*((1-AN$2)*$H82+AN$2*$H83) + AN84*((1-AN$2)*$H84+AN$2*$H85) + AN86*((1-AN$2)*$H86+AN$2*$H87))</f>
        <v>1967.6209495641497</v>
      </c>
      <c r="AO87" s="23">
        <f t="shared" ref="AO87" si="1674">($O87*$Q87*$S87)^(1/3)/(AO82*((1-AO$2)*$H82+AO$2*$H83) + AO84*((1-AO$2)*$H84+AO$2*$H85) + AO86*((1-AO$2)*$H86+AO$2*$H87))</f>
        <v>2074.5940304883447</v>
      </c>
      <c r="AP87" s="23">
        <f t="shared" ref="AP87" si="1675">($O87*$Q87*$S87)^(1/3)/(AP82*((1-AP$2)*$H82+AP$2*$H83) + AP84*((1-AP$2)*$H84+AP$2*$H85) + AP86*((1-AP$2)*$H86+AP$2*$H87))</f>
        <v>2209.166902589538</v>
      </c>
      <c r="AQ87" s="23">
        <f t="shared" ref="AQ87" si="1676">($O87*$Q87*$S87)^(1/3)/(AQ82*((1-AQ$2)*$H82+AQ$2*$H83) + AQ84*((1-AQ$2)*$H84+AQ$2*$H85) + AQ86*((1-AQ$2)*$H86+AQ$2*$H87))</f>
        <v>2715.4370015560598</v>
      </c>
      <c r="AR87" s="23">
        <f t="shared" ref="AR87" si="1677">($O87*$Q87*$S87)^(1/3)/(AR82*((1-AR$2)*$H82+AR$2*$H83) + AR84*((1-AR$2)*$H84+AR$2*$H85) + AR86*((1-AR$2)*$H86+AR$2*$H87))</f>
        <v>2615.3416096123756</v>
      </c>
      <c r="AS87" s="23">
        <f t="shared" ref="AS87" si="1678">($O87*$Q87*$S87)^(1/3)/(AS82*((1-AS$2)*$H82+AS$2*$H83) + AS84*((1-AS$2)*$H84+AS$2*$H85) + AS86*((1-AS$2)*$H86+AS$2*$H87))</f>
        <v>3108.8209586544413</v>
      </c>
      <c r="AT87" s="23">
        <f t="shared" ref="AT87" si="1679">($O87*$Q87*$S87)^(1/3)/(AT82*((1-AT$2)*$H82+AT$2*$H83) + AT84*((1-AT$2)*$H84+AT$2*$H85) + AT86*((1-AT$2)*$H86+AT$2*$H87))</f>
        <v>3363.2926648302632</v>
      </c>
      <c r="AU87" s="23">
        <f t="shared" ref="AU87" si="1680">($O87*$Q87*$S87)^(1/3)/(AU82*((1-AU$2)*$H82+AU$2*$H83) + AU84*((1-AU$2)*$H84+AU$2*$H85) + AU86*((1-AU$2)*$H86+AU$2*$H87))</f>
        <v>4015.6683842322182</v>
      </c>
      <c r="AV87" s="23">
        <f t="shared" ref="AV87" si="1681">($O87*$Q87*$S87)^(1/3)/(AV82*((1-AV$2)*$H82+AV$2*$H83) + AV84*((1-AV$2)*$H84+AV$2*$H85) + AV86*((1-AV$2)*$H86+AV$2*$H87))</f>
        <v>2142.6547150161755</v>
      </c>
      <c r="AW87" s="23">
        <f t="shared" ref="AW87" si="1682">($O87*$Q87*$S87)^(1/3)/(AW82*((1-AW$2)*$H82+AW$2*$H83) + AW84*((1-AW$2)*$H84+AW$2*$H85) + AW86*((1-AW$2)*$H86+AW$2*$H87))</f>
        <v>2250.9923531155082</v>
      </c>
      <c r="AX87" s="23">
        <f t="shared" ref="AX87" si="1683">($O87*$Q87*$S87)^(1/3)/(AX82*((1-AX$2)*$H82+AX$2*$H83) + AX84*((1-AX$2)*$H84+AX$2*$H85) + AX86*((1-AX$2)*$H86+AX$2*$H87))</f>
        <v>2386.1764666937902</v>
      </c>
      <c r="AY87" s="23">
        <f t="shared" ref="AY87" si="1684">($O87*$Q87*$S87)^(1/3)/(AY82*((1-AY$2)*$H82+AY$2*$H83) + AY84*((1-AY$2)*$H84+AY$2*$H85) + AY86*((1-AY$2)*$H86+AY$2*$H87))</f>
        <v>2910.0755617850818</v>
      </c>
      <c r="AZ87" s="23">
        <f t="shared" ref="AZ87" si="1685">($O87*$Q87*$S87)^(1/3)/(AZ82*((1-AZ$2)*$H82+AZ$2*$H83) + AZ84*((1-AZ$2)*$H84+AZ$2*$H85) + AZ86*((1-AZ$2)*$H86+AZ$2*$H87))</f>
        <v>2786.8873168499567</v>
      </c>
      <c r="BA87" s="23">
        <f t="shared" ref="BA87" si="1686">($O87*$Q87*$S87)^(1/3)/(BA82*((1-BA$2)*$H82+BA$2*$H83) + BA84*((1-BA$2)*$H84+BA$2*$H85) + BA86*((1-BA$2)*$H86+BA$2*$H87))</f>
        <v>3292.8177867122668</v>
      </c>
      <c r="BB87" s="23">
        <f t="shared" ref="BB87" si="1687">($O87*$Q87*$S87)^(1/3)/(BB82*((1-BB$2)*$H82+BB$2*$H83) + BB84*((1-BB$2)*$H84+BB$2*$H85) + BB86*((1-BB$2)*$H86+BB$2*$H87))</f>
        <v>3497.2484709120972</v>
      </c>
      <c r="BC87" s="23">
        <f t="shared" ref="BC87" si="1688">($O87*$Q87*$S87)^(1/3)/(BC82*((1-BC$2)*$H82+BC$2*$H83) + BC84*((1-BC$2)*$H84+BC$2*$H85) + BC86*((1-BC$2)*$H86+BC$2*$H87))</f>
        <v>4089.3708629194612</v>
      </c>
      <c r="BD87" s="23">
        <f t="shared" ref="BD87" si="1689">($O87*$Q87*$S87)^(1/3)/(BD82*((1-BD$2)*$H82+BD$2*$H83) + BD84*((1-BD$2)*$H84+BD$2*$H85) + BD86*((1-BD$2)*$H86+BD$2*$H87))</f>
        <v>2351.8701585699437</v>
      </c>
      <c r="BE87" s="23">
        <f t="shared" ref="BE87" si="1690">($O87*$Q87*$S87)^(1/3)/(BE82*((1-BE$2)*$H82+BE$2*$H83) + BE84*((1-BE$2)*$H84+BE$2*$H85) + BE86*((1-BE$2)*$H86+BE$2*$H87))</f>
        <v>2460.1758812900352</v>
      </c>
      <c r="BF87" s="23">
        <f t="shared" ref="BF87" si="1691">($O87*$Q87*$S87)^(1/3)/(BF82*((1-BF$2)*$H82+BF$2*$H83) + BF84*((1-BF$2)*$H84+BF$2*$H85) + BF86*((1-BF$2)*$H86+BF$2*$H87))</f>
        <v>2594.022605497255</v>
      </c>
      <c r="BG87" s="23">
        <f t="shared" ref="BG87" si="1692">($O87*$Q87*$S87)^(1/3)/(BG82*((1-BG$2)*$H82+BG$2*$H83) + BG84*((1-BG$2)*$H84+BG$2*$H85) + BG86*((1-BG$2)*$H86+BG$2*$H87))</f>
        <v>3134.7713995075655</v>
      </c>
      <c r="BH87" s="23">
        <f t="shared" ref="BH87" si="1693">($O87*$Q87*$S87)^(1/3)/(BH82*((1-BH$2)*$H82+BH$2*$H83) + BH84*((1-BH$2)*$H84+BH$2*$H85) + BH86*((1-BH$2)*$H86+BH$2*$H87))</f>
        <v>2982.5168108252492</v>
      </c>
      <c r="BI87" s="23">
        <f t="shared" ref="BI87" si="1694">($O87*$Q87*$S87)^(1/3)/(BI82*((1-BI$2)*$H82+BI$2*$H83) + BI84*((1-BI$2)*$H84+BI$2*$H85) + BI86*((1-BI$2)*$H86+BI$2*$H87))</f>
        <v>3499.9646102731972</v>
      </c>
      <c r="BJ87" s="23">
        <f t="shared" ref="BJ87" si="1695">($O87*$Q87*$S87)^(1/3)/(BJ82*((1-BJ$2)*$H82+BJ$2*$H83) + BJ84*((1-BJ$2)*$H84+BJ$2*$H85) + BJ86*((1-BJ$2)*$H86+BJ$2*$H87))</f>
        <v>3642.3174923492284</v>
      </c>
      <c r="BK87" s="23">
        <f t="shared" ref="BK87" si="1696">($O87*$Q87*$S87)^(1/3)/(BK82*((1-BK$2)*$H82+BK$2*$H83) + BK84*((1-BK$2)*$H84+BK$2*$H85) + BK86*((1-BK$2)*$H86+BK$2*$H87))</f>
        <v>4165.8293549740465</v>
      </c>
      <c r="BL87" s="23">
        <f t="shared" ref="BL87" si="1697">($O87*$Q87*$S87)^(1/3)/(BL82*((1-BL$2)*$H82+BL$2*$H83) + BL84*((1-BL$2)*$H84+BL$2*$H85) + BL86*((1-BL$2)*$H86+BL$2*$H87))</f>
        <v>2606.3635712510195</v>
      </c>
      <c r="BM87" s="23">
        <f t="shared" ref="BM87" si="1698">($O87*$Q87*$S87)^(1/3)/(BM82*((1-BM$2)*$H82+BM$2*$H83) + BM84*((1-BM$2)*$H84+BM$2*$H85) + BM86*((1-BM$2)*$H86+BM$2*$H87))</f>
        <v>2712.2211582483237</v>
      </c>
      <c r="BN87" s="23">
        <f t="shared" ref="BN87" si="1699">($O87*$Q87*$S87)^(1/3)/(BN82*((1-BN$2)*$H82+BN$2*$H83) + BN84*((1-BN$2)*$H84+BN$2*$H85) + BN86*((1-BN$2)*$H86+BN$2*$H87))</f>
        <v>2841.532166199956</v>
      </c>
      <c r="BO87" s="23">
        <f t="shared" ref="BO87" si="1700">($O87*$Q87*$S87)^(1/3)/(BO82*((1-BO$2)*$H82+BO$2*$H83) + BO84*((1-BO$2)*$H84+BO$2*$H85) + BO86*((1-BO$2)*$H86+BO$2*$H87))</f>
        <v>3397.0695316373567</v>
      </c>
      <c r="BP87" s="23">
        <f t="shared" ref="BP87" si="1701">($O87*$Q87*$S87)^(1/3)/(BP82*((1-BP$2)*$H82+BP$2*$H83) + BP84*((1-BP$2)*$H84+BP$2*$H85) + BP86*((1-BP$2)*$H86+BP$2*$H87))</f>
        <v>3207.6847772560304</v>
      </c>
      <c r="BQ87" s="23">
        <f t="shared" ref="BQ87" si="1702">($O87*$Q87*$S87)^(1/3)/(BQ82*((1-BQ$2)*$H82+BQ$2*$H83) + BQ84*((1-BQ$2)*$H84+BQ$2*$H85) + BQ86*((1-BQ$2)*$H86+BQ$2*$H87))</f>
        <v>3734.9237359387939</v>
      </c>
      <c r="BR87" s="23">
        <f t="shared" ref="BR87" si="1703">($O87*$Q87*$S87)^(1/3)/(BR82*((1-BR$2)*$H82+BR$2*$H83) + BR84*((1-BR$2)*$H84+BR$2*$H85) + BR86*((1-BR$2)*$H86+BR$2*$H87))</f>
        <v>3799.9425366949908</v>
      </c>
      <c r="BS87" s="23">
        <f t="shared" ref="BS87" si="1704">($O87*$Q87*$S87)^(1/3)/(BS82*((1-BS$2)*$H82+BS$2*$H83) + BS84*((1-BS$2)*$H84+BS$2*$H85) + BS86*((1-BS$2)*$H86+BS$2*$H87))</f>
        <v>4245.2013923378699</v>
      </c>
      <c r="BT87" s="23">
        <f t="shared" ref="BT87" si="1705">($O87*$Q87*$S87)^(1/3)/(BT82*((1-BT$2)*$H82+BT$2*$H83) + BT84*((1-BT$2)*$H84+BT$2*$H85) + BT86*((1-BT$2)*$H86+BT$2*$H87))</f>
        <v>2922.6168916120218</v>
      </c>
      <c r="BU87" s="23">
        <f t="shared" ref="BU87" si="1706">($O87*$Q87*$S87)^(1/3)/(BU82*((1-BU$2)*$H82+BU$2*$H83) + BU84*((1-BU$2)*$H84+BU$2*$H85) + BU86*((1-BU$2)*$H86+BU$2*$H87))</f>
        <v>3021.8054426478911</v>
      </c>
      <c r="BV87" s="23">
        <f t="shared" ref="BV87" si="1707">($O87*$Q87*$S87)^(1/3)/(BV82*((1-BV$2)*$H82+BV$2*$H83) + BV84*((1-BV$2)*$H84+BV$2*$H85) + BV86*((1-BV$2)*$H86+BV$2*$H87))</f>
        <v>3141.2562098139242</v>
      </c>
      <c r="BW87" s="23">
        <f t="shared" ref="BW87" si="1708">($O87*$Q87*$S87)^(1/3)/(BW82*((1-BW$2)*$H82+BW$2*$H83) + BW84*((1-BW$2)*$H84+BW$2*$H85) + BW86*((1-BW$2)*$H86+BW$2*$H87))</f>
        <v>3707.2708494295739</v>
      </c>
      <c r="BX87" s="23">
        <f t="shared" ref="BX87" si="1709">($O87*$Q87*$S87)^(1/3)/(BX82*((1-BX$2)*$H82+BX$2*$H83) + BX84*((1-BX$2)*$H84+BX$2*$H85) + BX86*((1-BX$2)*$H86+BX$2*$H87))</f>
        <v>3469.6276430323528</v>
      </c>
      <c r="BY87" s="23">
        <f t="shared" ref="BY87" si="1710">($O87*$Q87*$S87)^(1/3)/(BY82*((1-BY$2)*$H82+BY$2*$H83) + BY84*((1-BY$2)*$H84+BY$2*$H85) + BY86*((1-BY$2)*$H86+BY$2*$H87))</f>
        <v>4003.6995219400628</v>
      </c>
      <c r="BZ87" s="23">
        <f t="shared" ref="BZ87" si="1711">($O87*$Q87*$S87)^(1/3)/(BZ82*((1-BZ$2)*$H82+BZ$2*$H83) + BZ84*((1-BZ$2)*$H84+BZ$2*$H85) + BZ86*((1-BZ$2)*$H86+BZ$2*$H87))</f>
        <v>3971.8274647898857</v>
      </c>
      <c r="CA87" s="23">
        <f t="shared" ref="CA87" si="1712">($O87*$Q87*$S87)^(1/3)/(CA82*((1-CA$2)*$H82+CA$2*$H83) + CA84*((1-CA$2)*$H84+CA$2*$H85) + CA86*((1-CA$2)*$H86+CA$2*$H87))</f>
        <v>4327.6567460442557</v>
      </c>
      <c r="CB87" s="23">
        <f t="shared" ref="CB87" si="1713">($O87*$Q87*$S87)^(1/3)/(CB82*((1-CB$2)*$H82+CB$2*$H83) + CB84*((1-CB$2)*$H84+CB$2*$H85) + CB86*((1-CB$2)*$H86+CB$2*$H87))</f>
        <v>3326.2163671203489</v>
      </c>
      <c r="CC87" s="23">
        <f t="shared" ref="CC87" si="1714">($O87*$Q87*$S87)^(1/3)/(CC82*((1-CC$2)*$H82+CC$2*$H83) + CC84*((1-CC$2)*$H84+CC$2*$H85) + CC86*((1-CC$2)*$H86+CC$2*$H87))</f>
        <v>3411.1707627839692</v>
      </c>
      <c r="CD87" s="23">
        <f t="shared" ref="CD87" si="1715">($O87*$Q87*$S87)^(1/3)/(CD82*((1-CD$2)*$H82+CD$2*$H83) + CD84*((1-CD$2)*$H84+CD$2*$H85) + CD86*((1-CD$2)*$H86+CD$2*$H87))</f>
        <v>3511.6657638895645</v>
      </c>
      <c r="CE87" s="23">
        <f t="shared" ref="CE87" si="1716">($O87*$Q87*$S87)^(1/3)/(CE82*((1-CE$2)*$H82+CE$2*$H83) + CE84*((1-CE$2)*$H84+CE$2*$H85) + CE86*((1-CE$2)*$H86+CE$2*$H87))</f>
        <v>4079.8168161630356</v>
      </c>
      <c r="CF87" s="23">
        <f t="shared" ref="CF87" si="1717">($O87*$Q87*$S87)^(1/3)/(CF82*((1-CF$2)*$H82+CF$2*$H83) + CF84*((1-CF$2)*$H84+CF$2*$H85) + CF86*((1-CF$2)*$H86+CF$2*$H87))</f>
        <v>3778.1557610086179</v>
      </c>
      <c r="CG87" s="23">
        <f t="shared" ref="CG87" si="1718">($O87*$Q87*$S87)^(1/3)/(CG82*((1-CG$2)*$H82+CG$2*$H83) + CG84*((1-CG$2)*$H84+CG$2*$H85) + CG86*((1-CG$2)*$H86+CG$2*$H87))</f>
        <v>4314.158712218351</v>
      </c>
      <c r="CH87" s="23">
        <f t="shared" ref="CH87" si="1719">($O87*$Q87*$S87)^(1/3)/(CH82*((1-CH$2)*$H82+CH$2*$H83) + CH84*((1-CH$2)*$H84+CH$2*$H85) + CH86*((1-CH$2)*$H86+CH$2*$H87))</f>
        <v>4159.9990298092625</v>
      </c>
      <c r="CI87" s="23">
        <f t="shared" ref="CI87" si="1720">($O87*$Q87*$S87)^(1/3)/(CI82*((1-CI$2)*$H82+CI$2*$H83) + CI84*((1-CI$2)*$H84+CI$2*$H85) + CI86*((1-CI$2)*$H86+CI$2*$H87))</f>
        <v>4413.3786383728648</v>
      </c>
      <c r="CJ87" s="23">
        <f t="shared" ref="CJ87" si="1721">($O87*$Q87*$S87)^(1/3)/(CJ82*((1-CJ$2)*$H82+CJ$2*$H83) + CJ84*((1-CJ$2)*$H84+CJ$2*$H85) + CJ86*((1-CJ$2)*$H86+CJ$2*$H87))</f>
        <v>3859.1460612998521</v>
      </c>
      <c r="CK87" s="23">
        <f t="shared" ref="CK87" si="1722">($O87*$Q87*$S87)^(1/3)/(CK82*((1-CK$2)*$H82+CK$2*$H83) + CK84*((1-CK$2)*$H84+CK$2*$H85) + CK86*((1-CK$2)*$H86+CK$2*$H87))</f>
        <v>3915.7184578034771</v>
      </c>
      <c r="CL87" s="23">
        <f t="shared" ref="CL87" si="1723">($O87*$Q87*$S87)^(1/3)/(CL82*((1-CL$2)*$H82+CL$2*$H83) + CL84*((1-CL$2)*$H84+CL$2*$H85) + CL86*((1-CL$2)*$H86+CL$2*$H87))</f>
        <v>3981.1087577742055</v>
      </c>
      <c r="CM87" s="23">
        <f t="shared" ref="CM87" si="1724">($O87*$Q87*$S87)^(1/3)/(CM82*((1-CM$2)*$H82+CM$2*$H83) + CM84*((1-CM$2)*$H84+CM$2*$H85) + CM86*((1-CM$2)*$H86+CM$2*$H87))</f>
        <v>4535.6023317117833</v>
      </c>
      <c r="CN87" s="23">
        <f t="shared" ref="CN87" si="1725">($O87*$Q87*$S87)^(1/3)/(CN82*((1-CN$2)*$H82+CN$2*$H83) + CN84*((1-CN$2)*$H84+CN$2*$H85) + CN86*((1-CN$2)*$H86+CN$2*$H87))</f>
        <v>4146.9095054338231</v>
      </c>
      <c r="CO87" s="23">
        <f t="shared" ref="CO87" si="1726">($O87*$Q87*$S87)^(1/3)/(CO82*((1-CO$2)*$H82+CO$2*$H83) + CO84*((1-CO$2)*$H84+CO$2*$H85) + CO86*((1-CO$2)*$H86+CO$2*$H87))</f>
        <v>4676.8132107748197</v>
      </c>
      <c r="CP87" s="23">
        <f t="shared" ref="CP87" si="1727">($O87*$Q87*$S87)^(1/3)/(CP82*((1-CP$2)*$H82+CP$2*$H83) + CP84*((1-CP$2)*$H84+CP$2*$H85) + CP86*((1-CP$2)*$H86+CP$2*$H87))</f>
        <v>4366.8871688617</v>
      </c>
      <c r="CQ87" s="23">
        <f t="shared" ref="CQ87" si="1728">($O87*$Q87*$S87)^(1/3)/(CQ82*((1-CQ$2)*$H82+CQ$2*$H83) + CQ84*((1-CQ$2)*$H84+CQ$2*$H85) + CQ86*((1-CQ$2)*$H86+CQ$2*$H87))</f>
        <v>4502.5651019774596</v>
      </c>
      <c r="CS87" s="2">
        <f t="shared" ref="CS87" si="1729">100*$AF87/AF87</f>
        <v>100</v>
      </c>
      <c r="CT87" s="2">
        <f t="shared" ref="CT87" si="1730">100*$AF87/AG87</f>
        <v>94.552083333333314</v>
      </c>
      <c r="CU87" s="2">
        <f t="shared" ref="CU87" si="1731">100*$AF87/AH87</f>
        <v>88.447916666666657</v>
      </c>
      <c r="CV87" s="2">
        <f t="shared" ref="CV87" si="1732">100*$AF87/AI87</f>
        <v>71.46875</v>
      </c>
      <c r="CW87" s="2">
        <f t="shared" ref="CW87" si="1733">100*$AF87/AJ87</f>
        <v>73.833333333333314</v>
      </c>
      <c r="CX87" s="2">
        <f t="shared" ref="CX87" si="1734">100*$AF87/AK87</f>
        <v>61.781249999999993</v>
      </c>
      <c r="CY87" s="2">
        <f t="shared" ref="CY87" si="1735">100*$AF87/AL87</f>
        <v>56.156249999999993</v>
      </c>
      <c r="CZ87" s="2">
        <f t="shared" ref="CZ87" si="1736">100*$AF87/AM87</f>
        <v>46.114583333333329</v>
      </c>
      <c r="DA87" s="2">
        <f t="shared" ref="DA87" si="1737">100*$AF87/AN87</f>
        <v>92.447916666666671</v>
      </c>
      <c r="DB87" s="2">
        <f t="shared" ref="DB87" si="1738">100*$AF87/AO87</f>
        <v>87.680989583333329</v>
      </c>
      <c r="DC87" s="2">
        <f t="shared" ref="DC87" si="1739">100*$AF87/AP87</f>
        <v>82.339843750000014</v>
      </c>
      <c r="DD87" s="2">
        <f t="shared" ref="DD87" si="1740">100*$AF87/AQ87</f>
        <v>66.988281250000014</v>
      </c>
      <c r="DE87" s="2">
        <f t="shared" ref="DE87" si="1741">100*$AF87/AR87</f>
        <v>69.552083333333329</v>
      </c>
      <c r="DF87" s="2">
        <f t="shared" ref="DF87" si="1742">100*$AF87/AS87</f>
        <v>58.51171875</v>
      </c>
      <c r="DG87" s="2">
        <f t="shared" ref="DG87" si="1743">100*$AF87/AT87</f>
        <v>54.084635416666664</v>
      </c>
      <c r="DH87" s="2">
        <f t="shared" ref="DH87" si="1744">100*$AF87/AU87</f>
        <v>45.298177083333336</v>
      </c>
      <c r="DI87" s="2">
        <f t="shared" ref="DI87" si="1745">100*$AF87/AV87</f>
        <v>84.895833333333329</v>
      </c>
      <c r="DJ87" s="2">
        <f t="shared" ref="DJ87" si="1746">100*$AF87/AW87</f>
        <v>80.809895833333314</v>
      </c>
      <c r="DK87" s="2">
        <f t="shared" ref="DK87" si="1747">100*$AF87/AX87</f>
        <v>76.231770833333329</v>
      </c>
      <c r="DL87" s="2">
        <f t="shared" ref="DL87" si="1748">100*$AF87/AY87</f>
        <v>62.5078125</v>
      </c>
      <c r="DM87" s="2">
        <f t="shared" ref="DM87" si="1749">100*$AF87/AZ87</f>
        <v>65.270833333333329</v>
      </c>
      <c r="DN87" s="2">
        <f t="shared" ref="DN87" si="1750">100*$AF87/BA87</f>
        <v>55.2421875</v>
      </c>
      <c r="DO87" s="2">
        <f t="shared" ref="DO87" si="1751">100*$AF87/BB87</f>
        <v>52.013020833333336</v>
      </c>
      <c r="DP87" s="2">
        <f t="shared" ref="DP87" si="1752">100*$AF87/BC87</f>
        <v>44.481770833333336</v>
      </c>
      <c r="DQ87" s="2">
        <f t="shared" ref="DQ87" si="1753">100*$AF87/BD87</f>
        <v>77.343749999999986</v>
      </c>
      <c r="DR87" s="2">
        <f t="shared" ref="DR87" si="1754">100*$AF87/BE87</f>
        <v>73.938802083333329</v>
      </c>
      <c r="DS87" s="2">
        <f t="shared" ref="DS87" si="1755">100*$AF87/BF87</f>
        <v>70.123697916666657</v>
      </c>
      <c r="DT87" s="2">
        <f t="shared" ref="DT87" si="1756">100*$AF87/BG87</f>
        <v>58.027343749999993</v>
      </c>
      <c r="DU87" s="2">
        <f t="shared" ref="DU87" si="1757">100*$AF87/BH87</f>
        <v>60.989583333333314</v>
      </c>
      <c r="DV87" s="2">
        <f t="shared" ref="DV87" si="1758">100*$AF87/BI87</f>
        <v>51.972656249999986</v>
      </c>
      <c r="DW87" s="2">
        <f t="shared" ref="DW87" si="1759">100*$AF87/BJ87</f>
        <v>49.941406249999993</v>
      </c>
      <c r="DX87" s="2">
        <f t="shared" ref="DX87" si="1760">100*$AF87/BK87</f>
        <v>43.665364583333329</v>
      </c>
      <c r="DY87" s="2">
        <f t="shared" ref="DY87" si="1761">100*$AF87/BL87</f>
        <v>69.791666666666657</v>
      </c>
      <c r="DZ87" s="2">
        <f t="shared" ref="DZ87" si="1762">100*$AF87/BM87</f>
        <v>67.067708333333329</v>
      </c>
      <c r="EA87" s="2">
        <f t="shared" ref="EA87" si="1763">100*$AF87/BN87</f>
        <v>64.015625</v>
      </c>
      <c r="EB87" s="2">
        <f t="shared" ref="EB87" si="1764">100*$AF87/BO87</f>
        <v>53.546874999999993</v>
      </c>
      <c r="EC87" s="2">
        <f t="shared" ref="EC87" si="1765">100*$AF87/BP87</f>
        <v>56.708333333333336</v>
      </c>
      <c r="ED87" s="2">
        <f t="shared" ref="ED87" si="1766">100*$AF87/BQ87</f>
        <v>48.703124999999993</v>
      </c>
      <c r="EE87" s="2">
        <f t="shared" ref="EE87" si="1767">100*$AF87/BR87</f>
        <v>47.869791666666664</v>
      </c>
      <c r="EF87" s="2">
        <f t="shared" ref="EF87" si="1768">100*$AF87/BS87</f>
        <v>42.848958333333336</v>
      </c>
      <c r="EG87" s="2">
        <f t="shared" ref="EG87" si="1769">100*$AF87/BT87</f>
        <v>62.239583333333329</v>
      </c>
      <c r="EH87" s="2">
        <f t="shared" ref="EH87" si="1770">100*$AF87/BU87</f>
        <v>60.196614583333321</v>
      </c>
      <c r="EI87" s="2">
        <f t="shared" ref="EI87" si="1771">100*$AF87/BV87</f>
        <v>57.907552083333329</v>
      </c>
      <c r="EJ87" s="2">
        <f t="shared" ref="EJ87" si="1772">100*$AF87/BW87</f>
        <v>49.06640625</v>
      </c>
      <c r="EK87" s="2">
        <f t="shared" ref="EK87" si="1773">100*$AF87/BX87</f>
        <v>52.427083333333329</v>
      </c>
      <c r="EL87" s="2">
        <f t="shared" ref="EL87" si="1774">100*$AF87/BY87</f>
        <v>45.433593750000007</v>
      </c>
      <c r="EM87" s="2">
        <f t="shared" ref="EM87" si="1775">100*$AF87/BZ87</f>
        <v>45.798177083333329</v>
      </c>
      <c r="EN87" s="2">
        <f t="shared" ref="EN87" si="1776">100*$AF87/CA87</f>
        <v>42.032552083333336</v>
      </c>
      <c r="EO87" s="2">
        <f t="shared" ref="EO87" si="1777">100*$AF87/CB87</f>
        <v>54.687499999999993</v>
      </c>
      <c r="EP87" s="2">
        <f t="shared" ref="EP87" si="1778">100*$AF87/CC87</f>
        <v>53.325520833333321</v>
      </c>
      <c r="EQ87" s="2">
        <f t="shared" ref="EQ87" si="1779">100*$AF87/CD87</f>
        <v>51.799479166666657</v>
      </c>
      <c r="ER87" s="2">
        <f t="shared" ref="ER87" si="1780">100*$AF87/CE87</f>
        <v>44.585937499999993</v>
      </c>
      <c r="ES87" s="2">
        <f t="shared" ref="ES87" si="1781">100*$AF87/CF87</f>
        <v>48.145833333333329</v>
      </c>
      <c r="ET87" s="2">
        <f t="shared" ref="ET87" si="1782">100*$AF87/CG87</f>
        <v>42.1640625</v>
      </c>
      <c r="EU87" s="2">
        <f t="shared" ref="EU87" si="1783">100*$AF87/CH87</f>
        <v>43.726562499999993</v>
      </c>
      <c r="EV87" s="2">
        <f t="shared" ref="EV87" si="1784">100*$AF87/CI87</f>
        <v>41.216145833333329</v>
      </c>
      <c r="EW87" s="2">
        <f t="shared" ref="EW87" si="1785">100*$AF87/CJ87</f>
        <v>47.135416666666664</v>
      </c>
      <c r="EX87" s="2">
        <f t="shared" ref="EX87" si="1786">100*$AF87/CK87</f>
        <v>46.454427083333329</v>
      </c>
      <c r="EY87" s="2">
        <f t="shared" ref="EY87" si="1787">100*$AF87/CL87</f>
        <v>45.69140625</v>
      </c>
      <c r="EZ87" s="2">
        <f t="shared" ref="EZ87" si="1788">100*$AF87/CM87</f>
        <v>40.10546875</v>
      </c>
      <c r="FA87" s="2">
        <f t="shared" ref="FA87" si="1789">100*$AF87/CN87</f>
        <v>43.864583333333336</v>
      </c>
      <c r="FB87" s="2">
        <f t="shared" ref="FB87" si="1790">100*$AF87/CO87</f>
        <v>38.89453125</v>
      </c>
      <c r="FC87" s="2">
        <f t="shared" ref="FC87" si="1791">100*$AF87/CP87</f>
        <v>41.654947916666664</v>
      </c>
      <c r="FD87" s="2">
        <f t="shared" ref="FD87" si="1792">100*$AF87/CQ87</f>
        <v>40.399739583333336</v>
      </c>
    </row>
    <row r="88" spans="3:160" x14ac:dyDescent="0.4">
      <c r="C88" s="1" t="s">
        <v>24</v>
      </c>
      <c r="D88" s="1" t="s">
        <v>5</v>
      </c>
      <c r="E88" s="1">
        <v>0.28899999999999998</v>
      </c>
      <c r="F88" s="1">
        <v>0.18</v>
      </c>
      <c r="G88" s="1">
        <v>0.108</v>
      </c>
      <c r="H88" s="1">
        <v>4.8000000000000001E-2</v>
      </c>
      <c r="I88" s="1">
        <v>4305</v>
      </c>
      <c r="J88" s="1">
        <v>4005</v>
      </c>
      <c r="K88" s="1">
        <v>56</v>
      </c>
      <c r="L88" s="1">
        <v>5114</v>
      </c>
      <c r="M88" s="1">
        <v>5959</v>
      </c>
      <c r="N88" s="1">
        <v>72</v>
      </c>
      <c r="O88" s="1">
        <v>86</v>
      </c>
      <c r="P88" s="1">
        <v>87.5</v>
      </c>
      <c r="Q88" s="1">
        <v>90</v>
      </c>
      <c r="R88" s="1">
        <v>50</v>
      </c>
      <c r="S88" s="1">
        <v>86</v>
      </c>
      <c r="T88" s="4">
        <v>0</v>
      </c>
      <c r="U88" s="1">
        <v>2.0640000000000001</v>
      </c>
      <c r="V88" s="1">
        <v>5.8000000000000003E-2</v>
      </c>
      <c r="W88" s="1">
        <v>4.0199999999999996</v>
      </c>
      <c r="X88" s="1">
        <f t="shared" ref="X88" si="1793">H89</f>
        <v>1.9E-2</v>
      </c>
      <c r="Y88" s="1">
        <f t="shared" ref="Y88" si="1794">H90</f>
        <v>4.3999999999999997E-2</v>
      </c>
      <c r="Z88" s="1">
        <f t="shared" ref="Z88" si="1795">H91</f>
        <v>0.02</v>
      </c>
      <c r="AA88" s="1">
        <f t="shared" ref="AA88" si="1796">H92</f>
        <v>1.7999999999999999E-2</v>
      </c>
      <c r="AB88" s="1">
        <f t="shared" ref="AB88" si="1797">H93</f>
        <v>0.02</v>
      </c>
      <c r="AC88" s="1">
        <f t="shared" si="1193"/>
        <v>4421.4801689788155</v>
      </c>
      <c r="AE88" s="1" t="s">
        <v>96</v>
      </c>
      <c r="AF88" s="1">
        <v>1</v>
      </c>
      <c r="AG88" s="1">
        <v>0.81499999999999995</v>
      </c>
      <c r="AH88" s="1">
        <v>0.64500000000000002</v>
      </c>
      <c r="AI88" s="1">
        <v>0.39500000000000002</v>
      </c>
      <c r="AJ88" s="1">
        <v>0.36</v>
      </c>
      <c r="AK88" s="1">
        <v>0.245</v>
      </c>
      <c r="AL88" s="1">
        <v>0.14499999999999999</v>
      </c>
      <c r="AM88" s="20">
        <v>6.5000000000000002E-2</v>
      </c>
      <c r="AN88" s="1">
        <v>1</v>
      </c>
      <c r="AO88" s="1">
        <v>0.81499999999999995</v>
      </c>
      <c r="AP88" s="1">
        <v>0.64500000000000002</v>
      </c>
      <c r="AQ88" s="1">
        <v>0.39500000000000002</v>
      </c>
      <c r="AR88" s="1">
        <v>0.36</v>
      </c>
      <c r="AS88" s="1">
        <v>0.245</v>
      </c>
      <c r="AT88" s="1">
        <v>0.14499999999999999</v>
      </c>
      <c r="AU88" s="20">
        <v>6.5000000000000002E-2</v>
      </c>
      <c r="AV88" s="1">
        <v>1</v>
      </c>
      <c r="AW88" s="1">
        <v>0.81499999999999995</v>
      </c>
      <c r="AX88" s="1">
        <v>0.64500000000000002</v>
      </c>
      <c r="AY88" s="1">
        <v>0.39500000000000002</v>
      </c>
      <c r="AZ88" s="1">
        <v>0.36</v>
      </c>
      <c r="BA88" s="1">
        <v>0.245</v>
      </c>
      <c r="BB88" s="1">
        <v>0.14499999999999999</v>
      </c>
      <c r="BC88" s="20">
        <v>6.5000000000000002E-2</v>
      </c>
      <c r="BD88" s="1">
        <v>1</v>
      </c>
      <c r="BE88" s="1">
        <v>0.81499999999999995</v>
      </c>
      <c r="BF88" s="1">
        <v>0.64500000000000002</v>
      </c>
      <c r="BG88" s="1">
        <v>0.39500000000000002</v>
      </c>
      <c r="BH88" s="1">
        <v>0.36</v>
      </c>
      <c r="BI88" s="1">
        <v>0.245</v>
      </c>
      <c r="BJ88" s="1">
        <v>0.14499999999999999</v>
      </c>
      <c r="BK88" s="20">
        <v>6.5000000000000002E-2</v>
      </c>
      <c r="BL88" s="1">
        <v>1</v>
      </c>
      <c r="BM88" s="1">
        <v>0.81499999999999995</v>
      </c>
      <c r="BN88" s="1">
        <v>0.64500000000000002</v>
      </c>
      <c r="BO88" s="1">
        <v>0.39500000000000002</v>
      </c>
      <c r="BP88" s="1">
        <v>0.36</v>
      </c>
      <c r="BQ88" s="1">
        <v>0.245</v>
      </c>
      <c r="BR88" s="1">
        <v>0.14499999999999999</v>
      </c>
      <c r="BS88" s="20">
        <v>6.5000000000000002E-2</v>
      </c>
      <c r="BT88" s="1">
        <v>1</v>
      </c>
      <c r="BU88" s="1">
        <v>0.81499999999999995</v>
      </c>
      <c r="BV88" s="1">
        <v>0.64500000000000002</v>
      </c>
      <c r="BW88" s="1">
        <v>0.39500000000000002</v>
      </c>
      <c r="BX88" s="1">
        <v>0.36</v>
      </c>
      <c r="BY88" s="1">
        <v>0.245</v>
      </c>
      <c r="BZ88" s="1">
        <v>0.14499999999999999</v>
      </c>
      <c r="CA88" s="20">
        <v>6.5000000000000002E-2</v>
      </c>
      <c r="CB88" s="1">
        <v>1</v>
      </c>
      <c r="CC88" s="1">
        <v>0.81499999999999995</v>
      </c>
      <c r="CD88" s="1">
        <v>0.64500000000000002</v>
      </c>
      <c r="CE88" s="1">
        <v>0.39500000000000002</v>
      </c>
      <c r="CF88" s="1">
        <v>0.36</v>
      </c>
      <c r="CG88" s="1">
        <v>0.245</v>
      </c>
      <c r="CH88" s="1">
        <v>0.14499999999999999</v>
      </c>
      <c r="CI88" s="20">
        <v>6.5000000000000002E-2</v>
      </c>
      <c r="CJ88" s="1">
        <v>1</v>
      </c>
      <c r="CK88" s="1">
        <v>0.81499999999999995</v>
      </c>
      <c r="CL88" s="1">
        <v>0.64500000000000002</v>
      </c>
      <c r="CM88" s="1">
        <v>0.39500000000000002</v>
      </c>
      <c r="CN88" s="1">
        <v>0.36</v>
      </c>
      <c r="CO88" s="1">
        <v>0.245</v>
      </c>
      <c r="CP88" s="1">
        <v>0.14499999999999999</v>
      </c>
      <c r="CQ88" s="20">
        <v>6.5000000000000002E-2</v>
      </c>
    </row>
    <row r="89" spans="3:160" x14ac:dyDescent="0.4">
      <c r="C89" s="1" t="s">
        <v>24</v>
      </c>
      <c r="D89" s="1" t="s">
        <v>6</v>
      </c>
      <c r="E89" s="1">
        <v>0.252</v>
      </c>
      <c r="F89" s="1">
        <v>0.14399999999999999</v>
      </c>
      <c r="G89" s="1">
        <v>0.108</v>
      </c>
      <c r="H89" s="1">
        <v>1.9E-2</v>
      </c>
      <c r="I89" s="1">
        <v>4305</v>
      </c>
      <c r="J89" s="1">
        <v>4005</v>
      </c>
      <c r="K89" s="1">
        <v>56</v>
      </c>
      <c r="L89" s="1">
        <v>5114</v>
      </c>
      <c r="M89" s="1">
        <v>5959</v>
      </c>
      <c r="N89" s="1">
        <v>72</v>
      </c>
      <c r="O89" s="1">
        <v>86</v>
      </c>
      <c r="P89" s="1">
        <v>87.5</v>
      </c>
      <c r="Q89" s="1">
        <v>90</v>
      </c>
      <c r="R89" s="1">
        <v>50</v>
      </c>
      <c r="S89" s="1">
        <v>86</v>
      </c>
      <c r="T89" s="4">
        <v>0</v>
      </c>
      <c r="U89" s="1">
        <v>2.0640000000000001</v>
      </c>
      <c r="V89" s="1">
        <v>5.8000000000000003E-2</v>
      </c>
      <c r="W89" s="1">
        <v>4.0199999999999996</v>
      </c>
      <c r="X89" s="1">
        <f t="shared" ref="X89" si="1798">H89</f>
        <v>1.9E-2</v>
      </c>
      <c r="Y89" s="1">
        <f t="shared" ref="Y89" si="1799">H90</f>
        <v>4.3999999999999997E-2</v>
      </c>
      <c r="Z89" s="1">
        <f t="shared" ref="Z89" si="1800">H91</f>
        <v>0.02</v>
      </c>
      <c r="AA89" s="1">
        <f t="shared" ref="AA89" si="1801">H92</f>
        <v>1.7999999999999999E-2</v>
      </c>
      <c r="AB89" s="1">
        <f t="shared" ref="AB89" si="1802">H93</f>
        <v>0.02</v>
      </c>
      <c r="AC89" s="1">
        <f t="shared" si="1193"/>
        <v>4421.4801689788155</v>
      </c>
      <c r="CQ89" s="20"/>
    </row>
    <row r="90" spans="3:160" x14ac:dyDescent="0.4">
      <c r="C90" s="1" t="s">
        <v>24</v>
      </c>
      <c r="D90" s="1" t="s">
        <v>7</v>
      </c>
      <c r="E90" s="1">
        <v>0.28499999999999998</v>
      </c>
      <c r="F90" s="1">
        <v>0.17599999999999999</v>
      </c>
      <c r="G90" s="1">
        <v>0.108</v>
      </c>
      <c r="H90" s="1">
        <v>4.3999999999999997E-2</v>
      </c>
      <c r="I90" s="1">
        <v>4305</v>
      </c>
      <c r="J90" s="1">
        <v>4005</v>
      </c>
      <c r="K90" s="1">
        <v>56</v>
      </c>
      <c r="L90" s="1">
        <v>5114</v>
      </c>
      <c r="M90" s="1">
        <v>5959</v>
      </c>
      <c r="N90" s="1">
        <v>72</v>
      </c>
      <c r="O90" s="1">
        <v>86</v>
      </c>
      <c r="P90" s="1">
        <v>87.5</v>
      </c>
      <c r="Q90" s="1">
        <v>90</v>
      </c>
      <c r="R90" s="1">
        <v>50</v>
      </c>
      <c r="S90" s="1">
        <v>86</v>
      </c>
      <c r="T90" s="4">
        <v>0</v>
      </c>
      <c r="U90" s="1">
        <v>2.0640000000000001</v>
      </c>
      <c r="V90" s="1">
        <v>5.8000000000000003E-2</v>
      </c>
      <c r="W90" s="1">
        <v>4.0199999999999996</v>
      </c>
      <c r="X90" s="1">
        <f t="shared" ref="X90" si="1803">H89</f>
        <v>1.9E-2</v>
      </c>
      <c r="Y90" s="1">
        <f t="shared" ref="Y90" si="1804">H90</f>
        <v>4.3999999999999997E-2</v>
      </c>
      <c r="Z90" s="1">
        <f t="shared" ref="Z90" si="1805">H91</f>
        <v>0.02</v>
      </c>
      <c r="AA90" s="1">
        <f t="shared" ref="AA90" si="1806">H92</f>
        <v>1.7999999999999999E-2</v>
      </c>
      <c r="AB90" s="1">
        <f t="shared" ref="AB90" si="1807">H93</f>
        <v>0.02</v>
      </c>
      <c r="AC90" s="1">
        <f t="shared" si="1193"/>
        <v>4421.4801689788155</v>
      </c>
      <c r="AE90" s="1" t="s">
        <v>97</v>
      </c>
      <c r="AF90" s="1">
        <v>0</v>
      </c>
      <c r="AG90" s="1">
        <v>0.12</v>
      </c>
      <c r="AH90" s="1">
        <v>0.21</v>
      </c>
      <c r="AI90" s="1">
        <v>0.26</v>
      </c>
      <c r="AJ90" s="1">
        <v>0.28000000000000003</v>
      </c>
      <c r="AK90" s="1">
        <v>0.26</v>
      </c>
      <c r="AL90" s="1">
        <v>0.21</v>
      </c>
      <c r="AM90" s="20">
        <v>0.12</v>
      </c>
      <c r="AN90" s="1">
        <v>0</v>
      </c>
      <c r="AO90" s="1">
        <v>0.12</v>
      </c>
      <c r="AP90" s="1">
        <v>0.21</v>
      </c>
      <c r="AQ90" s="1">
        <v>0.26</v>
      </c>
      <c r="AR90" s="1">
        <v>0.28000000000000003</v>
      </c>
      <c r="AS90" s="1">
        <v>0.26</v>
      </c>
      <c r="AT90" s="1">
        <v>0.21</v>
      </c>
      <c r="AU90" s="20">
        <v>0.12</v>
      </c>
      <c r="AV90" s="1">
        <v>0</v>
      </c>
      <c r="AW90" s="1">
        <v>0.12</v>
      </c>
      <c r="AX90" s="1">
        <v>0.21</v>
      </c>
      <c r="AY90" s="1">
        <v>0.26</v>
      </c>
      <c r="AZ90" s="1">
        <v>0.28000000000000003</v>
      </c>
      <c r="BA90" s="1">
        <v>0.26</v>
      </c>
      <c r="BB90" s="1">
        <v>0.21</v>
      </c>
      <c r="BC90" s="20">
        <v>0.12</v>
      </c>
      <c r="BD90" s="1">
        <v>0</v>
      </c>
      <c r="BE90" s="1">
        <v>0.12</v>
      </c>
      <c r="BF90" s="1">
        <v>0.21</v>
      </c>
      <c r="BG90" s="1">
        <v>0.26</v>
      </c>
      <c r="BH90" s="1">
        <v>0.28000000000000003</v>
      </c>
      <c r="BI90" s="1">
        <v>0.26</v>
      </c>
      <c r="BJ90" s="1">
        <v>0.21</v>
      </c>
      <c r="BK90" s="20">
        <v>0.12</v>
      </c>
      <c r="BL90" s="1">
        <v>0</v>
      </c>
      <c r="BM90" s="1">
        <v>0.12</v>
      </c>
      <c r="BN90" s="1">
        <v>0.21</v>
      </c>
      <c r="BO90" s="1">
        <v>0.26</v>
      </c>
      <c r="BP90" s="1">
        <v>0.28000000000000003</v>
      </c>
      <c r="BQ90" s="1">
        <v>0.26</v>
      </c>
      <c r="BR90" s="1">
        <v>0.21</v>
      </c>
      <c r="BS90" s="20">
        <v>0.12</v>
      </c>
      <c r="BT90" s="1">
        <v>0</v>
      </c>
      <c r="BU90" s="1">
        <v>0.12</v>
      </c>
      <c r="BV90" s="1">
        <v>0.21</v>
      </c>
      <c r="BW90" s="1">
        <v>0.26</v>
      </c>
      <c r="BX90" s="1">
        <v>0.28000000000000003</v>
      </c>
      <c r="BY90" s="1">
        <v>0.26</v>
      </c>
      <c r="BZ90" s="1">
        <v>0.21</v>
      </c>
      <c r="CA90" s="20">
        <v>0.12</v>
      </c>
      <c r="CB90" s="1">
        <v>0</v>
      </c>
      <c r="CC90" s="1">
        <v>0.12</v>
      </c>
      <c r="CD90" s="1">
        <v>0.21</v>
      </c>
      <c r="CE90" s="1">
        <v>0.26</v>
      </c>
      <c r="CF90" s="1">
        <v>0.28000000000000003</v>
      </c>
      <c r="CG90" s="1">
        <v>0.26</v>
      </c>
      <c r="CH90" s="1">
        <v>0.21</v>
      </c>
      <c r="CI90" s="20">
        <v>0.12</v>
      </c>
      <c r="CJ90" s="1">
        <v>0</v>
      </c>
      <c r="CK90" s="1">
        <v>0.12</v>
      </c>
      <c r="CL90" s="1">
        <v>0.21</v>
      </c>
      <c r="CM90" s="1">
        <v>0.26</v>
      </c>
      <c r="CN90" s="1">
        <v>0.28000000000000003</v>
      </c>
      <c r="CO90" s="1">
        <v>0.26</v>
      </c>
      <c r="CP90" s="1">
        <v>0.21</v>
      </c>
      <c r="CQ90" s="20">
        <v>0.12</v>
      </c>
    </row>
    <row r="91" spans="3:160" x14ac:dyDescent="0.4">
      <c r="C91" s="1" t="s">
        <v>24</v>
      </c>
      <c r="D91" s="1" t="s">
        <v>8</v>
      </c>
      <c r="E91" s="1">
        <v>0.253</v>
      </c>
      <c r="F91" s="1">
        <v>0.14499999999999999</v>
      </c>
      <c r="G91" s="1">
        <v>0.108</v>
      </c>
      <c r="H91" s="1">
        <v>0.02</v>
      </c>
      <c r="I91" s="1">
        <v>4305</v>
      </c>
      <c r="J91" s="1">
        <v>4005</v>
      </c>
      <c r="K91" s="1">
        <v>56</v>
      </c>
      <c r="L91" s="1">
        <v>5114</v>
      </c>
      <c r="M91" s="1">
        <v>5959</v>
      </c>
      <c r="N91" s="1">
        <v>72</v>
      </c>
      <c r="O91" s="1">
        <v>86</v>
      </c>
      <c r="P91" s="1">
        <v>87.5</v>
      </c>
      <c r="Q91" s="1">
        <v>90</v>
      </c>
      <c r="R91" s="1">
        <v>50</v>
      </c>
      <c r="S91" s="1">
        <v>86</v>
      </c>
      <c r="T91" s="4">
        <v>0</v>
      </c>
      <c r="U91" s="1">
        <v>2.0640000000000001</v>
      </c>
      <c r="V91" s="1">
        <v>5.8000000000000003E-2</v>
      </c>
      <c r="W91" s="1">
        <v>4.0199999999999996</v>
      </c>
      <c r="X91" s="1">
        <f t="shared" ref="X91" si="1808">H89</f>
        <v>1.9E-2</v>
      </c>
      <c r="Y91" s="1">
        <f t="shared" ref="Y91" si="1809">H90</f>
        <v>4.3999999999999997E-2</v>
      </c>
      <c r="Z91" s="1">
        <f t="shared" ref="Z91" si="1810">H91</f>
        <v>0.02</v>
      </c>
      <c r="AA91" s="1">
        <f t="shared" ref="AA91" si="1811">H92</f>
        <v>1.7999999999999999E-2</v>
      </c>
      <c r="AB91" s="1">
        <f t="shared" ref="AB91" si="1812">H93</f>
        <v>0.02</v>
      </c>
      <c r="AC91" s="1">
        <f t="shared" si="1193"/>
        <v>4421.4801689788155</v>
      </c>
      <c r="CQ91" s="20"/>
    </row>
    <row r="92" spans="3:160" x14ac:dyDescent="0.4">
      <c r="C92" s="1" t="s">
        <v>24</v>
      </c>
      <c r="D92" s="1" t="s">
        <v>9</v>
      </c>
      <c r="E92" s="1">
        <v>0.25</v>
      </c>
      <c r="F92" s="1">
        <v>0.14299999999999999</v>
      </c>
      <c r="G92" s="1">
        <v>0.108</v>
      </c>
      <c r="H92" s="1">
        <v>1.7999999999999999E-2</v>
      </c>
      <c r="I92" s="1">
        <v>4305</v>
      </c>
      <c r="J92" s="1">
        <v>4005</v>
      </c>
      <c r="K92" s="1">
        <v>56</v>
      </c>
      <c r="L92" s="1">
        <v>5114</v>
      </c>
      <c r="M92" s="1">
        <v>5959</v>
      </c>
      <c r="N92" s="1">
        <v>72</v>
      </c>
      <c r="O92" s="1">
        <v>86</v>
      </c>
      <c r="P92" s="1">
        <v>87.5</v>
      </c>
      <c r="Q92" s="1">
        <v>90</v>
      </c>
      <c r="R92" s="1">
        <v>50</v>
      </c>
      <c r="S92" s="1">
        <v>86</v>
      </c>
      <c r="T92" s="4">
        <v>0</v>
      </c>
      <c r="U92" s="1">
        <v>2.0640000000000001</v>
      </c>
      <c r="V92" s="1">
        <v>5.8000000000000003E-2</v>
      </c>
      <c r="W92" s="1">
        <v>4.0199999999999996</v>
      </c>
      <c r="X92" s="1">
        <f t="shared" ref="X92" si="1813">H89</f>
        <v>1.9E-2</v>
      </c>
      <c r="Y92" s="1">
        <f t="shared" ref="Y92" si="1814">H90</f>
        <v>4.3999999999999997E-2</v>
      </c>
      <c r="Z92" s="1">
        <f t="shared" ref="Z92" si="1815">H91</f>
        <v>0.02</v>
      </c>
      <c r="AA92" s="1">
        <f t="shared" ref="AA92" si="1816">H92</f>
        <v>1.7999999999999999E-2</v>
      </c>
      <c r="AB92" s="1">
        <f t="shared" ref="AB92" si="1817">H93</f>
        <v>0.02</v>
      </c>
      <c r="AC92" s="1">
        <f t="shared" si="1193"/>
        <v>4421.4801689788155</v>
      </c>
      <c r="AE92" s="1" t="s">
        <v>98</v>
      </c>
      <c r="AF92" s="1">
        <v>0</v>
      </c>
      <c r="AG92" s="1">
        <v>6.5000000000000002E-2</v>
      </c>
      <c r="AH92" s="1">
        <v>0.14499999999999999</v>
      </c>
      <c r="AI92" s="1">
        <v>0.245</v>
      </c>
      <c r="AJ92" s="1">
        <v>0.36</v>
      </c>
      <c r="AK92" s="1">
        <v>0.39500000000000002</v>
      </c>
      <c r="AL92" s="1">
        <v>0.64500000000000002</v>
      </c>
      <c r="AM92" s="20">
        <v>0.81499999999999995</v>
      </c>
      <c r="AN92" s="1">
        <v>0</v>
      </c>
      <c r="AO92" s="1">
        <v>6.5000000000000002E-2</v>
      </c>
      <c r="AP92" s="1">
        <v>0.14499999999999999</v>
      </c>
      <c r="AQ92" s="1">
        <v>0.245</v>
      </c>
      <c r="AR92" s="1">
        <v>0.36</v>
      </c>
      <c r="AS92" s="1">
        <v>0.39500000000000002</v>
      </c>
      <c r="AT92" s="1">
        <v>0.64500000000000002</v>
      </c>
      <c r="AU92" s="20">
        <v>0.81499999999999995</v>
      </c>
      <c r="AV92" s="1">
        <v>0</v>
      </c>
      <c r="AW92" s="1">
        <v>6.5000000000000002E-2</v>
      </c>
      <c r="AX92" s="1">
        <v>0.14499999999999999</v>
      </c>
      <c r="AY92" s="1">
        <v>0.245</v>
      </c>
      <c r="AZ92" s="1">
        <v>0.36</v>
      </c>
      <c r="BA92" s="1">
        <v>0.39500000000000002</v>
      </c>
      <c r="BB92" s="1">
        <v>0.64500000000000002</v>
      </c>
      <c r="BC92" s="20">
        <v>0.81499999999999995</v>
      </c>
      <c r="BD92" s="1">
        <v>0</v>
      </c>
      <c r="BE92" s="1">
        <v>6.5000000000000002E-2</v>
      </c>
      <c r="BF92" s="1">
        <v>0.14499999999999999</v>
      </c>
      <c r="BG92" s="1">
        <v>0.245</v>
      </c>
      <c r="BH92" s="1">
        <v>0.36</v>
      </c>
      <c r="BI92" s="1">
        <v>0.39500000000000002</v>
      </c>
      <c r="BJ92" s="1">
        <v>0.64500000000000002</v>
      </c>
      <c r="BK92" s="20">
        <v>0.81499999999999995</v>
      </c>
      <c r="BL92" s="1">
        <v>0</v>
      </c>
      <c r="BM92" s="1">
        <v>6.5000000000000002E-2</v>
      </c>
      <c r="BN92" s="1">
        <v>0.14499999999999999</v>
      </c>
      <c r="BO92" s="1">
        <v>0.245</v>
      </c>
      <c r="BP92" s="1">
        <v>0.36</v>
      </c>
      <c r="BQ92" s="1">
        <v>0.39500000000000002</v>
      </c>
      <c r="BR92" s="1">
        <v>0.64500000000000002</v>
      </c>
      <c r="BS92" s="20">
        <v>0.81499999999999995</v>
      </c>
      <c r="BT92" s="1">
        <v>0</v>
      </c>
      <c r="BU92" s="1">
        <v>6.5000000000000002E-2</v>
      </c>
      <c r="BV92" s="1">
        <v>0.14499999999999999</v>
      </c>
      <c r="BW92" s="1">
        <v>0.245</v>
      </c>
      <c r="BX92" s="1">
        <v>0.36</v>
      </c>
      <c r="BY92" s="1">
        <v>0.39500000000000002</v>
      </c>
      <c r="BZ92" s="1">
        <v>0.64500000000000002</v>
      </c>
      <c r="CA92" s="20">
        <v>0.81499999999999995</v>
      </c>
      <c r="CB92" s="1">
        <v>0</v>
      </c>
      <c r="CC92" s="1">
        <v>6.5000000000000002E-2</v>
      </c>
      <c r="CD92" s="1">
        <v>0.14499999999999999</v>
      </c>
      <c r="CE92" s="1">
        <v>0.245</v>
      </c>
      <c r="CF92" s="1">
        <v>0.36</v>
      </c>
      <c r="CG92" s="1">
        <v>0.39500000000000002</v>
      </c>
      <c r="CH92" s="1">
        <v>0.64500000000000002</v>
      </c>
      <c r="CI92" s="20">
        <v>0.81499999999999995</v>
      </c>
      <c r="CJ92" s="1">
        <v>0</v>
      </c>
      <c r="CK92" s="1">
        <v>6.5000000000000002E-2</v>
      </c>
      <c r="CL92" s="1">
        <v>0.14499999999999999</v>
      </c>
      <c r="CM92" s="1">
        <v>0.245</v>
      </c>
      <c r="CN92" s="1">
        <v>0.36</v>
      </c>
      <c r="CO92" s="1">
        <v>0.39500000000000002</v>
      </c>
      <c r="CP92" s="1">
        <v>0.64500000000000002</v>
      </c>
      <c r="CQ92" s="20">
        <v>0.81499999999999995</v>
      </c>
    </row>
    <row r="93" spans="3:160" s="2" customFormat="1" x14ac:dyDescent="0.4">
      <c r="C93" s="2" t="s">
        <v>24</v>
      </c>
      <c r="D93" s="2" t="s">
        <v>10</v>
      </c>
      <c r="E93" s="2">
        <v>0.253</v>
      </c>
      <c r="F93" s="2">
        <v>0.14499999999999999</v>
      </c>
      <c r="G93" s="2">
        <v>0.108</v>
      </c>
      <c r="H93" s="2">
        <v>0.02</v>
      </c>
      <c r="I93" s="2">
        <v>4305</v>
      </c>
      <c r="J93" s="2">
        <v>4005</v>
      </c>
      <c r="K93" s="2">
        <v>56</v>
      </c>
      <c r="L93" s="2">
        <v>5114</v>
      </c>
      <c r="M93" s="2">
        <v>5959</v>
      </c>
      <c r="N93" s="2">
        <v>72</v>
      </c>
      <c r="O93" s="2">
        <v>86</v>
      </c>
      <c r="P93" s="2">
        <v>87.5</v>
      </c>
      <c r="Q93" s="2">
        <v>90</v>
      </c>
      <c r="R93" s="2">
        <v>50</v>
      </c>
      <c r="S93" s="2">
        <v>86</v>
      </c>
      <c r="T93" s="6">
        <f t="shared" si="557"/>
        <v>7898.567504576763</v>
      </c>
      <c r="U93" s="2">
        <v>2.0640000000000001</v>
      </c>
      <c r="V93" s="2">
        <v>5.8000000000000003E-2</v>
      </c>
      <c r="W93" s="2">
        <v>4.0199999999999996</v>
      </c>
      <c r="X93" s="2">
        <f t="shared" ref="X93" si="1818">H89</f>
        <v>1.9E-2</v>
      </c>
      <c r="Y93" s="2">
        <f t="shared" ref="Y93" si="1819">H90</f>
        <v>4.3999999999999997E-2</v>
      </c>
      <c r="Z93" s="2">
        <f t="shared" ref="Z93" si="1820">H91</f>
        <v>0.02</v>
      </c>
      <c r="AA93" s="2">
        <f t="shared" ref="AA93" si="1821">H92</f>
        <v>1.7999999999999999E-2</v>
      </c>
      <c r="AB93" s="2">
        <f t="shared" ref="AB93" si="1822">H93</f>
        <v>0.02</v>
      </c>
      <c r="AC93" s="1">
        <f t="shared" si="1193"/>
        <v>4421.4801689788155</v>
      </c>
      <c r="AE93" s="2" t="s">
        <v>99</v>
      </c>
      <c r="AF93" s="23">
        <f>($O93*$Q93*$S93)^(1/3)/(AF88*((1-AF$2)*$H88+AF$2*$H89) + AF90*((1-AF$2)*$H90+AF$2*$H91) + AF92*((1-AF$2)*$H92+AF$2*$H93))</f>
        <v>1819.0245757689406</v>
      </c>
      <c r="AG93" s="23">
        <f t="shared" ref="AG93" si="1823">($O93*$Q93*$S93)^(1/3)/(AG88*((1-AG$2)*$H88+AG$2*$H89) + AG90*((1-AG$2)*$H90+AG$2*$H91) + AG92*((1-AG$2)*$H92+AG$2*$H93))</f>
        <v>1916.0232529495099</v>
      </c>
      <c r="AH93" s="23">
        <f t="shared" ref="AH93" si="1824">($O93*$Q93*$S93)^(1/3)/(AH88*((1-AH$2)*$H88+AH$2*$H89) + AH90*((1-AH$2)*$H90+AH$2*$H91) + AH92*((1-AH$2)*$H92+AH$2*$H93))</f>
        <v>2039.5510309953083</v>
      </c>
      <c r="AI93" s="23">
        <f t="shared" ref="AI93" si="1825">($O93*$Q93*$S93)^(1/3)/(AI88*((1-AI$2)*$H88+AI$2*$H89) + AI90*((1-AI$2)*$H90+AI$2*$H91) + AI92*((1-AI$2)*$H92+AI$2*$H93))</f>
        <v>2508.2786451280999</v>
      </c>
      <c r="AJ93" s="23">
        <f t="shared" ref="AJ93" si="1826">($O93*$Q93*$S93)^(1/3)/(AJ88*((1-AJ$2)*$H88+AJ$2*$H89) + AJ90*((1-AJ$2)*$H90+AJ$2*$H91) + AJ92*((1-AJ$2)*$H92+AJ$2*$H93))</f>
        <v>2419.9883491382802</v>
      </c>
      <c r="AK93" s="23">
        <f t="shared" ref="AK93" si="1827">($O93*$Q93*$S93)^(1/3)/(AK88*((1-AK$2)*$H88+AK$2*$H89) + AK90*((1-AK$2)*$H90+AK$2*$H91) + AK92*((1-AK$2)*$H92+AK$2*$H93))</f>
        <v>2880.6723733721269</v>
      </c>
      <c r="AL93" s="23">
        <f t="shared" ref="AL93" si="1828">($O93*$Q93*$S93)^(1/3)/(AL88*((1-AL$2)*$H88+AL$2*$H89) + AL90*((1-AL$2)*$H90+AL$2*$H91) + AL92*((1-AL$2)*$H92+AL$2*$H93))</f>
        <v>3139.6324932365756</v>
      </c>
      <c r="AM93" s="23">
        <f t="shared" ref="AM93" si="1829">($O93*$Q93*$S93)^(1/3)/(AM88*((1-AM$2)*$H88+AM$2*$H89) + AM90*((1-AM$2)*$H90+AM$2*$H91) + AM92*((1-AM$2)*$H92+AM$2*$H93))</f>
        <v>3784.7065295582647</v>
      </c>
      <c r="AN93" s="23">
        <f t="shared" ref="AN93" si="1830">($O93*$Q93*$S93)^(1/3)/(AN88*((1-AN$2)*$H88+AN$2*$H89) + AN90*((1-AN$2)*$H90+AN$2*$H91) + AN92*((1-AN$2)*$H92+AN$2*$H93))</f>
        <v>1967.6209495641497</v>
      </c>
      <c r="AO93" s="23">
        <f t="shared" ref="AO93" si="1831">($O93*$Q93*$S93)^(1/3)/(AO88*((1-AO$2)*$H88+AO$2*$H89) + AO90*((1-AO$2)*$H90+AO$2*$H91) + AO92*((1-AO$2)*$H92+AO$2*$H93))</f>
        <v>2065.5147101213079</v>
      </c>
      <c r="AP93" s="23">
        <f t="shared" ref="AP93" si="1832">($O93*$Q93*$S93)^(1/3)/(AP88*((1-AP$2)*$H88+AP$2*$H89) + AP90*((1-AP$2)*$H90+AP$2*$H91) + AP92*((1-AP$2)*$H92+AP$2*$H93))</f>
        <v>2189.5006256414799</v>
      </c>
      <c r="AQ93" s="23">
        <f t="shared" ref="AQ93" si="1833">($O93*$Q93*$S93)^(1/3)/(AQ88*((1-AQ$2)*$H88+AQ$2*$H89) + AQ90*((1-AQ$2)*$H90+AQ$2*$H91) + AQ92*((1-AQ$2)*$H92+AQ$2*$H93))</f>
        <v>2673.4491899158861</v>
      </c>
      <c r="AR93" s="23">
        <f t="shared" ref="AR93" si="1834">($O93*$Q93*$S93)^(1/3)/(AR88*((1-AR$2)*$H88+AR$2*$H89) + AR90*((1-AR$2)*$H90+AR$2*$H91) + AR92*((1-AR$2)*$H92+AR$2*$H93))</f>
        <v>2566.1478218048246</v>
      </c>
      <c r="AS93" s="23">
        <f t="shared" ref="AS93" si="1835">($O93*$Q93*$S93)^(1/3)/(AS88*((1-AS$2)*$H88+AS$2*$H89) + AS90*((1-AS$2)*$H90+AS$2*$H91) + AS92*((1-AS$2)*$H92+AS$2*$H93))</f>
        <v>3037.9708039372545</v>
      </c>
      <c r="AT93" s="23">
        <f t="shared" ref="AT93" si="1836">($O93*$Q93*$S93)^(1/3)/(AT88*((1-AT$2)*$H88+AT$2*$H89) + AT90*((1-AT$2)*$H90+AT$2*$H91) + AT92*((1-AT$2)*$H92+AT$2*$H93))</f>
        <v>3256.0561104546014</v>
      </c>
      <c r="AU93" s="23">
        <f t="shared" ref="AU93" si="1837">($O93*$Q93*$S93)^(1/3)/(AU88*((1-AU$2)*$H88+AU$2*$H89) + AU90*((1-AU$2)*$H90+AU$2*$H91) + AU92*((1-AU$2)*$H92+AU$2*$H93))</f>
        <v>3850.1057577250831</v>
      </c>
      <c r="AV93" s="23">
        <f t="shared" ref="AV93" si="1838">($O93*$Q93*$S93)^(1/3)/(AV88*((1-AV$2)*$H88+AV$2*$H89) + AV90*((1-AV$2)*$H90+AV$2*$H91) + AV92*((1-AV$2)*$H92+AV$2*$H93))</f>
        <v>2142.6547150161755</v>
      </c>
      <c r="AW93" s="23">
        <f t="shared" ref="AW93" si="1839">($O93*$Q93*$S93)^(1/3)/(AW88*((1-AW$2)*$H88+AW$2*$H89) + AW90*((1-AW$2)*$H90+AW$2*$H91) + AW92*((1-AW$2)*$H92+AW$2*$H93))</f>
        <v>2240.3073770655674</v>
      </c>
      <c r="AX93" s="23">
        <f t="shared" ref="AX93" si="1840">($O93*$Q93*$S93)^(1/3)/(AX88*((1-AX$2)*$H88+AX$2*$H89) + AX90*((1-AX$2)*$H90+AX$2*$H91) + AX92*((1-AX$2)*$H92+AX$2*$H93))</f>
        <v>2363.2487637286372</v>
      </c>
      <c r="AY93" s="23">
        <f t="shared" ref="AY93" si="1841">($O93*$Q93*$S93)^(1/3)/(AY88*((1-AY$2)*$H88+AY$2*$H89) + AY90*((1-AY$2)*$H90+AY$2*$H91) + AY92*((1-AY$2)*$H92+AY$2*$H93))</f>
        <v>2861.9061625569434</v>
      </c>
      <c r="AZ93" s="23">
        <f t="shared" ref="AZ93" si="1842">($O93*$Q93*$S93)^(1/3)/(AZ88*((1-AZ$2)*$H88+AZ$2*$H89) + AZ90*((1-AZ$2)*$H90+AZ$2*$H91) + AZ92*((1-AZ$2)*$H92+AZ$2*$H93))</f>
        <v>2731.097267341544</v>
      </c>
      <c r="BA93" s="23">
        <f t="shared" ref="BA93" si="1843">($O93*$Q93*$S93)^(1/3)/(BA88*((1-BA$2)*$H88+BA$2*$H89) + BA90*((1-BA$2)*$H90+BA$2*$H91) + BA92*((1-BA$2)*$H92+BA$2*$H93))</f>
        <v>3213.4399277511766</v>
      </c>
      <c r="BB93" s="23">
        <f t="shared" ref="BB93" si="1844">($O93*$Q93*$S93)^(1/3)/(BB88*((1-BB$2)*$H88+BB$2*$H89) + BB90*((1-BB$2)*$H90+BB$2*$H91) + BB92*((1-BB$2)*$H92+BB$2*$H93))</f>
        <v>3381.44666260964</v>
      </c>
      <c r="BC93" s="23">
        <f t="shared" ref="BC93" si="1845">($O93*$Q93*$S93)^(1/3)/(BC88*((1-BC$2)*$H88+BC$2*$H89) + BC90*((1-BC$2)*$H90+BC$2*$H91) + BC92*((1-BC$2)*$H92+BC$2*$H93))</f>
        <v>3917.8049082689618</v>
      </c>
      <c r="BD93" s="23">
        <f t="shared" ref="BD93" si="1846">($O93*$Q93*$S93)^(1/3)/(BD88*((1-BD$2)*$H88+BD$2*$H89) + BD90*((1-BD$2)*$H90+BD$2*$H91) + BD92*((1-BD$2)*$H92+BD$2*$H93))</f>
        <v>2351.8701585699437</v>
      </c>
      <c r="BE93" s="23">
        <f t="shared" ref="BE93" si="1847">($O93*$Q93*$S93)^(1/3)/(BE88*((1-BE$2)*$H88+BE$2*$H89) + BE90*((1-BE$2)*$H90+BE$2*$H91) + BE92*((1-BE$2)*$H92+BE$2*$H93))</f>
        <v>2447.4183602083822</v>
      </c>
      <c r="BF93" s="23">
        <f t="shared" ref="BF93" si="1848">($O93*$Q93*$S93)^(1/3)/(BF88*((1-BF$2)*$H88+BF$2*$H89) + BF90*((1-BF$2)*$H90+BF$2*$H91) + BF92*((1-BF$2)*$H92+BF$2*$H93))</f>
        <v>2566.9494040948621</v>
      </c>
      <c r="BG93" s="23">
        <f t="shared" ref="BG93" si="1849">($O93*$Q93*$S93)^(1/3)/(BG88*((1-BG$2)*$H88+BG$2*$H89) + BG90*((1-BG$2)*$H90+BG$2*$H91) + BG92*((1-BG$2)*$H92+BG$2*$H93))</f>
        <v>3078.9475551331111</v>
      </c>
      <c r="BH93" s="23">
        <f t="shared" ref="BH93" si="1850">($O93*$Q93*$S93)^(1/3)/(BH88*((1-BH$2)*$H88+BH$2*$H89) + BH90*((1-BH$2)*$H90+BH$2*$H91) + BH92*((1-BH$2)*$H92+BH$2*$H93))</f>
        <v>2918.708996721015</v>
      </c>
      <c r="BI93" s="23">
        <f t="shared" ref="BI93" si="1851">($O93*$Q93*$S93)^(1/3)/(BI88*((1-BI$2)*$H88+BI$2*$H89) + BI90*((1-BI$2)*$H90+BI$2*$H91) + BI92*((1-BI$2)*$H92+BI$2*$H93))</f>
        <v>3410.4212928509787</v>
      </c>
      <c r="BJ93" s="23">
        <f t="shared" ref="BJ93" si="1852">($O93*$Q93*$S93)^(1/3)/(BJ88*((1-BJ$2)*$H88+BJ$2*$H89) + BJ90*((1-BJ$2)*$H90+BJ$2*$H91) + BJ92*((1-BJ$2)*$H92+BJ$2*$H93))</f>
        <v>3516.8815904905132</v>
      </c>
      <c r="BK93" s="23">
        <f t="shared" ref="BK93" si="1853">($O93*$Q93*$S93)^(1/3)/(BK88*((1-BK$2)*$H88+BK$2*$H89) + BK90*((1-BK$2)*$H90+BK$2*$H91) + BK92*((1-BK$2)*$H92+BK$2*$H93))</f>
        <v>3987.9274762083487</v>
      </c>
      <c r="BL93" s="23">
        <f t="shared" ref="BL93" si="1854">($O93*$Q93*$S93)^(1/3)/(BL88*((1-BL$2)*$H88+BL$2*$H89) + BL90*((1-BL$2)*$H90+BL$2*$H91) + BL92*((1-BL$2)*$H92+BL$2*$H93))</f>
        <v>2606.3635712510195</v>
      </c>
      <c r="BM93" s="23">
        <f t="shared" ref="BM93" si="1855">($O93*$Q93*$S93)^(1/3)/(BM88*((1-BM$2)*$H88+BM$2*$H89) + BM90*((1-BM$2)*$H90+BM$2*$H91) + BM92*((1-BM$2)*$H92+BM$2*$H93))</f>
        <v>2696.7239483255084</v>
      </c>
      <c r="BN93" s="23">
        <f t="shared" ref="BN93" si="1856">($O93*$Q93*$S93)^(1/3)/(BN88*((1-BN$2)*$H88+BN$2*$H89) + BN90*((1-BN$2)*$H90+BN$2*$H91) + BN92*((1-BN$2)*$H92+BN$2*$H93))</f>
        <v>2809.0784086514645</v>
      </c>
      <c r="BO93" s="23">
        <f t="shared" ref="BO93" si="1857">($O93*$Q93*$S93)^(1/3)/(BO88*((1-BO$2)*$H88+BO$2*$H89) + BO90*((1-BO$2)*$H90+BO$2*$H91) + BO92*((1-BO$2)*$H92+BO$2*$H93))</f>
        <v>3331.6104030109377</v>
      </c>
      <c r="BP93" s="23">
        <f t="shared" ref="BP93" si="1858">($O93*$Q93*$S93)^(1/3)/(BP88*((1-BP$2)*$H88+BP$2*$H89) + BP90*((1-BP$2)*$H90+BP$2*$H91) + BP92*((1-BP$2)*$H92+BP$2*$H93))</f>
        <v>3133.9978333420372</v>
      </c>
      <c r="BQ93" s="23">
        <f t="shared" ref="BQ93" si="1859">($O93*$Q93*$S93)^(1/3)/(BQ88*((1-BQ$2)*$H88+BQ$2*$H89) + BQ90*((1-BQ$2)*$H90+BQ$2*$H91) + BQ92*((1-BQ$2)*$H92+BQ$2*$H93))</f>
        <v>3633.1292889590823</v>
      </c>
      <c r="BR93" s="23">
        <f t="shared" ref="BR93" si="1860">($O93*$Q93*$S93)^(1/3)/(BR88*((1-BR$2)*$H88+BR$2*$H89) + BR90*((1-BR$2)*$H90+BR$2*$H91) + BR92*((1-BR$2)*$H92+BR$2*$H93))</f>
        <v>3663.6181532323153</v>
      </c>
      <c r="BS93" s="23">
        <f t="shared" ref="BS93" si="1861">($O93*$Q93*$S93)^(1/3)/(BS88*((1-BS$2)*$H88+BS$2*$H89) + BS90*((1-BS$2)*$H90+BS$2*$H91) + BS92*((1-BS$2)*$H92+BS$2*$H93))</f>
        <v>4060.6059591633139</v>
      </c>
      <c r="BT93" s="23">
        <f t="shared" ref="BT93" si="1862">($O93*$Q93*$S93)^(1/3)/(BT88*((1-BT$2)*$H88+BT$2*$H89) + BT90*((1-BT$2)*$H90+BT$2*$H91) + BT92*((1-BT$2)*$H92+BT$2*$H93))</f>
        <v>2922.6168916120218</v>
      </c>
      <c r="BU93" s="23">
        <f t="shared" ref="BU93" si="1863">($O93*$Q93*$S93)^(1/3)/(BU88*((1-BU$2)*$H88+BU$2*$H89) + BU90*((1-BU$2)*$H90+BU$2*$H91) + BU92*((1-BU$2)*$H92+BU$2*$H93))</f>
        <v>3002.5810264804231</v>
      </c>
      <c r="BV93" s="23">
        <f t="shared" ref="BV93" si="1864">($O93*$Q93*$S93)^(1/3)/(BV88*((1-BV$2)*$H88+BV$2*$H89) + BV90*((1-BV$2)*$H90+BV$2*$H91) + BV92*((1-BV$2)*$H92+BV$2*$H93))</f>
        <v>3101.6426682146184</v>
      </c>
      <c r="BW93" s="23">
        <f t="shared" ref="BW93" si="1865">($O93*$Q93*$S93)^(1/3)/(BW88*((1-BW$2)*$H88+BW$2*$H89) + BW90*((1-BW$2)*$H90+BW$2*$H91) + BW92*((1-BW$2)*$H92+BW$2*$H93))</f>
        <v>3629.4481156388406</v>
      </c>
      <c r="BX93" s="23">
        <f t="shared" ref="BX93" si="1866">($O93*$Q93*$S93)^(1/3)/(BX88*((1-BX$2)*$H88+BX$2*$H89) + BX90*((1-BX$2)*$H90+BX$2*$H91) + BX92*((1-BX$2)*$H92+BX$2*$H93))</f>
        <v>3383.5760370823155</v>
      </c>
      <c r="BY93" s="23">
        <f t="shared" ref="BY93" si="1867">($O93*$Q93*$S93)^(1/3)/(BY88*((1-BY$2)*$H88+BY$2*$H89) + BY90*((1-BY$2)*$H90+BY$2*$H91) + BY92*((1-BY$2)*$H92+BY$2*$H93))</f>
        <v>3886.9560507235369</v>
      </c>
      <c r="BZ93" s="23">
        <f t="shared" ref="BZ93" si="1868">($O93*$Q93*$S93)^(1/3)/(BZ88*((1-BZ$2)*$H88+BZ$2*$H89) + BZ90*((1-BZ$2)*$H90+BZ$2*$H91) + BZ92*((1-BZ$2)*$H92+BZ$2*$H93))</f>
        <v>3823.1325748899767</v>
      </c>
      <c r="CA93" s="23">
        <f t="shared" ref="CA93" si="1869">($O93*$Q93*$S93)^(1/3)/(CA88*((1-CA$2)*$H88+CA$2*$H89) + CA90*((1-CA$2)*$H90+CA$2*$H91) + CA92*((1-CA$2)*$H92+CA$2*$H93))</f>
        <v>4135.9826929287583</v>
      </c>
      <c r="CB93" s="23">
        <f t="shared" ref="CB93" si="1870">($O93*$Q93*$S93)^(1/3)/(CB88*((1-CB$2)*$H88+CB$2*$H89) + CB90*((1-CB$2)*$H90+CB$2*$H91) + CB92*((1-CB$2)*$H92+CB$2*$H93))</f>
        <v>3326.2163671203489</v>
      </c>
      <c r="CC93" s="23">
        <f t="shared" ref="CC93" si="1871">($O93*$Q93*$S93)^(1/3)/(CC88*((1-CC$2)*$H88+CC$2*$H89) + CC90*((1-CC$2)*$H90+CC$2*$H91) + CC92*((1-CC$2)*$H92+CC$2*$H93))</f>
        <v>3386.6930283407187</v>
      </c>
      <c r="CD93" s="23">
        <f t="shared" ref="CD93" si="1872">($O93*$Q93*$S93)^(1/3)/(CD88*((1-CD$2)*$H88+CD$2*$H89) + CD90*((1-CD$2)*$H90+CD$2*$H91) + CD92*((1-CD$2)*$H92+CD$2*$H93))</f>
        <v>3462.2326497906979</v>
      </c>
      <c r="CE93" s="23">
        <f t="shared" ref="CE93" si="1873">($O93*$Q93*$S93)^(1/3)/(CE88*((1-CE$2)*$H88+CE$2*$H89) + CE90*((1-CE$2)*$H90+CE$2*$H91) + CE92*((1-CE$2)*$H92+CE$2*$H93))</f>
        <v>3985.7656895593341</v>
      </c>
      <c r="CF93" s="23">
        <f t="shared" ref="CF93" si="1874">($O93*$Q93*$S93)^(1/3)/(CF88*((1-CF$2)*$H88+CF$2*$H89) + CF90*((1-CF$2)*$H90+CF$2*$H91) + CF92*((1-CF$2)*$H92+CF$2*$H93))</f>
        <v>3676.3444057645961</v>
      </c>
      <c r="CG93" s="23">
        <f t="shared" ref="CG93" si="1875">($O93*$Q93*$S93)^(1/3)/(CG88*((1-CG$2)*$H88+CG$2*$H89) + CG90*((1-CG$2)*$H90+CG$2*$H91) + CG92*((1-CG$2)*$H92+CG$2*$H93))</f>
        <v>4178.91377263101</v>
      </c>
      <c r="CH93" s="23">
        <f t="shared" ref="CH93" si="1876">($O93*$Q93*$S93)^(1/3)/(CH88*((1-CH$2)*$H88+CH$2*$H89) + CH90*((1-CH$2)*$H90+CH$2*$H91) + CH92*((1-CH$2)*$H92+CH$2*$H93))</f>
        <v>3997.1698832347533</v>
      </c>
      <c r="CI93" s="23">
        <f t="shared" ref="CI93" si="1877">($O93*$Q93*$S93)^(1/3)/(CI88*((1-CI$2)*$H88+CI$2*$H89) + CI90*((1-CI$2)*$H90+CI$2*$H91) + CI92*((1-CI$2)*$H92+CI$2*$H93))</f>
        <v>4214.2107818719351</v>
      </c>
      <c r="CJ93" s="23">
        <f t="shared" ref="CJ93" si="1878">($O93*$Q93*$S93)^(1/3)/(CJ88*((1-CJ$2)*$H88+CJ$2*$H89) + CJ90*((1-CJ$2)*$H90+CJ$2*$H91) + CJ92*((1-CJ$2)*$H92+CJ$2*$H93))</f>
        <v>3859.1460612998521</v>
      </c>
      <c r="CK93" s="23">
        <f t="shared" ref="CK93" si="1879">($O93*$Q93*$S93)^(1/3)/(CK88*((1-CK$2)*$H88+CK$2*$H89) + CK90*((1-CK$2)*$H90+CK$2*$H91) + CK92*((1-CK$2)*$H92+CK$2*$H93))</f>
        <v>3883.4983854294796</v>
      </c>
      <c r="CL93" s="23">
        <f t="shared" ref="CL93" si="1880">($O93*$Q93*$S93)^(1/3)/(CL88*((1-CL$2)*$H88+CL$2*$H89) + CL90*((1-CL$2)*$H90+CL$2*$H91) + CL92*((1-CL$2)*$H92+CL$2*$H93))</f>
        <v>3917.6950396549164</v>
      </c>
      <c r="CM93" s="23">
        <f t="shared" ref="CM93" si="1881">($O93*$Q93*$S93)^(1/3)/(CM88*((1-CM$2)*$H88+CM$2*$H89) + CM90*((1-CM$2)*$H90+CM$2*$H91) + CM92*((1-CM$2)*$H92+CM$2*$H93))</f>
        <v>4419.6617235298381</v>
      </c>
      <c r="CN93" s="23">
        <f t="shared" ref="CN93" si="1882">($O93*$Q93*$S93)^(1/3)/(CN88*((1-CN$2)*$H88+CN$2*$H89) + CN90*((1-CN$2)*$H90+CN$2*$H91) + CN92*((1-CN$2)*$H92+CN$2*$H93))</f>
        <v>4024.5761528881844</v>
      </c>
      <c r="CO93" s="23">
        <f t="shared" ref="CO93" si="1883">($O93*$Q93*$S93)^(1/3)/(CO88*((1-CO$2)*$H88+CO$2*$H89) + CO90*((1-CO$2)*$H90+CO$2*$H91) + CO92*((1-CO$2)*$H92+CO$2*$H93))</f>
        <v>4518.292552121824</v>
      </c>
      <c r="CP93" s="23">
        <f t="shared" ref="CP93" si="1884">($O93*$Q93*$S93)^(1/3)/(CP88*((1-CP$2)*$H88+CP$2*$H89) + CP90*((1-CP$2)*$H90+CP$2*$H91) + CP92*((1-CP$2)*$H92+CP$2*$H93))</f>
        <v>4187.8080104036289</v>
      </c>
      <c r="CQ93" s="23">
        <f t="shared" ref="CQ93" si="1885">($O93*$Q93*$S93)^(1/3)/(CQ88*((1-CQ$2)*$H88+CQ$2*$H89) + CQ90*((1-CQ$2)*$H90+CQ$2*$H91) + CQ92*((1-CQ$2)*$H92+CQ$2*$H93))</f>
        <v>4295.4551369509163</v>
      </c>
      <c r="CS93" s="2">
        <f t="shared" ref="CS93" si="1886">100*$AF93/AF93</f>
        <v>100</v>
      </c>
      <c r="CT93" s="2">
        <f t="shared" ref="CT93" si="1887">100*$AF93/AG93</f>
        <v>94.937499999999972</v>
      </c>
      <c r="CU93" s="2">
        <f t="shared" ref="CU93" si="1888">100*$AF93/AH93</f>
        <v>89.1875</v>
      </c>
      <c r="CV93" s="2">
        <f t="shared" ref="CV93" si="1889">100*$AF93/AI93</f>
        <v>72.520833333333329</v>
      </c>
      <c r="CW93" s="2">
        <f t="shared" ref="CW93" si="1890">100*$AF93/AJ93</f>
        <v>75.166666666666657</v>
      </c>
      <c r="CX93" s="2">
        <f t="shared" ref="CX93" si="1891">100*$AF93/AK93</f>
        <v>63.145833333333321</v>
      </c>
      <c r="CY93" s="2">
        <f t="shared" ref="CY93" si="1892">100*$AF93/AL93</f>
        <v>57.937499999999986</v>
      </c>
      <c r="CZ93" s="2">
        <f t="shared" ref="CZ93" si="1893">100*$AF93/AM93</f>
        <v>48.062499999999986</v>
      </c>
      <c r="DA93" s="2">
        <f t="shared" ref="DA93" si="1894">100*$AF93/AN93</f>
        <v>92.447916666666671</v>
      </c>
      <c r="DB93" s="2">
        <f t="shared" ref="DB93" si="1895">100*$AF93/AO93</f>
        <v>88.066406249999986</v>
      </c>
      <c r="DC93" s="2">
        <f t="shared" ref="DC93" si="1896">100*$AF93/AP93</f>
        <v>83.079427083333343</v>
      </c>
      <c r="DD93" s="2">
        <f t="shared" ref="DD93" si="1897">100*$AF93/AQ93</f>
        <v>68.040364583333343</v>
      </c>
      <c r="DE93" s="2">
        <f t="shared" ref="DE93" si="1898">100*$AF93/AR93</f>
        <v>70.885416666666657</v>
      </c>
      <c r="DF93" s="2">
        <f t="shared" ref="DF93" si="1899">100*$AF93/AS93</f>
        <v>59.876302083333329</v>
      </c>
      <c r="DG93" s="2">
        <f t="shared" ref="DG93" si="1900">100*$AF93/AT93</f>
        <v>55.86588541666665</v>
      </c>
      <c r="DH93" s="2">
        <f t="shared" ref="DH93" si="1901">100*$AF93/AU93</f>
        <v>47.24609375</v>
      </c>
      <c r="DI93" s="2">
        <f t="shared" ref="DI93" si="1902">100*$AF93/AV93</f>
        <v>84.895833333333329</v>
      </c>
      <c r="DJ93" s="2">
        <f t="shared" ref="DJ93" si="1903">100*$AF93/AW93</f>
        <v>81.195312499999986</v>
      </c>
      <c r="DK93" s="2">
        <f t="shared" ref="DK93" si="1904">100*$AF93/AX93</f>
        <v>76.971354166666657</v>
      </c>
      <c r="DL93" s="2">
        <f t="shared" ref="DL93" si="1905">100*$AF93/AY93</f>
        <v>63.559895833333336</v>
      </c>
      <c r="DM93" s="2">
        <f t="shared" ref="DM93" si="1906">100*$AF93/AZ93</f>
        <v>66.604166666666657</v>
      </c>
      <c r="DN93" s="2">
        <f t="shared" ref="DN93" si="1907">100*$AF93/BA93</f>
        <v>56.606770833333329</v>
      </c>
      <c r="DO93" s="2">
        <f t="shared" ref="DO93" si="1908">100*$AF93/BB93</f>
        <v>53.794270833333321</v>
      </c>
      <c r="DP93" s="2">
        <f t="shared" ref="DP93" si="1909">100*$AF93/BC93</f>
        <v>46.4296875</v>
      </c>
      <c r="DQ93" s="2">
        <f t="shared" ref="DQ93" si="1910">100*$AF93/BD93</f>
        <v>77.343749999999986</v>
      </c>
      <c r="DR93" s="2">
        <f t="shared" ref="DR93" si="1911">100*$AF93/BE93</f>
        <v>74.324218749999986</v>
      </c>
      <c r="DS93" s="2">
        <f t="shared" ref="DS93" si="1912">100*$AF93/BF93</f>
        <v>70.863281249999972</v>
      </c>
      <c r="DT93" s="2">
        <f t="shared" ref="DT93" si="1913">100*$AF93/BG93</f>
        <v>59.079427083333329</v>
      </c>
      <c r="DU93" s="2">
        <f t="shared" ref="DU93" si="1914">100*$AF93/BH93</f>
        <v>62.322916666666657</v>
      </c>
      <c r="DV93" s="2">
        <f t="shared" ref="DV93" si="1915">100*$AF93/BI93</f>
        <v>53.337239583333329</v>
      </c>
      <c r="DW93" s="2">
        <f t="shared" ref="DW93" si="1916">100*$AF93/BJ93</f>
        <v>51.722656249999993</v>
      </c>
      <c r="DX93" s="2">
        <f t="shared" ref="DX93" si="1917">100*$AF93/BK93</f>
        <v>45.613281249999993</v>
      </c>
      <c r="DY93" s="2">
        <f t="shared" ref="DY93" si="1918">100*$AF93/BL93</f>
        <v>69.791666666666657</v>
      </c>
      <c r="DZ93" s="2">
        <f t="shared" ref="DZ93" si="1919">100*$AF93/BM93</f>
        <v>67.453125</v>
      </c>
      <c r="EA93" s="2">
        <f t="shared" ref="EA93" si="1920">100*$AF93/BN93</f>
        <v>64.755208333333329</v>
      </c>
      <c r="EB93" s="2">
        <f t="shared" ref="EB93" si="1921">100*$AF93/BO93</f>
        <v>54.598958333333329</v>
      </c>
      <c r="EC93" s="2">
        <f t="shared" ref="EC93" si="1922">100*$AF93/BP93</f>
        <v>58.041666666666657</v>
      </c>
      <c r="ED93" s="2">
        <f t="shared" ref="ED93" si="1923">100*$AF93/BQ93</f>
        <v>50.067708333333336</v>
      </c>
      <c r="EE93" s="2">
        <f t="shared" ref="EE93" si="1924">100*$AF93/BR93</f>
        <v>49.651041666666664</v>
      </c>
      <c r="EF93" s="2">
        <f t="shared" ref="EF93" si="1925">100*$AF93/BS93</f>
        <v>44.796874999999993</v>
      </c>
      <c r="EG93" s="2">
        <f t="shared" ref="EG93" si="1926">100*$AF93/BT93</f>
        <v>62.239583333333329</v>
      </c>
      <c r="EH93" s="2">
        <f t="shared" ref="EH93" si="1927">100*$AF93/BU93</f>
        <v>60.582031249999993</v>
      </c>
      <c r="EI93" s="2">
        <f t="shared" ref="EI93" si="1928">100*$AF93/BV93</f>
        <v>58.647135416666671</v>
      </c>
      <c r="EJ93" s="2">
        <f t="shared" ref="EJ93" si="1929">100*$AF93/BW93</f>
        <v>50.118489583333343</v>
      </c>
      <c r="EK93" s="2">
        <f t="shared" ref="EK93" si="1930">100*$AF93/BX93</f>
        <v>53.760416666666664</v>
      </c>
      <c r="EL93" s="2">
        <f t="shared" ref="EL93" si="1931">100*$AF93/BY93</f>
        <v>46.798177083333329</v>
      </c>
      <c r="EM93" s="2">
        <f t="shared" ref="EM93" si="1932">100*$AF93/BZ93</f>
        <v>47.579427083333329</v>
      </c>
      <c r="EN93" s="2">
        <f t="shared" ref="EN93" si="1933">100*$AF93/CA93</f>
        <v>43.980468749999986</v>
      </c>
      <c r="EO93" s="2">
        <f t="shared" ref="EO93" si="1934">100*$AF93/CB93</f>
        <v>54.687499999999993</v>
      </c>
      <c r="EP93" s="2">
        <f t="shared" ref="EP93" si="1935">100*$AF93/CC93</f>
        <v>53.710937499999993</v>
      </c>
      <c r="EQ93" s="2">
        <f t="shared" ref="EQ93" si="1936">100*$AF93/CD93</f>
        <v>52.539062499999993</v>
      </c>
      <c r="ER93" s="2">
        <f t="shared" ref="ER93" si="1937">100*$AF93/CE93</f>
        <v>45.638020833333329</v>
      </c>
      <c r="ES93" s="2">
        <f t="shared" ref="ES93" si="1938">100*$AF93/CF93</f>
        <v>49.479166666666657</v>
      </c>
      <c r="ET93" s="2">
        <f t="shared" ref="ET93" si="1939">100*$AF93/CG93</f>
        <v>43.528645833333321</v>
      </c>
      <c r="EU93" s="2">
        <f t="shared" ref="EU93" si="1940">100*$AF93/CH93</f>
        <v>45.5078125</v>
      </c>
      <c r="EV93" s="2">
        <f t="shared" ref="EV93" si="1941">100*$AF93/CI93</f>
        <v>43.164062499999993</v>
      </c>
      <c r="EW93" s="2">
        <f t="shared" ref="EW93" si="1942">100*$AF93/CJ93</f>
        <v>47.135416666666664</v>
      </c>
      <c r="EX93" s="2">
        <f t="shared" ref="EX93" si="1943">100*$AF93/CK93</f>
        <v>46.839843749999986</v>
      </c>
      <c r="EY93" s="2">
        <f t="shared" ref="EY93" si="1944">100*$AF93/CL93</f>
        <v>46.430989583333321</v>
      </c>
      <c r="EZ93" s="2">
        <f t="shared" ref="EZ93" si="1945">100*$AF93/CM93</f>
        <v>41.157552083333329</v>
      </c>
      <c r="FA93" s="2">
        <f t="shared" ref="FA93" si="1946">100*$AF93/CN93</f>
        <v>45.197916666666657</v>
      </c>
      <c r="FB93" s="2">
        <f t="shared" ref="FB93" si="1947">100*$AF93/CO93</f>
        <v>40.259114583333321</v>
      </c>
      <c r="FC93" s="2">
        <f t="shared" ref="FC93" si="1948">100*$AF93/CP93</f>
        <v>43.436197916666657</v>
      </c>
      <c r="FD93" s="2">
        <f t="shared" ref="FD93" si="1949">100*$AF93/CQ93</f>
        <v>42.347656249999993</v>
      </c>
    </row>
    <row r="94" spans="3:160" x14ac:dyDescent="0.4">
      <c r="C94" s="1" t="s">
        <v>25</v>
      </c>
      <c r="D94" s="1" t="s">
        <v>5</v>
      </c>
      <c r="E94" s="1">
        <v>0.28899999999999998</v>
      </c>
      <c r="F94" s="1">
        <v>0.18</v>
      </c>
      <c r="G94" s="1">
        <v>0.108</v>
      </c>
      <c r="H94" s="1">
        <v>4.8000000000000001E-2</v>
      </c>
      <c r="I94" s="1">
        <v>4333</v>
      </c>
      <c r="J94" s="1">
        <v>3941</v>
      </c>
      <c r="K94" s="1">
        <v>56</v>
      </c>
      <c r="L94" s="1">
        <v>5147</v>
      </c>
      <c r="M94" s="1">
        <v>5895</v>
      </c>
      <c r="N94" s="1">
        <v>72</v>
      </c>
      <c r="O94" s="1">
        <v>86</v>
      </c>
      <c r="P94" s="1">
        <v>87.5</v>
      </c>
      <c r="Q94" s="1">
        <v>90</v>
      </c>
      <c r="R94" s="1">
        <v>50</v>
      </c>
      <c r="S94" s="1">
        <v>86</v>
      </c>
      <c r="T94" s="4">
        <v>0</v>
      </c>
      <c r="U94" s="1">
        <v>1.9279999999999999</v>
      </c>
      <c r="V94" s="1">
        <v>5.8000000000000003E-2</v>
      </c>
      <c r="W94" s="1">
        <v>4.0199999999999996</v>
      </c>
      <c r="X94" s="1">
        <f t="shared" ref="X94" si="1950">H95</f>
        <v>2.5000000000000001E-2</v>
      </c>
      <c r="Y94" s="1">
        <f t="shared" ref="Y94" si="1951">H96</f>
        <v>4.3999999999999997E-2</v>
      </c>
      <c r="Z94" s="1">
        <f t="shared" ref="Z94" si="1952">H97</f>
        <v>2.5000000000000001E-2</v>
      </c>
      <c r="AA94" s="1">
        <f t="shared" ref="AA94" si="1953">H98</f>
        <v>1.7000000000000001E-2</v>
      </c>
      <c r="AB94" s="1">
        <f t="shared" ref="AB94" si="1954">H99</f>
        <v>2.5000000000000001E-2</v>
      </c>
      <c r="AC94" s="1">
        <f t="shared" si="1193"/>
        <v>4422.3759534484343</v>
      </c>
      <c r="AE94" s="1" t="s">
        <v>96</v>
      </c>
      <c r="AF94" s="1">
        <v>1</v>
      </c>
      <c r="AG94" s="1">
        <v>0.81499999999999995</v>
      </c>
      <c r="AH94" s="1">
        <v>0.64500000000000002</v>
      </c>
      <c r="AI94" s="1">
        <v>0.39500000000000002</v>
      </c>
      <c r="AJ94" s="1">
        <v>0.36</v>
      </c>
      <c r="AK94" s="1">
        <v>0.245</v>
      </c>
      <c r="AL94" s="1">
        <v>0.14499999999999999</v>
      </c>
      <c r="AM94" s="20">
        <v>6.5000000000000002E-2</v>
      </c>
      <c r="AN94" s="1">
        <v>1</v>
      </c>
      <c r="AO94" s="1">
        <v>0.81499999999999995</v>
      </c>
      <c r="AP94" s="1">
        <v>0.64500000000000002</v>
      </c>
      <c r="AQ94" s="1">
        <v>0.39500000000000002</v>
      </c>
      <c r="AR94" s="1">
        <v>0.36</v>
      </c>
      <c r="AS94" s="1">
        <v>0.245</v>
      </c>
      <c r="AT94" s="1">
        <v>0.14499999999999999</v>
      </c>
      <c r="AU94" s="20">
        <v>6.5000000000000002E-2</v>
      </c>
      <c r="AV94" s="1">
        <v>1</v>
      </c>
      <c r="AW94" s="1">
        <v>0.81499999999999995</v>
      </c>
      <c r="AX94" s="1">
        <v>0.64500000000000002</v>
      </c>
      <c r="AY94" s="1">
        <v>0.39500000000000002</v>
      </c>
      <c r="AZ94" s="1">
        <v>0.36</v>
      </c>
      <c r="BA94" s="1">
        <v>0.245</v>
      </c>
      <c r="BB94" s="1">
        <v>0.14499999999999999</v>
      </c>
      <c r="BC94" s="20">
        <v>6.5000000000000002E-2</v>
      </c>
      <c r="BD94" s="1">
        <v>1</v>
      </c>
      <c r="BE94" s="1">
        <v>0.81499999999999995</v>
      </c>
      <c r="BF94" s="1">
        <v>0.64500000000000002</v>
      </c>
      <c r="BG94" s="1">
        <v>0.39500000000000002</v>
      </c>
      <c r="BH94" s="1">
        <v>0.36</v>
      </c>
      <c r="BI94" s="1">
        <v>0.245</v>
      </c>
      <c r="BJ94" s="1">
        <v>0.14499999999999999</v>
      </c>
      <c r="BK94" s="20">
        <v>6.5000000000000002E-2</v>
      </c>
      <c r="BL94" s="1">
        <v>1</v>
      </c>
      <c r="BM94" s="1">
        <v>0.81499999999999995</v>
      </c>
      <c r="BN94" s="1">
        <v>0.64500000000000002</v>
      </c>
      <c r="BO94" s="1">
        <v>0.39500000000000002</v>
      </c>
      <c r="BP94" s="1">
        <v>0.36</v>
      </c>
      <c r="BQ94" s="1">
        <v>0.245</v>
      </c>
      <c r="BR94" s="1">
        <v>0.14499999999999999</v>
      </c>
      <c r="BS94" s="20">
        <v>6.5000000000000002E-2</v>
      </c>
      <c r="BT94" s="1">
        <v>1</v>
      </c>
      <c r="BU94" s="1">
        <v>0.81499999999999995</v>
      </c>
      <c r="BV94" s="1">
        <v>0.64500000000000002</v>
      </c>
      <c r="BW94" s="1">
        <v>0.39500000000000002</v>
      </c>
      <c r="BX94" s="1">
        <v>0.36</v>
      </c>
      <c r="BY94" s="1">
        <v>0.245</v>
      </c>
      <c r="BZ94" s="1">
        <v>0.14499999999999999</v>
      </c>
      <c r="CA94" s="20">
        <v>6.5000000000000002E-2</v>
      </c>
      <c r="CB94" s="1">
        <v>1</v>
      </c>
      <c r="CC94" s="1">
        <v>0.81499999999999995</v>
      </c>
      <c r="CD94" s="1">
        <v>0.64500000000000002</v>
      </c>
      <c r="CE94" s="1">
        <v>0.39500000000000002</v>
      </c>
      <c r="CF94" s="1">
        <v>0.36</v>
      </c>
      <c r="CG94" s="1">
        <v>0.245</v>
      </c>
      <c r="CH94" s="1">
        <v>0.14499999999999999</v>
      </c>
      <c r="CI94" s="20">
        <v>6.5000000000000002E-2</v>
      </c>
      <c r="CJ94" s="1">
        <v>1</v>
      </c>
      <c r="CK94" s="1">
        <v>0.81499999999999995</v>
      </c>
      <c r="CL94" s="1">
        <v>0.64500000000000002</v>
      </c>
      <c r="CM94" s="1">
        <v>0.39500000000000002</v>
      </c>
      <c r="CN94" s="1">
        <v>0.36</v>
      </c>
      <c r="CO94" s="1">
        <v>0.245</v>
      </c>
      <c r="CP94" s="1">
        <v>0.14499999999999999</v>
      </c>
      <c r="CQ94" s="20">
        <v>6.5000000000000002E-2</v>
      </c>
    </row>
    <row r="95" spans="3:160" x14ac:dyDescent="0.4">
      <c r="C95" s="1" t="s">
        <v>25</v>
      </c>
      <c r="D95" s="1" t="s">
        <v>6</v>
      </c>
      <c r="E95" s="1">
        <v>0.25800000000000001</v>
      </c>
      <c r="F95" s="1">
        <v>0.15</v>
      </c>
      <c r="G95" s="1">
        <v>0.108</v>
      </c>
      <c r="H95" s="1">
        <v>2.5000000000000001E-2</v>
      </c>
      <c r="I95" s="1">
        <v>4333</v>
      </c>
      <c r="J95" s="1">
        <v>3941</v>
      </c>
      <c r="K95" s="1">
        <v>56</v>
      </c>
      <c r="L95" s="1">
        <v>5147</v>
      </c>
      <c r="M95" s="1">
        <v>5895</v>
      </c>
      <c r="N95" s="1">
        <v>72</v>
      </c>
      <c r="O95" s="1">
        <v>86</v>
      </c>
      <c r="P95" s="1">
        <v>87.5</v>
      </c>
      <c r="Q95" s="1">
        <v>90</v>
      </c>
      <c r="R95" s="1">
        <v>50</v>
      </c>
      <c r="S95" s="1">
        <v>86</v>
      </c>
      <c r="T95" s="4">
        <v>0</v>
      </c>
      <c r="U95" s="1">
        <v>1.9279999999999999</v>
      </c>
      <c r="V95" s="1">
        <v>5.8000000000000003E-2</v>
      </c>
      <c r="W95" s="1">
        <v>4.0199999999999996</v>
      </c>
      <c r="X95" s="1">
        <f t="shared" ref="X95" si="1955">H95</f>
        <v>2.5000000000000001E-2</v>
      </c>
      <c r="Y95" s="1">
        <f t="shared" ref="Y95" si="1956">H96</f>
        <v>4.3999999999999997E-2</v>
      </c>
      <c r="Z95" s="1">
        <f t="shared" ref="Z95" si="1957">H97</f>
        <v>2.5000000000000001E-2</v>
      </c>
      <c r="AA95" s="1">
        <f t="shared" ref="AA95" si="1958">H98</f>
        <v>1.7000000000000001E-2</v>
      </c>
      <c r="AB95" s="1">
        <f t="shared" ref="AB95" si="1959">H99</f>
        <v>2.5000000000000001E-2</v>
      </c>
      <c r="AC95" s="1">
        <f t="shared" si="1193"/>
        <v>4422.3759534484343</v>
      </c>
      <c r="CQ95" s="20"/>
    </row>
    <row r="96" spans="3:160" x14ac:dyDescent="0.4">
      <c r="C96" s="1" t="s">
        <v>25</v>
      </c>
      <c r="D96" s="1" t="s">
        <v>7</v>
      </c>
      <c r="E96" s="1">
        <v>0.28499999999999998</v>
      </c>
      <c r="F96" s="1">
        <v>0.17699999999999999</v>
      </c>
      <c r="G96" s="1">
        <v>0.108</v>
      </c>
      <c r="H96" s="1">
        <v>4.3999999999999997E-2</v>
      </c>
      <c r="I96" s="1">
        <v>4333</v>
      </c>
      <c r="J96" s="1">
        <v>3941</v>
      </c>
      <c r="K96" s="1">
        <v>56</v>
      </c>
      <c r="L96" s="1">
        <v>5147</v>
      </c>
      <c r="M96" s="1">
        <v>5895</v>
      </c>
      <c r="N96" s="1">
        <v>72</v>
      </c>
      <c r="O96" s="1">
        <v>86</v>
      </c>
      <c r="P96" s="1">
        <v>87.5</v>
      </c>
      <c r="Q96" s="1">
        <v>90</v>
      </c>
      <c r="R96" s="1">
        <v>50</v>
      </c>
      <c r="S96" s="1">
        <v>86</v>
      </c>
      <c r="T96" s="4">
        <v>0</v>
      </c>
      <c r="U96" s="1">
        <v>1.9279999999999999</v>
      </c>
      <c r="V96" s="1">
        <v>5.8000000000000003E-2</v>
      </c>
      <c r="W96" s="1">
        <v>4.0199999999999996</v>
      </c>
      <c r="X96" s="1">
        <f t="shared" ref="X96" si="1960">H95</f>
        <v>2.5000000000000001E-2</v>
      </c>
      <c r="Y96" s="1">
        <f t="shared" ref="Y96" si="1961">H96</f>
        <v>4.3999999999999997E-2</v>
      </c>
      <c r="Z96" s="1">
        <f t="shared" ref="Z96" si="1962">H97</f>
        <v>2.5000000000000001E-2</v>
      </c>
      <c r="AA96" s="1">
        <f t="shared" ref="AA96" si="1963">H98</f>
        <v>1.7000000000000001E-2</v>
      </c>
      <c r="AB96" s="1">
        <f t="shared" ref="AB96" si="1964">H99</f>
        <v>2.5000000000000001E-2</v>
      </c>
      <c r="AC96" s="1">
        <f t="shared" si="1193"/>
        <v>4422.3759534484343</v>
      </c>
      <c r="AE96" s="1" t="s">
        <v>97</v>
      </c>
      <c r="AF96" s="1">
        <v>0</v>
      </c>
      <c r="AG96" s="1">
        <v>0.12</v>
      </c>
      <c r="AH96" s="1">
        <v>0.21</v>
      </c>
      <c r="AI96" s="1">
        <v>0.26</v>
      </c>
      <c r="AJ96" s="1">
        <v>0.28000000000000003</v>
      </c>
      <c r="AK96" s="1">
        <v>0.26</v>
      </c>
      <c r="AL96" s="1">
        <v>0.21</v>
      </c>
      <c r="AM96" s="20">
        <v>0.12</v>
      </c>
      <c r="AN96" s="1">
        <v>0</v>
      </c>
      <c r="AO96" s="1">
        <v>0.12</v>
      </c>
      <c r="AP96" s="1">
        <v>0.21</v>
      </c>
      <c r="AQ96" s="1">
        <v>0.26</v>
      </c>
      <c r="AR96" s="1">
        <v>0.28000000000000003</v>
      </c>
      <c r="AS96" s="1">
        <v>0.26</v>
      </c>
      <c r="AT96" s="1">
        <v>0.21</v>
      </c>
      <c r="AU96" s="20">
        <v>0.12</v>
      </c>
      <c r="AV96" s="1">
        <v>0</v>
      </c>
      <c r="AW96" s="1">
        <v>0.12</v>
      </c>
      <c r="AX96" s="1">
        <v>0.21</v>
      </c>
      <c r="AY96" s="1">
        <v>0.26</v>
      </c>
      <c r="AZ96" s="1">
        <v>0.28000000000000003</v>
      </c>
      <c r="BA96" s="1">
        <v>0.26</v>
      </c>
      <c r="BB96" s="1">
        <v>0.21</v>
      </c>
      <c r="BC96" s="20">
        <v>0.12</v>
      </c>
      <c r="BD96" s="1">
        <v>0</v>
      </c>
      <c r="BE96" s="1">
        <v>0.12</v>
      </c>
      <c r="BF96" s="1">
        <v>0.21</v>
      </c>
      <c r="BG96" s="1">
        <v>0.26</v>
      </c>
      <c r="BH96" s="1">
        <v>0.28000000000000003</v>
      </c>
      <c r="BI96" s="1">
        <v>0.26</v>
      </c>
      <c r="BJ96" s="1">
        <v>0.21</v>
      </c>
      <c r="BK96" s="20">
        <v>0.12</v>
      </c>
      <c r="BL96" s="1">
        <v>0</v>
      </c>
      <c r="BM96" s="1">
        <v>0.12</v>
      </c>
      <c r="BN96" s="1">
        <v>0.21</v>
      </c>
      <c r="BO96" s="1">
        <v>0.26</v>
      </c>
      <c r="BP96" s="1">
        <v>0.28000000000000003</v>
      </c>
      <c r="BQ96" s="1">
        <v>0.26</v>
      </c>
      <c r="BR96" s="1">
        <v>0.21</v>
      </c>
      <c r="BS96" s="20">
        <v>0.12</v>
      </c>
      <c r="BT96" s="1">
        <v>0</v>
      </c>
      <c r="BU96" s="1">
        <v>0.12</v>
      </c>
      <c r="BV96" s="1">
        <v>0.21</v>
      </c>
      <c r="BW96" s="1">
        <v>0.26</v>
      </c>
      <c r="BX96" s="1">
        <v>0.28000000000000003</v>
      </c>
      <c r="BY96" s="1">
        <v>0.26</v>
      </c>
      <c r="BZ96" s="1">
        <v>0.21</v>
      </c>
      <c r="CA96" s="20">
        <v>0.12</v>
      </c>
      <c r="CB96" s="1">
        <v>0</v>
      </c>
      <c r="CC96" s="1">
        <v>0.12</v>
      </c>
      <c r="CD96" s="1">
        <v>0.21</v>
      </c>
      <c r="CE96" s="1">
        <v>0.26</v>
      </c>
      <c r="CF96" s="1">
        <v>0.28000000000000003</v>
      </c>
      <c r="CG96" s="1">
        <v>0.26</v>
      </c>
      <c r="CH96" s="1">
        <v>0.21</v>
      </c>
      <c r="CI96" s="20">
        <v>0.12</v>
      </c>
      <c r="CJ96" s="1">
        <v>0</v>
      </c>
      <c r="CK96" s="1">
        <v>0.12</v>
      </c>
      <c r="CL96" s="1">
        <v>0.21</v>
      </c>
      <c r="CM96" s="1">
        <v>0.26</v>
      </c>
      <c r="CN96" s="1">
        <v>0.28000000000000003</v>
      </c>
      <c r="CO96" s="1">
        <v>0.26</v>
      </c>
      <c r="CP96" s="1">
        <v>0.21</v>
      </c>
      <c r="CQ96" s="20">
        <v>0.12</v>
      </c>
    </row>
    <row r="97" spans="3:160" x14ac:dyDescent="0.4">
      <c r="C97" s="1" t="s">
        <v>25</v>
      </c>
      <c r="D97" s="1" t="s">
        <v>8</v>
      </c>
      <c r="E97" s="1">
        <v>0.25800000000000001</v>
      </c>
      <c r="F97" s="1">
        <v>0.151</v>
      </c>
      <c r="G97" s="1">
        <v>0.108</v>
      </c>
      <c r="H97" s="1">
        <v>2.5000000000000001E-2</v>
      </c>
      <c r="I97" s="1">
        <v>4333</v>
      </c>
      <c r="J97" s="1">
        <v>3941</v>
      </c>
      <c r="K97" s="1">
        <v>56</v>
      </c>
      <c r="L97" s="1">
        <v>5147</v>
      </c>
      <c r="M97" s="1">
        <v>5895</v>
      </c>
      <c r="N97" s="1">
        <v>72</v>
      </c>
      <c r="O97" s="1">
        <v>86</v>
      </c>
      <c r="P97" s="1">
        <v>87.5</v>
      </c>
      <c r="Q97" s="1">
        <v>90</v>
      </c>
      <c r="R97" s="1">
        <v>50</v>
      </c>
      <c r="S97" s="1">
        <v>86</v>
      </c>
      <c r="T97" s="4">
        <v>0</v>
      </c>
      <c r="U97" s="1">
        <v>1.9279999999999999</v>
      </c>
      <c r="V97" s="1">
        <v>5.8000000000000003E-2</v>
      </c>
      <c r="W97" s="1">
        <v>4.0199999999999996</v>
      </c>
      <c r="X97" s="1">
        <f t="shared" ref="X97" si="1965">H95</f>
        <v>2.5000000000000001E-2</v>
      </c>
      <c r="Y97" s="1">
        <f t="shared" ref="Y97" si="1966">H96</f>
        <v>4.3999999999999997E-2</v>
      </c>
      <c r="Z97" s="1">
        <f t="shared" ref="Z97" si="1967">H97</f>
        <v>2.5000000000000001E-2</v>
      </c>
      <c r="AA97" s="1">
        <f t="shared" ref="AA97" si="1968">H98</f>
        <v>1.7000000000000001E-2</v>
      </c>
      <c r="AB97" s="1">
        <f t="shared" ref="AB97" si="1969">H99</f>
        <v>2.5000000000000001E-2</v>
      </c>
      <c r="AC97" s="1">
        <f t="shared" si="1193"/>
        <v>4422.3759534484343</v>
      </c>
      <c r="CQ97" s="20"/>
    </row>
    <row r="98" spans="3:160" x14ac:dyDescent="0.4">
      <c r="C98" s="1" t="s">
        <v>25</v>
      </c>
      <c r="D98" s="1" t="s">
        <v>9</v>
      </c>
      <c r="E98" s="1">
        <v>0.249</v>
      </c>
      <c r="F98" s="1">
        <v>0.14099999999999999</v>
      </c>
      <c r="G98" s="1">
        <v>0.108</v>
      </c>
      <c r="H98" s="1">
        <v>1.7000000000000001E-2</v>
      </c>
      <c r="I98" s="1">
        <v>4333</v>
      </c>
      <c r="J98" s="1">
        <v>3941</v>
      </c>
      <c r="K98" s="1">
        <v>56</v>
      </c>
      <c r="L98" s="1">
        <v>5147</v>
      </c>
      <c r="M98" s="1">
        <v>5895</v>
      </c>
      <c r="N98" s="1">
        <v>72</v>
      </c>
      <c r="O98" s="1">
        <v>86</v>
      </c>
      <c r="P98" s="1">
        <v>87.5</v>
      </c>
      <c r="Q98" s="1">
        <v>90</v>
      </c>
      <c r="R98" s="1">
        <v>50</v>
      </c>
      <c r="S98" s="1">
        <v>86</v>
      </c>
      <c r="T98" s="4">
        <v>0</v>
      </c>
      <c r="U98" s="1">
        <v>1.9279999999999999</v>
      </c>
      <c r="V98" s="1">
        <v>5.8000000000000003E-2</v>
      </c>
      <c r="W98" s="1">
        <v>4.0199999999999996</v>
      </c>
      <c r="X98" s="1">
        <f t="shared" ref="X98" si="1970">H95</f>
        <v>2.5000000000000001E-2</v>
      </c>
      <c r="Y98" s="1">
        <f t="shared" ref="Y98" si="1971">H96</f>
        <v>4.3999999999999997E-2</v>
      </c>
      <c r="Z98" s="1">
        <f t="shared" ref="Z98" si="1972">H97</f>
        <v>2.5000000000000001E-2</v>
      </c>
      <c r="AA98" s="1">
        <f t="shared" ref="AA98" si="1973">H98</f>
        <v>1.7000000000000001E-2</v>
      </c>
      <c r="AB98" s="1">
        <f t="shared" ref="AB98" si="1974">H99</f>
        <v>2.5000000000000001E-2</v>
      </c>
      <c r="AC98" s="1">
        <f t="shared" si="1193"/>
        <v>4422.3759534484343</v>
      </c>
      <c r="AE98" s="1" t="s">
        <v>98</v>
      </c>
      <c r="AF98" s="1">
        <v>0</v>
      </c>
      <c r="AG98" s="1">
        <v>6.5000000000000002E-2</v>
      </c>
      <c r="AH98" s="1">
        <v>0.14499999999999999</v>
      </c>
      <c r="AI98" s="1">
        <v>0.245</v>
      </c>
      <c r="AJ98" s="1">
        <v>0.36</v>
      </c>
      <c r="AK98" s="1">
        <v>0.39500000000000002</v>
      </c>
      <c r="AL98" s="1">
        <v>0.64500000000000002</v>
      </c>
      <c r="AM98" s="20">
        <v>0.81499999999999995</v>
      </c>
      <c r="AN98" s="1">
        <v>0</v>
      </c>
      <c r="AO98" s="1">
        <v>6.5000000000000002E-2</v>
      </c>
      <c r="AP98" s="1">
        <v>0.14499999999999999</v>
      </c>
      <c r="AQ98" s="1">
        <v>0.245</v>
      </c>
      <c r="AR98" s="1">
        <v>0.36</v>
      </c>
      <c r="AS98" s="1">
        <v>0.39500000000000002</v>
      </c>
      <c r="AT98" s="1">
        <v>0.64500000000000002</v>
      </c>
      <c r="AU98" s="20">
        <v>0.81499999999999995</v>
      </c>
      <c r="AV98" s="1">
        <v>0</v>
      </c>
      <c r="AW98" s="1">
        <v>6.5000000000000002E-2</v>
      </c>
      <c r="AX98" s="1">
        <v>0.14499999999999999</v>
      </c>
      <c r="AY98" s="1">
        <v>0.245</v>
      </c>
      <c r="AZ98" s="1">
        <v>0.36</v>
      </c>
      <c r="BA98" s="1">
        <v>0.39500000000000002</v>
      </c>
      <c r="BB98" s="1">
        <v>0.64500000000000002</v>
      </c>
      <c r="BC98" s="20">
        <v>0.81499999999999995</v>
      </c>
      <c r="BD98" s="1">
        <v>0</v>
      </c>
      <c r="BE98" s="1">
        <v>6.5000000000000002E-2</v>
      </c>
      <c r="BF98" s="1">
        <v>0.14499999999999999</v>
      </c>
      <c r="BG98" s="1">
        <v>0.245</v>
      </c>
      <c r="BH98" s="1">
        <v>0.36</v>
      </c>
      <c r="BI98" s="1">
        <v>0.39500000000000002</v>
      </c>
      <c r="BJ98" s="1">
        <v>0.64500000000000002</v>
      </c>
      <c r="BK98" s="20">
        <v>0.81499999999999995</v>
      </c>
      <c r="BL98" s="1">
        <v>0</v>
      </c>
      <c r="BM98" s="1">
        <v>6.5000000000000002E-2</v>
      </c>
      <c r="BN98" s="1">
        <v>0.14499999999999999</v>
      </c>
      <c r="BO98" s="1">
        <v>0.245</v>
      </c>
      <c r="BP98" s="1">
        <v>0.36</v>
      </c>
      <c r="BQ98" s="1">
        <v>0.39500000000000002</v>
      </c>
      <c r="BR98" s="1">
        <v>0.64500000000000002</v>
      </c>
      <c r="BS98" s="20">
        <v>0.81499999999999995</v>
      </c>
      <c r="BT98" s="1">
        <v>0</v>
      </c>
      <c r="BU98" s="1">
        <v>6.5000000000000002E-2</v>
      </c>
      <c r="BV98" s="1">
        <v>0.14499999999999999</v>
      </c>
      <c r="BW98" s="1">
        <v>0.245</v>
      </c>
      <c r="BX98" s="1">
        <v>0.36</v>
      </c>
      <c r="BY98" s="1">
        <v>0.39500000000000002</v>
      </c>
      <c r="BZ98" s="1">
        <v>0.64500000000000002</v>
      </c>
      <c r="CA98" s="20">
        <v>0.81499999999999995</v>
      </c>
      <c r="CB98" s="1">
        <v>0</v>
      </c>
      <c r="CC98" s="1">
        <v>6.5000000000000002E-2</v>
      </c>
      <c r="CD98" s="1">
        <v>0.14499999999999999</v>
      </c>
      <c r="CE98" s="1">
        <v>0.245</v>
      </c>
      <c r="CF98" s="1">
        <v>0.36</v>
      </c>
      <c r="CG98" s="1">
        <v>0.39500000000000002</v>
      </c>
      <c r="CH98" s="1">
        <v>0.64500000000000002</v>
      </c>
      <c r="CI98" s="20">
        <v>0.81499999999999995</v>
      </c>
      <c r="CJ98" s="1">
        <v>0</v>
      </c>
      <c r="CK98" s="1">
        <v>6.5000000000000002E-2</v>
      </c>
      <c r="CL98" s="1">
        <v>0.14499999999999999</v>
      </c>
      <c r="CM98" s="1">
        <v>0.245</v>
      </c>
      <c r="CN98" s="1">
        <v>0.36</v>
      </c>
      <c r="CO98" s="1">
        <v>0.39500000000000002</v>
      </c>
      <c r="CP98" s="1">
        <v>0.64500000000000002</v>
      </c>
      <c r="CQ98" s="20">
        <v>0.81499999999999995</v>
      </c>
    </row>
    <row r="99" spans="3:160" s="2" customFormat="1" x14ac:dyDescent="0.4">
      <c r="C99" s="2" t="s">
        <v>25</v>
      </c>
      <c r="D99" s="2" t="s">
        <v>10</v>
      </c>
      <c r="E99" s="2">
        <v>0.25800000000000001</v>
      </c>
      <c r="F99" s="2">
        <v>0.151</v>
      </c>
      <c r="G99" s="2">
        <v>0.108</v>
      </c>
      <c r="H99" s="2">
        <v>2.5000000000000001E-2</v>
      </c>
      <c r="I99" s="2">
        <v>4333</v>
      </c>
      <c r="J99" s="2">
        <v>3941</v>
      </c>
      <c r="K99" s="2">
        <v>56</v>
      </c>
      <c r="L99" s="2">
        <v>5147</v>
      </c>
      <c r="M99" s="2">
        <v>5895</v>
      </c>
      <c r="N99" s="2">
        <v>72</v>
      </c>
      <c r="O99" s="2">
        <v>86</v>
      </c>
      <c r="P99" s="2">
        <v>87.5</v>
      </c>
      <c r="Q99" s="2">
        <v>90</v>
      </c>
      <c r="R99" s="2">
        <v>50</v>
      </c>
      <c r="S99" s="2">
        <v>86</v>
      </c>
      <c r="T99" s="6">
        <f t="shared" si="715"/>
        <v>7278.4643510248707</v>
      </c>
      <c r="U99" s="2">
        <v>1.9279999999999999</v>
      </c>
      <c r="V99" s="2">
        <v>5.8000000000000003E-2</v>
      </c>
      <c r="W99" s="2">
        <v>4.0199999999999996</v>
      </c>
      <c r="X99" s="2">
        <f t="shared" ref="X99" si="1975">H95</f>
        <v>2.5000000000000001E-2</v>
      </c>
      <c r="Y99" s="2">
        <f t="shared" ref="Y99" si="1976">H96</f>
        <v>4.3999999999999997E-2</v>
      </c>
      <c r="Z99" s="2">
        <f t="shared" ref="Z99" si="1977">H97</f>
        <v>2.5000000000000001E-2</v>
      </c>
      <c r="AA99" s="2">
        <f t="shared" ref="AA99" si="1978">H98</f>
        <v>1.7000000000000001E-2</v>
      </c>
      <c r="AB99" s="2">
        <f t="shared" ref="AB99" si="1979">H99</f>
        <v>2.5000000000000001E-2</v>
      </c>
      <c r="AC99" s="1">
        <f t="shared" si="1193"/>
        <v>4422.3759534484343</v>
      </c>
      <c r="AE99" s="2" t="s">
        <v>99</v>
      </c>
      <c r="AF99" s="23">
        <f>($O99*$Q99*$S99)^(1/3)/(AF94*((1-AF$2)*$H94+AF$2*$H95) + AF96*((1-AF$2)*$H96+AF$2*$H97) + AF98*((1-AF$2)*$H98+AF$2*$H99))</f>
        <v>1819.0245757689406</v>
      </c>
      <c r="AG99" s="23">
        <f t="shared" ref="AG99" si="1980">($O99*$Q99*$S99)^(1/3)/(AG94*((1-AG$2)*$H94+AG$2*$H95) + AG96*((1-AG$2)*$H96+AG$2*$H97) + AG98*((1-AG$2)*$H98+AG$2*$H99))</f>
        <v>1918.7601282696223</v>
      </c>
      <c r="AH99" s="23">
        <f t="shared" ref="AH99" si="1981">($O99*$Q99*$S99)^(1/3)/(AH94*((1-AH$2)*$H94+AH$2*$H95) + AH96*((1-AH$2)*$H96+AH$2*$H97) + AH98*((1-AH$2)*$H98+AH$2*$H99))</f>
        <v>2046.4825884661702</v>
      </c>
      <c r="AI99" s="23">
        <f t="shared" ref="AI99" si="1982">($O99*$Q99*$S99)^(1/3)/(AI94*((1-AI$2)*$H94+AI$2*$H95) + AI96*((1-AI$2)*$H96+AI$2*$H97) + AI98*((1-AI$2)*$H98+AI$2*$H99))</f>
        <v>2526.0575621845551</v>
      </c>
      <c r="AJ99" s="23">
        <f t="shared" ref="AJ99" si="1983">($O99*$Q99*$S99)^(1/3)/(AJ94*((1-AJ$2)*$H94+AJ$2*$H95) + AJ96*((1-AJ$2)*$H96+AJ$2*$H97) + AJ98*((1-AJ$2)*$H98+AJ$2*$H99))</f>
        <v>2444.3779293647581</v>
      </c>
      <c r="AK99" s="23">
        <f t="shared" ref="AK99" si="1984">($O99*$Q99*$S99)^(1/3)/(AK94*((1-AK$2)*$H94+AK$2*$H95) + AK96*((1-AK$2)*$H96+AK$2*$H97) + AK98*((1-AK$2)*$H98+AK$2*$H99))</f>
        <v>2918.708996721015</v>
      </c>
      <c r="AL99" s="23">
        <f t="shared" ref="AL99" si="1985">($O99*$Q99*$S99)^(1/3)/(AL94*((1-AL$2)*$H94+AL$2*$H95) + AL96*((1-AL$2)*$H96+AL$2*$H97) + AL98*((1-AL$2)*$H98+AL$2*$H99))</f>
        <v>3214.1792614360079</v>
      </c>
      <c r="AM99" s="23">
        <f t="shared" ref="AM99" si="1986">($O99*$Q99*$S99)^(1/3)/(AM94*((1-AM$2)*$H94+AM$2*$H95) + AM96*((1-AM$2)*$H96+AM$2*$H97) + AM98*((1-AM$2)*$H98+AM$2*$H99))</f>
        <v>3923.3062070055794</v>
      </c>
      <c r="AN99" s="23">
        <f t="shared" ref="AN99" si="1987">($O99*$Q99*$S99)^(1/3)/(AN94*((1-AN$2)*$H94+AN$2*$H95) + AN96*((1-AN$2)*$H96+AN$2*$H97) + AN98*((1-AN$2)*$H98+AN$2*$H99))</f>
        <v>1934.9181082971556</v>
      </c>
      <c r="AO99" s="23">
        <f t="shared" ref="AO99" si="1988">($O99*$Q99*$S99)^(1/3)/(AO94*((1-AO$2)*$H94+AO$2*$H95) + AO96*((1-AO$2)*$H96+AO$2*$H97) + AO98*((1-AO$2)*$H98+AO$2*$H99))</f>
        <v>2033.2875459422571</v>
      </c>
      <c r="AP99" s="23">
        <f t="shared" ref="AP99" si="1989">($O99*$Q99*$S99)^(1/3)/(AP94*((1-AP$2)*$H94+AP$2*$H95) + AP96*((1-AP$2)*$H96+AP$2*$H97) + AP98*((1-AP$2)*$H98+AP$2*$H99))</f>
        <v>2158.1790397036139</v>
      </c>
      <c r="AQ99" s="23">
        <f t="shared" ref="AQ99" si="1990">($O99*$Q99*$S99)^(1/3)/(AQ94*((1-AQ$2)*$H94+AQ$2*$H95) + AQ96*((1-AQ$2)*$H96+AQ$2*$H97) + AQ98*((1-AQ$2)*$H98+AQ$2*$H99))</f>
        <v>2641.3016849568858</v>
      </c>
      <c r="AR99" s="23">
        <f t="shared" ref="AR99" si="1991">($O99*$Q99*$S99)^(1/3)/(AR94*((1-AR$2)*$H94+AR$2*$H95) + AR96*((1-AR$2)*$H96+AR$2*$H97) + AR98*((1-AR$2)*$H98+AR$2*$H99))</f>
        <v>2539.6503675657109</v>
      </c>
      <c r="AS99" s="23">
        <f t="shared" ref="AS99" si="1992">($O99*$Q99*$S99)^(1/3)/(AS94*((1-AS$2)*$H94+AS$2*$H95) + AS96*((1-AS$2)*$H96+AS$2*$H97) + AS98*((1-AS$2)*$H98+AS$2*$H99))</f>
        <v>3012.0326732725607</v>
      </c>
      <c r="AT99" s="23">
        <f t="shared" ref="AT99" si="1993">($O99*$Q99*$S99)^(1/3)/(AT94*((1-AT$2)*$H94+AT$2*$H95) + AT96*((1-AT$2)*$H96+AT$2*$H97) + AT98*((1-AT$2)*$H98+AT$2*$H99))</f>
        <v>3246.5219822698664</v>
      </c>
      <c r="AU99" s="23">
        <f t="shared" ref="AU99" si="1994">($O99*$Q99*$S99)^(1/3)/(AU94*((1-AU$2)*$H94+AU$2*$H95) + AU96*((1-AU$2)*$H96+AU$2*$H97) + AU98*((1-AU$2)*$H98+AU$2*$H99))</f>
        <v>3863.7355814656808</v>
      </c>
      <c r="AV99" s="23">
        <f t="shared" ref="AV99" si="1995">($O99*$Q99*$S99)^(1/3)/(AV94*((1-AV$2)*$H94+AV$2*$H95) + AV96*((1-AV$2)*$H96+AV$2*$H97) + AV98*((1-AV$2)*$H98+AV$2*$H99))</f>
        <v>2066.5841334179681</v>
      </c>
      <c r="AW99" s="23">
        <f t="shared" ref="AW99" si="1996">($O99*$Q99*$S99)^(1/3)/(AW94*((1-AW$2)*$H94+AW$2*$H95) + AW96*((1-AW$2)*$H96+AW$2*$H97) + AW98*((1-AW$2)*$H98+AW$2*$H99))</f>
        <v>2162.3546949053439</v>
      </c>
      <c r="AX99" s="23">
        <f t="shared" ref="AX99" si="1997">($O99*$Q99*$S99)^(1/3)/(AX94*((1-AX$2)*$H94+AX$2*$H95) + AX96*((1-AX$2)*$H96+AX$2*$H97) + AX98*((1-AX$2)*$H98+AX$2*$H99))</f>
        <v>2282.7721072429595</v>
      </c>
      <c r="AY99" s="23">
        <f t="shared" ref="AY99" si="1998">($O99*$Q99*$S99)^(1/3)/(AY94*((1-AY$2)*$H94+AY$2*$H95) + AY96*((1-AY$2)*$H96+AY$2*$H97) + AY98*((1-AY$2)*$H98+AY$2*$H99))</f>
        <v>2767.5638380889623</v>
      </c>
      <c r="AZ99" s="23">
        <f t="shared" ref="AZ99" si="1999">($O99*$Q99*$S99)^(1/3)/(AZ94*((1-AZ$2)*$H94+AZ$2*$H95) + AZ96*((1-AZ$2)*$H96+AZ$2*$H97) + AZ98*((1-AZ$2)*$H98+AZ$2*$H99))</f>
        <v>2642.6507154028195</v>
      </c>
      <c r="BA99" s="23">
        <f t="shared" ref="BA99" si="2000">($O99*$Q99*$S99)^(1/3)/(BA94*((1-BA$2)*$H94+BA$2*$H95) + BA96*((1-BA$2)*$H96+BA$2*$H97) + BA98*((1-BA$2)*$H98+BA$2*$H99))</f>
        <v>3111.5213911322248</v>
      </c>
      <c r="BB99" s="23">
        <f t="shared" ref="BB99" si="2001">($O99*$Q99*$S99)^(1/3)/(BB94*((1-BB$2)*$H94+BB$2*$H95) + BB96*((1-BB$2)*$H96+BB$2*$H97) + BB98*((1-BB$2)*$H98+BB$2*$H99))</f>
        <v>3279.5222174528062</v>
      </c>
      <c r="BC99" s="23">
        <f t="shared" ref="BC99" si="2002">($O99*$Q99*$S99)^(1/3)/(BC94*((1-BC$2)*$H94+BC$2*$H95) + BC96*((1-BC$2)*$H96+BC$2*$H97) + BC98*((1-BC$2)*$H98+BC$2*$H99))</f>
        <v>3805.9469138302902</v>
      </c>
      <c r="BD99" s="23">
        <f t="shared" ref="BD99" si="2003">($O99*$Q99*$S99)^(1/3)/(BD94*((1-BD$2)*$H94+BD$2*$H95) + BD96*((1-BD$2)*$H96+BD$2*$H97) + BD98*((1-BD$2)*$H98+BD$2*$H99))</f>
        <v>2217.4775780802324</v>
      </c>
      <c r="BE99" s="23">
        <f t="shared" ref="BE99" si="2004">($O99*$Q99*$S99)^(1/3)/(BE94*((1-BE$2)*$H94+BE$2*$H95) + BE96*((1-BE$2)*$H96+BE$2*$H97) + BE98*((1-BE$2)*$H98+BE$2*$H99))</f>
        <v>2308.9180632849293</v>
      </c>
      <c r="BF99" s="23">
        <f t="shared" ref="BF99" si="2005">($O99*$Q99*$S99)^(1/3)/(BF94*((1-BF$2)*$H94+BF$2*$H95) + BF96*((1-BF$2)*$H96+BF$2*$H97) + BF98*((1-BF$2)*$H98+BF$2*$H99))</f>
        <v>2422.6322278514635</v>
      </c>
      <c r="BG99" s="23">
        <f t="shared" ref="BG99" si="2006">($O99*$Q99*$S99)^(1/3)/(BG94*((1-BG$2)*$H94+BG$2*$H95) + BG96*((1-BG$2)*$H96+BG$2*$H97) + BG98*((1-BG$2)*$H98+BG$2*$H99))</f>
        <v>2906.5034311672662</v>
      </c>
      <c r="BH99" s="23">
        <f t="shared" ref="BH99" si="2007">($O99*$Q99*$S99)^(1/3)/(BH94*((1-BH$2)*$H94+BH$2*$H95) + BH96*((1-BH$2)*$H96+BH$2*$H97) + BH98*((1-BH$2)*$H98+BH$2*$H99))</f>
        <v>2754.3589790823071</v>
      </c>
      <c r="BI99" s="23">
        <f t="shared" ref="BI99" si="2008">($O99*$Q99*$S99)^(1/3)/(BI94*((1-BI$2)*$H94+BI$2*$H95) + BI96*((1-BI$2)*$H96+BI$2*$H97) + BI98*((1-BI$2)*$H98+BI$2*$H99))</f>
        <v>3217.8069197064297</v>
      </c>
      <c r="BJ99" s="23">
        <f t="shared" ref="BJ99" si="2009">($O99*$Q99*$S99)^(1/3)/(BJ94*((1-BJ$2)*$H94+BJ$2*$H95) + BJ96*((1-BJ$2)*$H96+BJ$2*$H97) + BJ98*((1-BJ$2)*$H98+BJ$2*$H99))</f>
        <v>3313.2002233856188</v>
      </c>
      <c r="BK99" s="23">
        <f t="shared" ref="BK99" si="2010">($O99*$Q99*$S99)^(1/3)/(BK94*((1-BK$2)*$H94+BK$2*$H95) + BK96*((1-BK$2)*$H96+BK$2*$H97) + BK98*((1-BK$2)*$H98+BK$2*$H99))</f>
        <v>3749.8614258235039</v>
      </c>
      <c r="BL99" s="23">
        <f t="shared" ref="BL99" si="2011">($O99*$Q99*$S99)^(1/3)/(BL94*((1-BL$2)*$H94+BL$2*$H95) + BL96*((1-BL$2)*$H96+BL$2*$H97) + BL98*((1-BL$2)*$H98+BL$2*$H99))</f>
        <v>2392.1419078605245</v>
      </c>
      <c r="BM99" s="23">
        <f t="shared" ref="BM99" si="2012">($O99*$Q99*$S99)^(1/3)/(BM94*((1-BM$2)*$H94+BM$2*$H95) + BM96*((1-BM$2)*$H96+BM$2*$H97) + BM98*((1-BM$2)*$H98+BM$2*$H99))</f>
        <v>2476.7939759423916</v>
      </c>
      <c r="BN99" s="23">
        <f t="shared" ref="BN99" si="2013">($O99*$Q99*$S99)^(1/3)/(BN94*((1-BN$2)*$H94+BN$2*$H95) + BN96*((1-BN$2)*$H96+BN$2*$H97) + BN98*((1-BN$2)*$H98+BN$2*$H99))</f>
        <v>2580.7486776593255</v>
      </c>
      <c r="BO99" s="23">
        <f t="shared" ref="BO99" si="2014">($O99*$Q99*$S99)^(1/3)/(BO94*((1-BO$2)*$H94+BO$2*$H95) + BO96*((1-BO$2)*$H96+BO$2*$H97) + BO98*((1-BO$2)*$H98+BO$2*$H99))</f>
        <v>3060.1307153915409</v>
      </c>
      <c r="BP99" s="23">
        <f t="shared" ref="BP99" si="2015">($O99*$Q99*$S99)^(1/3)/(BP94*((1-BP$2)*$H94+BP$2*$H95) + BP96*((1-BP$2)*$H96+BP$2*$H97) + BP98*((1-BP$2)*$H98+BP$2*$H99))</f>
        <v>2875.9281830338982</v>
      </c>
      <c r="BQ99" s="23">
        <f t="shared" ref="BQ99" si="2016">($O99*$Q99*$S99)^(1/3)/(BQ94*((1-BQ$2)*$H94+BQ$2*$H95) + BQ96*((1-BQ$2)*$H96+BQ$2*$H97) + BQ98*((1-BQ$2)*$H98+BQ$2*$H99))</f>
        <v>3331.6104030109377</v>
      </c>
      <c r="BR99" s="23">
        <f t="shared" ref="BR99" si="2017">($O99*$Q99*$S99)^(1/3)/(BR94*((1-BR$2)*$H94+BR$2*$H95) + BR96*((1-BR$2)*$H96+BR$2*$H97) + BR98*((1-BR$2)*$H98+BR$2*$H99))</f>
        <v>3347.5770971689503</v>
      </c>
      <c r="BS99" s="23">
        <f t="shared" ref="BS99" si="2018">($O99*$Q99*$S99)^(1/3)/(BS94*((1-BS$2)*$H94+BS$2*$H95) + BS96*((1-BS$2)*$H96+BS$2*$H97) + BS98*((1-BS$2)*$H98+BS$2*$H99))</f>
        <v>3695.4049153278661</v>
      </c>
      <c r="BT99" s="23">
        <f t="shared" ref="BT99" si="2019">($O99*$Q99*$S99)^(1/3)/(BT94*((1-BT$2)*$H94+BT$2*$H95) + BT96*((1-BT$2)*$H96+BT$2*$H97) + BT98*((1-BT$2)*$H98+BT$2*$H99))</f>
        <v>2596.674487343023</v>
      </c>
      <c r="BU99" s="23">
        <f t="shared" ref="BU99" si="2020">($O99*$Q99*$S99)^(1/3)/(BU94*((1-BU$2)*$H94+BU$2*$H95) + BU96*((1-BU$2)*$H96+BU$2*$H97) + BU98*((1-BU$2)*$H98+BU$2*$H99))</f>
        <v>2670.9956870362053</v>
      </c>
      <c r="BV99" s="23">
        <f t="shared" ref="BV99" si="2021">($O99*$Q99*$S99)^(1/3)/(BV94*((1-BV$2)*$H94+BV$2*$H95) + BV96*((1-BV$2)*$H96+BV$2*$H97) + BV98*((1-BV$2)*$H98+BV$2*$H99))</f>
        <v>2760.9456198552271</v>
      </c>
      <c r="BW99" s="23">
        <f t="shared" ref="BW99" si="2022">($O99*$Q99*$S99)^(1/3)/(BW94*((1-BW$2)*$H94+BW$2*$H95) + BW96*((1-BW$2)*$H96+BW$2*$H97) + BW98*((1-BW$2)*$H98+BW$2*$H99))</f>
        <v>3230.904679087274</v>
      </c>
      <c r="BX99" s="23">
        <f t="shared" ref="BX99" si="2023">($O99*$Q99*$S99)^(1/3)/(BX94*((1-BX$2)*$H94+BX$2*$H95) + BX96*((1-BX$2)*$H96+BX$2*$H97) + BX98*((1-BX$2)*$H98+BX$2*$H99))</f>
        <v>3008.7243155378756</v>
      </c>
      <c r="BY99" s="23">
        <f t="shared" ref="BY99" si="2024">($O99*$Q99*$S99)^(1/3)/(BY94*((1-BY$2)*$H94+BY$2*$H95) + BY96*((1-BY$2)*$H96+BY$2*$H97) + BY98*((1-BY$2)*$H98+BY$2*$H99))</f>
        <v>3453.7587435796841</v>
      </c>
      <c r="BZ99" s="23">
        <f t="shared" ref="BZ99" si="2025">($O99*$Q99*$S99)^(1/3)/(BZ94*((1-BZ$2)*$H94+BZ$2*$H95) + BZ96*((1-BZ$2)*$H96+BZ$2*$H97) + BZ98*((1-BZ$2)*$H98+BZ$2*$H99))</f>
        <v>3382.6748206749476</v>
      </c>
      <c r="CA99" s="23">
        <f t="shared" ref="CA99" si="2026">($O99*$Q99*$S99)^(1/3)/(CA94*((1-CA$2)*$H94+CA$2*$H95) + CA96*((1-CA$2)*$H96+CA$2*$H97) + CA98*((1-CA$2)*$H98+CA$2*$H99))</f>
        <v>3642.5074288596629</v>
      </c>
      <c r="CB99" s="23">
        <f t="shared" ref="CB99" si="2027">($O99*$Q99*$S99)^(1/3)/(CB94*((1-CB$2)*$H94+CB$2*$H95) + CB96*((1-CB$2)*$H96+CB$2*$H97) + CB98*((1-CB$2)*$H98+CB$2*$H99))</f>
        <v>2839.4529963222485</v>
      </c>
      <c r="CC99" s="23">
        <f t="shared" ref="CC99" si="2028">($O99*$Q99*$S99)^(1/3)/(CC94*((1-CC$2)*$H94+CC$2*$H95) + CC96*((1-CC$2)*$H96+CC$2*$H97) + CC98*((1-CC$2)*$H98+CC$2*$H99))</f>
        <v>2898.2425504969638</v>
      </c>
      <c r="CD99" s="23">
        <f t="shared" ref="CD99" si="2029">($O99*$Q99*$S99)^(1/3)/(CD94*((1-CD$2)*$H94+CD$2*$H95) + CD96*((1-CD$2)*$H96+CD$2*$H97) + CD98*((1-CD$2)*$H98+CD$2*$H99))</f>
        <v>2968.1954578475888</v>
      </c>
      <c r="CE99" s="23">
        <f t="shared" ref="CE99" si="2030">($O99*$Q99*$S99)^(1/3)/(CE94*((1-CE$2)*$H94+CE$2*$H95) + CE96*((1-CE$2)*$H96+CE$2*$H97) + CE98*((1-CE$2)*$H98+CE$2*$H99))</f>
        <v>3421.8656596055116</v>
      </c>
      <c r="CF99" s="23">
        <f t="shared" ref="CF99" si="2031">($O99*$Q99*$S99)^(1/3)/(CF94*((1-CF$2)*$H94+CF$2*$H95) + CF96*((1-CF$2)*$H96+CF$2*$H97) + CF98*((1-CF$2)*$H98+CF$2*$H99))</f>
        <v>3154.3778770559661</v>
      </c>
      <c r="CG99" s="23">
        <f t="shared" ref="CG99" si="2032">($O99*$Q99*$S99)^(1/3)/(CG94*((1-CG$2)*$H94+CG$2*$H95) + CG96*((1-CG$2)*$H96+CG$2*$H97) + CG98*((1-CG$2)*$H98+CG$2*$H99))</f>
        <v>3585.2047276870771</v>
      </c>
      <c r="CH99" s="23">
        <f t="shared" ref="CH99" si="2033">($O99*$Q99*$S99)^(1/3)/(CH94*((1-CH$2)*$H94+CH$2*$H95) + CH96*((1-CH$2)*$H96+CH$2*$H97) + CH98*((1-CH$2)*$H98+CH$2*$H99))</f>
        <v>3418.5163074207076</v>
      </c>
      <c r="CI99" s="23">
        <f t="shared" ref="CI99" si="2034">($O99*$Q99*$S99)^(1/3)/(CI94*((1-CI$2)*$H94+CI$2*$H95) + CI96*((1-CI$2)*$H96+CI$2*$H97) + CI98*((1-CI$2)*$H98+CI$2*$H99))</f>
        <v>3591.1029617771487</v>
      </c>
      <c r="CJ99" s="23">
        <f t="shared" ref="CJ99" si="2035">($O99*$Q99*$S99)^(1/3)/(CJ94*((1-CJ$2)*$H94+CJ$2*$H95) + CJ96*((1-CJ$2)*$H96+CJ$2*$H97) + CJ98*((1-CJ$2)*$H98+CJ$2*$H99))</f>
        <v>3132.3113771088483</v>
      </c>
      <c r="CK99" s="23">
        <f t="shared" ref="CK99" si="2036">($O99*$Q99*$S99)^(1/3)/(CK94*((1-CK$2)*$H94+CK$2*$H95) + CK96*((1-CK$2)*$H96+CK$2*$H97) + CK98*((1-CK$2)*$H98+CK$2*$H99))</f>
        <v>3167.7532804030438</v>
      </c>
      <c r="CL99" s="23">
        <f t="shared" ref="CL99" si="2037">($O99*$Q99*$S99)^(1/3)/(CL94*((1-CL$2)*$H94+CL$2*$H95) + CL96*((1-CL$2)*$H96+CL$2*$H97) + CL98*((1-CL$2)*$H98+CL$2*$H99))</f>
        <v>3209.0847729091638</v>
      </c>
      <c r="CM99" s="23">
        <f t="shared" ref="CM99" si="2038">($O99*$Q99*$S99)^(1/3)/(CM94*((1-CM$2)*$H94+CM$2*$H95) + CM96*((1-CM$2)*$H96+CM$2*$H97) + CM98*((1-CM$2)*$H98+CM$2*$H99))</f>
        <v>3636.8179371320812</v>
      </c>
      <c r="CN99" s="23">
        <f t="shared" ref="CN99" si="2039">($O99*$Q99*$S99)^(1/3)/(CN94*((1-CN$2)*$H94+CN$2*$H95) + CN96*((1-CN$2)*$H96+CN$2*$H97) + CN98*((1-CN$2)*$H98+CN$2*$H99))</f>
        <v>3314.8511631324659</v>
      </c>
      <c r="CO99" s="23">
        <f t="shared" ref="CO99" si="2040">($O99*$Q99*$S99)^(1/3)/(CO94*((1-CO$2)*$H94+CO$2*$H95) + CO96*((1-CO$2)*$H96+CO$2*$H97) + CO98*((1-CO$2)*$H98+CO$2*$H99))</f>
        <v>3727.0519280488388</v>
      </c>
      <c r="CP99" s="23">
        <f t="shared" ref="CP99" si="2041">($O99*$Q99*$S99)^(1/3)/(CP94*((1-CP$2)*$H94+CP$2*$H95) + CP96*((1-CP$2)*$H96+CP$2*$H97) + CP98*((1-CP$2)*$H98+CP$2*$H99))</f>
        <v>3455.1254524535561</v>
      </c>
      <c r="CQ99" s="23">
        <f t="shared" ref="CQ99" si="2042">($O99*$Q99*$S99)^(1/3)/(CQ94*((1-CQ$2)*$H94+CQ$2*$H95) + CQ96*((1-CQ$2)*$H96+CQ$2*$H97) + CQ98*((1-CQ$2)*$H98+CQ$2*$H99))</f>
        <v>3541.129183520181</v>
      </c>
      <c r="CS99" s="2">
        <f t="shared" ref="CS99" si="2043">100*$AF99/AF99</f>
        <v>100</v>
      </c>
      <c r="CT99" s="2">
        <f t="shared" ref="CT99" si="2044">100*$AF99/AG99</f>
        <v>94.802083333333314</v>
      </c>
      <c r="CU99" s="2">
        <f t="shared" ref="CU99" si="2045">100*$AF99/AH99</f>
        <v>88.885416666666657</v>
      </c>
      <c r="CV99" s="2">
        <f t="shared" ref="CV99" si="2046">100*$AF99/AI99</f>
        <v>72.010416666666671</v>
      </c>
      <c r="CW99" s="2">
        <f t="shared" ref="CW99" si="2047">100*$AF99/AJ99</f>
        <v>74.416666666666657</v>
      </c>
      <c r="CX99" s="2">
        <f t="shared" ref="CX99" si="2048">100*$AF99/AK99</f>
        <v>62.322916666666657</v>
      </c>
      <c r="CY99" s="2">
        <f t="shared" ref="CY99" si="2049">100*$AF99/AL99</f>
        <v>56.593749999999993</v>
      </c>
      <c r="CZ99" s="2">
        <f t="shared" ref="CZ99" si="2050">100*$AF99/AM99</f>
        <v>46.364583333333321</v>
      </c>
      <c r="DA99" s="2">
        <f t="shared" ref="DA99" si="2051">100*$AF99/AN99</f>
        <v>94.010416666666671</v>
      </c>
      <c r="DB99" s="2">
        <f t="shared" ref="DB99" si="2052">100*$AF99/AO99</f>
        <v>89.462239583333314</v>
      </c>
      <c r="DC99" s="2">
        <f t="shared" ref="DC99" si="2053">100*$AF99/AP99</f>
        <v>84.28515625</v>
      </c>
      <c r="DD99" s="2">
        <f t="shared" ref="DD99" si="2054">100*$AF99/AQ99</f>
        <v>68.868489583333329</v>
      </c>
      <c r="DE99" s="2">
        <f t="shared" ref="DE99" si="2055">100*$AF99/AR99</f>
        <v>71.625</v>
      </c>
      <c r="DF99" s="2">
        <f t="shared" ref="DF99" si="2056">100*$AF99/AS99</f>
        <v>60.391927083333329</v>
      </c>
      <c r="DG99" s="2">
        <f t="shared" ref="DG99" si="2057">100*$AF99/AT99</f>
        <v>56.029947916666671</v>
      </c>
      <c r="DH99" s="2">
        <f t="shared" ref="DH99" si="2058">100*$AF99/AU99</f>
        <v>47.079427083333336</v>
      </c>
      <c r="DI99" s="2">
        <f t="shared" ref="DI99" si="2059">100*$AF99/AV99</f>
        <v>88.020833333333329</v>
      </c>
      <c r="DJ99" s="2">
        <f t="shared" ref="DJ99" si="2060">100*$AF99/AW99</f>
        <v>84.122395833333329</v>
      </c>
      <c r="DK99" s="2">
        <f t="shared" ref="DK99" si="2061">100*$AF99/AX99</f>
        <v>79.684895833333329</v>
      </c>
      <c r="DL99" s="2">
        <f t="shared" ref="DL99" si="2062">100*$AF99/AY99</f>
        <v>65.7265625</v>
      </c>
      <c r="DM99" s="2">
        <f t="shared" ref="DM99" si="2063">100*$AF99/AZ99</f>
        <v>68.833333333333329</v>
      </c>
      <c r="DN99" s="2">
        <f t="shared" ref="DN99" si="2064">100*$AF99/BA99</f>
        <v>58.4609375</v>
      </c>
      <c r="DO99" s="2">
        <f t="shared" ref="DO99" si="2065">100*$AF99/BB99</f>
        <v>55.466145833333329</v>
      </c>
      <c r="DP99" s="2">
        <f t="shared" ref="DP99" si="2066">100*$AF99/BC99</f>
        <v>47.794270833333336</v>
      </c>
      <c r="DQ99" s="2">
        <f t="shared" ref="DQ99" si="2067">100*$AF99/BD99</f>
        <v>82.03125</v>
      </c>
      <c r="DR99" s="2">
        <f t="shared" ref="DR99" si="2068">100*$AF99/BE99</f>
        <v>78.782552083333329</v>
      </c>
      <c r="DS99" s="2">
        <f t="shared" ref="DS99" si="2069">100*$AF99/BF99</f>
        <v>75.084635416666657</v>
      </c>
      <c r="DT99" s="2">
        <f t="shared" ref="DT99" si="2070">100*$AF99/BG99</f>
        <v>62.584635416666657</v>
      </c>
      <c r="DU99" s="2">
        <f t="shared" ref="DU99" si="2071">100*$AF99/BH99</f>
        <v>66.041666666666671</v>
      </c>
      <c r="DV99" s="2">
        <f t="shared" ref="DV99" si="2072">100*$AF99/BI99</f>
        <v>56.529947916666664</v>
      </c>
      <c r="DW99" s="2">
        <f t="shared" ref="DW99" si="2073">100*$AF99/BJ99</f>
        <v>54.902343750000007</v>
      </c>
      <c r="DX99" s="2">
        <f t="shared" ref="DX99" si="2074">100*$AF99/BK99</f>
        <v>48.509114583333336</v>
      </c>
      <c r="DY99" s="2">
        <f t="shared" ref="DY99" si="2075">100*$AF99/BL99</f>
        <v>76.041666666666671</v>
      </c>
      <c r="DZ99" s="2">
        <f t="shared" ref="DZ99" si="2076">100*$AF99/BM99</f>
        <v>73.442708333333329</v>
      </c>
      <c r="EA99" s="2">
        <f t="shared" ref="EA99" si="2077">100*$AF99/BN99</f>
        <v>70.484375000000014</v>
      </c>
      <c r="EB99" s="2">
        <f t="shared" ref="EB99" si="2078">100*$AF99/BO99</f>
        <v>59.442708333333336</v>
      </c>
      <c r="EC99" s="2">
        <f t="shared" ref="EC99" si="2079">100*$AF99/BP99</f>
        <v>63.25</v>
      </c>
      <c r="ED99" s="2">
        <f t="shared" ref="ED99" si="2080">100*$AF99/BQ99</f>
        <v>54.598958333333329</v>
      </c>
      <c r="EE99" s="2">
        <f t="shared" ref="EE99" si="2081">100*$AF99/BR99</f>
        <v>54.338541666666664</v>
      </c>
      <c r="EF99" s="2">
        <f t="shared" ref="EF99" si="2082">100*$AF99/BS99</f>
        <v>49.223958333333329</v>
      </c>
      <c r="EG99" s="2">
        <f t="shared" ref="EG99" si="2083">100*$AF99/BT99</f>
        <v>70.052083333333329</v>
      </c>
      <c r="EH99" s="2">
        <f t="shared" ref="EH99" si="2084">100*$AF99/BU99</f>
        <v>68.102864583333329</v>
      </c>
      <c r="EI99" s="2">
        <f t="shared" ref="EI99" si="2085">100*$AF99/BV99</f>
        <v>65.884114583333329</v>
      </c>
      <c r="EJ99" s="2">
        <f t="shared" ref="EJ99" si="2086">100*$AF99/BW99</f>
        <v>56.30078125</v>
      </c>
      <c r="EK99" s="2">
        <f t="shared" ref="EK99" si="2087">100*$AF99/BX99</f>
        <v>60.458333333333329</v>
      </c>
      <c r="EL99" s="2">
        <f t="shared" ref="EL99" si="2088">100*$AF99/BY99</f>
        <v>52.66796875</v>
      </c>
      <c r="EM99" s="2">
        <f t="shared" ref="EM99" si="2089">100*$AF99/BZ99</f>
        <v>53.774739583333321</v>
      </c>
      <c r="EN99" s="2">
        <f t="shared" ref="EN99" si="2090">100*$AF99/CA99</f>
        <v>49.938802083333329</v>
      </c>
      <c r="EO99" s="2">
        <f t="shared" ref="EO99" si="2091">100*$AF99/CB99</f>
        <v>64.0625</v>
      </c>
      <c r="EP99" s="2">
        <f t="shared" ref="EP99" si="2092">100*$AF99/CC99</f>
        <v>62.763020833333329</v>
      </c>
      <c r="EQ99" s="2">
        <f t="shared" ref="EQ99" si="2093">100*$AF99/CD99</f>
        <v>61.283854166666671</v>
      </c>
      <c r="ER99" s="2">
        <f t="shared" ref="ER99" si="2094">100*$AF99/CE99</f>
        <v>53.158854166666671</v>
      </c>
      <c r="ES99" s="2">
        <f t="shared" ref="ES99" si="2095">100*$AF99/CF99</f>
        <v>57.666666666666671</v>
      </c>
      <c r="ET99" s="2">
        <f t="shared" ref="ET99" si="2096">100*$AF99/CG99</f>
        <v>50.736979166666664</v>
      </c>
      <c r="EU99" s="2">
        <f t="shared" ref="EU99" si="2097">100*$AF99/CH99</f>
        <v>53.2109375</v>
      </c>
      <c r="EV99" s="2">
        <f t="shared" ref="EV99" si="2098">100*$AF99/CI99</f>
        <v>50.653645833333329</v>
      </c>
      <c r="EW99" s="2">
        <f t="shared" ref="EW99" si="2099">100*$AF99/CJ99</f>
        <v>58.072916666666664</v>
      </c>
      <c r="EX99" s="2">
        <f t="shared" ref="EX99" si="2100">100*$AF99/CK99</f>
        <v>57.423177083333336</v>
      </c>
      <c r="EY99" s="2">
        <f t="shared" ref="EY99" si="2101">100*$AF99/CL99</f>
        <v>56.68359375</v>
      </c>
      <c r="EZ99" s="2">
        <f t="shared" ref="EZ99" si="2102">100*$AF99/CM99</f>
        <v>50.016927083333336</v>
      </c>
      <c r="FA99" s="2">
        <f t="shared" ref="FA99" si="2103">100*$AF99/CN99</f>
        <v>54.875</v>
      </c>
      <c r="FB99" s="2">
        <f t="shared" ref="FB99" si="2104">100*$AF99/CO99</f>
        <v>48.805989583333336</v>
      </c>
      <c r="FC99" s="2">
        <f t="shared" ref="FC99" si="2105">100*$AF99/CP99</f>
        <v>52.647135416666664</v>
      </c>
      <c r="FD99" s="2">
        <f t="shared" ref="FD99" si="2106">100*$AF99/CQ99</f>
        <v>51.368489583333321</v>
      </c>
    </row>
    <row r="100" spans="3:160" x14ac:dyDescent="0.4">
      <c r="C100" s="1" t="s">
        <v>26</v>
      </c>
      <c r="D100" s="1" t="s">
        <v>5</v>
      </c>
      <c r="E100" s="1">
        <v>0.28799999999999998</v>
      </c>
      <c r="F100" s="1">
        <v>0.18</v>
      </c>
      <c r="G100" s="1">
        <v>0.108</v>
      </c>
      <c r="H100" s="1">
        <v>4.7E-2</v>
      </c>
      <c r="I100" s="1">
        <v>4349</v>
      </c>
      <c r="J100" s="1">
        <v>3941</v>
      </c>
      <c r="K100" s="1">
        <v>56</v>
      </c>
      <c r="L100" s="1">
        <v>5157</v>
      </c>
      <c r="M100" s="1">
        <v>5895</v>
      </c>
      <c r="N100" s="1">
        <v>72</v>
      </c>
      <c r="O100" s="1">
        <v>86</v>
      </c>
      <c r="P100" s="1">
        <v>87.5</v>
      </c>
      <c r="Q100" s="1">
        <v>90</v>
      </c>
      <c r="R100" s="1">
        <v>50</v>
      </c>
      <c r="S100" s="1">
        <v>86</v>
      </c>
      <c r="T100" s="4">
        <v>0</v>
      </c>
      <c r="U100" s="1">
        <v>1.274</v>
      </c>
      <c r="V100" s="1">
        <v>6.7000000000000004E-2</v>
      </c>
      <c r="W100" s="1">
        <v>4.0199999999999996</v>
      </c>
      <c r="X100" s="1">
        <f t="shared" ref="X100" si="2107">H101</f>
        <v>1.7999999999999999E-2</v>
      </c>
      <c r="Y100" s="1">
        <f t="shared" ref="Y100" si="2108">H102</f>
        <v>4.2999999999999997E-2</v>
      </c>
      <c r="Z100" s="1">
        <f t="shared" ref="Z100" si="2109">H103</f>
        <v>1.9E-2</v>
      </c>
      <c r="AA100" s="1">
        <f t="shared" ref="AA100" si="2110">H104</f>
        <v>1.7000000000000001E-2</v>
      </c>
      <c r="AB100" s="1">
        <f t="shared" ref="AB100" si="2111">H105</f>
        <v>1.9E-2</v>
      </c>
      <c r="AC100" s="1">
        <f t="shared" si="1193"/>
        <v>4418.7949916196849</v>
      </c>
      <c r="AE100" s="1" t="s">
        <v>96</v>
      </c>
      <c r="AF100" s="1">
        <v>1</v>
      </c>
      <c r="AG100" s="1">
        <v>0.81499999999999995</v>
      </c>
      <c r="AH100" s="1">
        <v>0.64500000000000002</v>
      </c>
      <c r="AI100" s="1">
        <v>0.39500000000000002</v>
      </c>
      <c r="AJ100" s="1">
        <v>0.36</v>
      </c>
      <c r="AK100" s="1">
        <v>0.245</v>
      </c>
      <c r="AL100" s="1">
        <v>0.14499999999999999</v>
      </c>
      <c r="AM100" s="20">
        <v>6.5000000000000002E-2</v>
      </c>
      <c r="AN100" s="1">
        <v>1</v>
      </c>
      <c r="AO100" s="1">
        <v>0.81499999999999995</v>
      </c>
      <c r="AP100" s="1">
        <v>0.64500000000000002</v>
      </c>
      <c r="AQ100" s="1">
        <v>0.39500000000000002</v>
      </c>
      <c r="AR100" s="1">
        <v>0.36</v>
      </c>
      <c r="AS100" s="1">
        <v>0.245</v>
      </c>
      <c r="AT100" s="1">
        <v>0.14499999999999999</v>
      </c>
      <c r="AU100" s="20">
        <v>6.5000000000000002E-2</v>
      </c>
      <c r="AV100" s="1">
        <v>1</v>
      </c>
      <c r="AW100" s="1">
        <v>0.81499999999999995</v>
      </c>
      <c r="AX100" s="1">
        <v>0.64500000000000002</v>
      </c>
      <c r="AY100" s="1">
        <v>0.39500000000000002</v>
      </c>
      <c r="AZ100" s="1">
        <v>0.36</v>
      </c>
      <c r="BA100" s="1">
        <v>0.245</v>
      </c>
      <c r="BB100" s="1">
        <v>0.14499999999999999</v>
      </c>
      <c r="BC100" s="20">
        <v>6.5000000000000002E-2</v>
      </c>
      <c r="BD100" s="1">
        <v>1</v>
      </c>
      <c r="BE100" s="1">
        <v>0.81499999999999995</v>
      </c>
      <c r="BF100" s="1">
        <v>0.64500000000000002</v>
      </c>
      <c r="BG100" s="1">
        <v>0.39500000000000002</v>
      </c>
      <c r="BH100" s="1">
        <v>0.36</v>
      </c>
      <c r="BI100" s="1">
        <v>0.245</v>
      </c>
      <c r="BJ100" s="1">
        <v>0.14499999999999999</v>
      </c>
      <c r="BK100" s="20">
        <v>6.5000000000000002E-2</v>
      </c>
      <c r="BL100" s="1">
        <v>1</v>
      </c>
      <c r="BM100" s="1">
        <v>0.81499999999999995</v>
      </c>
      <c r="BN100" s="1">
        <v>0.64500000000000002</v>
      </c>
      <c r="BO100" s="1">
        <v>0.39500000000000002</v>
      </c>
      <c r="BP100" s="1">
        <v>0.36</v>
      </c>
      <c r="BQ100" s="1">
        <v>0.245</v>
      </c>
      <c r="BR100" s="1">
        <v>0.14499999999999999</v>
      </c>
      <c r="BS100" s="20">
        <v>6.5000000000000002E-2</v>
      </c>
      <c r="BT100" s="1">
        <v>1</v>
      </c>
      <c r="BU100" s="1">
        <v>0.81499999999999995</v>
      </c>
      <c r="BV100" s="1">
        <v>0.64500000000000002</v>
      </c>
      <c r="BW100" s="1">
        <v>0.39500000000000002</v>
      </c>
      <c r="BX100" s="1">
        <v>0.36</v>
      </c>
      <c r="BY100" s="1">
        <v>0.245</v>
      </c>
      <c r="BZ100" s="1">
        <v>0.14499999999999999</v>
      </c>
      <c r="CA100" s="20">
        <v>6.5000000000000002E-2</v>
      </c>
      <c r="CB100" s="1">
        <v>1</v>
      </c>
      <c r="CC100" s="1">
        <v>0.81499999999999995</v>
      </c>
      <c r="CD100" s="1">
        <v>0.64500000000000002</v>
      </c>
      <c r="CE100" s="1">
        <v>0.39500000000000002</v>
      </c>
      <c r="CF100" s="1">
        <v>0.36</v>
      </c>
      <c r="CG100" s="1">
        <v>0.245</v>
      </c>
      <c r="CH100" s="1">
        <v>0.14499999999999999</v>
      </c>
      <c r="CI100" s="20">
        <v>6.5000000000000002E-2</v>
      </c>
      <c r="CJ100" s="1">
        <v>1</v>
      </c>
      <c r="CK100" s="1">
        <v>0.81499999999999995</v>
      </c>
      <c r="CL100" s="1">
        <v>0.64500000000000002</v>
      </c>
      <c r="CM100" s="1">
        <v>0.39500000000000002</v>
      </c>
      <c r="CN100" s="1">
        <v>0.36</v>
      </c>
      <c r="CO100" s="1">
        <v>0.245</v>
      </c>
      <c r="CP100" s="1">
        <v>0.14499999999999999</v>
      </c>
      <c r="CQ100" s="20">
        <v>6.5000000000000002E-2</v>
      </c>
    </row>
    <row r="101" spans="3:160" x14ac:dyDescent="0.4">
      <c r="C101" s="1" t="s">
        <v>26</v>
      </c>
      <c r="D101" s="1" t="s">
        <v>6</v>
      </c>
      <c r="E101" s="1">
        <v>0.25</v>
      </c>
      <c r="F101" s="1">
        <v>0.14299999999999999</v>
      </c>
      <c r="G101" s="1">
        <v>0.108</v>
      </c>
      <c r="H101" s="1">
        <v>1.7999999999999999E-2</v>
      </c>
      <c r="I101" s="1">
        <v>4349</v>
      </c>
      <c r="J101" s="1">
        <v>3941</v>
      </c>
      <c r="K101" s="1">
        <v>56</v>
      </c>
      <c r="L101" s="1">
        <v>5157</v>
      </c>
      <c r="M101" s="1">
        <v>5895</v>
      </c>
      <c r="N101" s="1">
        <v>72</v>
      </c>
      <c r="O101" s="1">
        <v>86</v>
      </c>
      <c r="P101" s="1">
        <v>87.5</v>
      </c>
      <c r="Q101" s="1">
        <v>90</v>
      </c>
      <c r="R101" s="1">
        <v>50</v>
      </c>
      <c r="S101" s="1">
        <v>86</v>
      </c>
      <c r="T101" s="4">
        <v>0</v>
      </c>
      <c r="U101" s="1">
        <v>1.274</v>
      </c>
      <c r="V101" s="1">
        <v>6.7000000000000004E-2</v>
      </c>
      <c r="W101" s="1">
        <v>4.0199999999999996</v>
      </c>
      <c r="X101" s="1">
        <f t="shared" ref="X101" si="2112">H101</f>
        <v>1.7999999999999999E-2</v>
      </c>
      <c r="Y101" s="1">
        <f t="shared" ref="Y101" si="2113">H102</f>
        <v>4.2999999999999997E-2</v>
      </c>
      <c r="Z101" s="1">
        <f t="shared" ref="Z101" si="2114">H103</f>
        <v>1.9E-2</v>
      </c>
      <c r="AA101" s="1">
        <f t="shared" ref="AA101" si="2115">H104</f>
        <v>1.7000000000000001E-2</v>
      </c>
      <c r="AB101" s="1">
        <f t="shared" ref="AB101" si="2116">H105</f>
        <v>1.9E-2</v>
      </c>
      <c r="AC101" s="1">
        <f t="shared" si="1193"/>
        <v>4418.7949916196849</v>
      </c>
      <c r="CQ101" s="20"/>
    </row>
    <row r="102" spans="3:160" x14ac:dyDescent="0.4">
      <c r="C102" s="1" t="s">
        <v>26</v>
      </c>
      <c r="D102" s="1" t="s">
        <v>7</v>
      </c>
      <c r="E102" s="1">
        <v>0.28399999999999997</v>
      </c>
      <c r="F102" s="1">
        <v>0.17599999999999999</v>
      </c>
      <c r="G102" s="1">
        <v>0.108</v>
      </c>
      <c r="H102" s="1">
        <v>4.2999999999999997E-2</v>
      </c>
      <c r="I102" s="1">
        <v>4349</v>
      </c>
      <c r="J102" s="1">
        <v>3941</v>
      </c>
      <c r="K102" s="1">
        <v>56</v>
      </c>
      <c r="L102" s="1">
        <v>5157</v>
      </c>
      <c r="M102" s="1">
        <v>5895</v>
      </c>
      <c r="N102" s="1">
        <v>72</v>
      </c>
      <c r="O102" s="1">
        <v>86</v>
      </c>
      <c r="P102" s="1">
        <v>87.5</v>
      </c>
      <c r="Q102" s="1">
        <v>90</v>
      </c>
      <c r="R102" s="1">
        <v>50</v>
      </c>
      <c r="S102" s="1">
        <v>86</v>
      </c>
      <c r="T102" s="4">
        <v>0</v>
      </c>
      <c r="U102" s="1">
        <v>1.274</v>
      </c>
      <c r="V102" s="1">
        <v>6.7000000000000004E-2</v>
      </c>
      <c r="W102" s="1">
        <v>4.0199999999999996</v>
      </c>
      <c r="X102" s="1">
        <f t="shared" ref="X102" si="2117">H101</f>
        <v>1.7999999999999999E-2</v>
      </c>
      <c r="Y102" s="1">
        <f t="shared" ref="Y102" si="2118">H102</f>
        <v>4.2999999999999997E-2</v>
      </c>
      <c r="Z102" s="1">
        <f t="shared" ref="Z102" si="2119">H103</f>
        <v>1.9E-2</v>
      </c>
      <c r="AA102" s="1">
        <f t="shared" ref="AA102" si="2120">H104</f>
        <v>1.7000000000000001E-2</v>
      </c>
      <c r="AB102" s="1">
        <f t="shared" ref="AB102" si="2121">H105</f>
        <v>1.9E-2</v>
      </c>
      <c r="AC102" s="1">
        <f t="shared" si="1193"/>
        <v>4418.7949916196849</v>
      </c>
      <c r="AE102" s="1" t="s">
        <v>97</v>
      </c>
      <c r="AF102" s="1">
        <v>0</v>
      </c>
      <c r="AG102" s="1">
        <v>0.12</v>
      </c>
      <c r="AH102" s="1">
        <v>0.21</v>
      </c>
      <c r="AI102" s="1">
        <v>0.26</v>
      </c>
      <c r="AJ102" s="1">
        <v>0.28000000000000003</v>
      </c>
      <c r="AK102" s="1">
        <v>0.26</v>
      </c>
      <c r="AL102" s="1">
        <v>0.21</v>
      </c>
      <c r="AM102" s="20">
        <v>0.12</v>
      </c>
      <c r="AN102" s="1">
        <v>0</v>
      </c>
      <c r="AO102" s="1">
        <v>0.12</v>
      </c>
      <c r="AP102" s="1">
        <v>0.21</v>
      </c>
      <c r="AQ102" s="1">
        <v>0.26</v>
      </c>
      <c r="AR102" s="1">
        <v>0.28000000000000003</v>
      </c>
      <c r="AS102" s="1">
        <v>0.26</v>
      </c>
      <c r="AT102" s="1">
        <v>0.21</v>
      </c>
      <c r="AU102" s="20">
        <v>0.12</v>
      </c>
      <c r="AV102" s="1">
        <v>0</v>
      </c>
      <c r="AW102" s="1">
        <v>0.12</v>
      </c>
      <c r="AX102" s="1">
        <v>0.21</v>
      </c>
      <c r="AY102" s="1">
        <v>0.26</v>
      </c>
      <c r="AZ102" s="1">
        <v>0.28000000000000003</v>
      </c>
      <c r="BA102" s="1">
        <v>0.26</v>
      </c>
      <c r="BB102" s="1">
        <v>0.21</v>
      </c>
      <c r="BC102" s="20">
        <v>0.12</v>
      </c>
      <c r="BD102" s="1">
        <v>0</v>
      </c>
      <c r="BE102" s="1">
        <v>0.12</v>
      </c>
      <c r="BF102" s="1">
        <v>0.21</v>
      </c>
      <c r="BG102" s="1">
        <v>0.26</v>
      </c>
      <c r="BH102" s="1">
        <v>0.28000000000000003</v>
      </c>
      <c r="BI102" s="1">
        <v>0.26</v>
      </c>
      <c r="BJ102" s="1">
        <v>0.21</v>
      </c>
      <c r="BK102" s="20">
        <v>0.12</v>
      </c>
      <c r="BL102" s="1">
        <v>0</v>
      </c>
      <c r="BM102" s="1">
        <v>0.12</v>
      </c>
      <c r="BN102" s="1">
        <v>0.21</v>
      </c>
      <c r="BO102" s="1">
        <v>0.26</v>
      </c>
      <c r="BP102" s="1">
        <v>0.28000000000000003</v>
      </c>
      <c r="BQ102" s="1">
        <v>0.26</v>
      </c>
      <c r="BR102" s="1">
        <v>0.21</v>
      </c>
      <c r="BS102" s="20">
        <v>0.12</v>
      </c>
      <c r="BT102" s="1">
        <v>0</v>
      </c>
      <c r="BU102" s="1">
        <v>0.12</v>
      </c>
      <c r="BV102" s="1">
        <v>0.21</v>
      </c>
      <c r="BW102" s="1">
        <v>0.26</v>
      </c>
      <c r="BX102" s="1">
        <v>0.28000000000000003</v>
      </c>
      <c r="BY102" s="1">
        <v>0.26</v>
      </c>
      <c r="BZ102" s="1">
        <v>0.21</v>
      </c>
      <c r="CA102" s="20">
        <v>0.12</v>
      </c>
      <c r="CB102" s="1">
        <v>0</v>
      </c>
      <c r="CC102" s="1">
        <v>0.12</v>
      </c>
      <c r="CD102" s="1">
        <v>0.21</v>
      </c>
      <c r="CE102" s="1">
        <v>0.26</v>
      </c>
      <c r="CF102" s="1">
        <v>0.28000000000000003</v>
      </c>
      <c r="CG102" s="1">
        <v>0.26</v>
      </c>
      <c r="CH102" s="1">
        <v>0.21</v>
      </c>
      <c r="CI102" s="20">
        <v>0.12</v>
      </c>
      <c r="CJ102" s="1">
        <v>0</v>
      </c>
      <c r="CK102" s="1">
        <v>0.12</v>
      </c>
      <c r="CL102" s="1">
        <v>0.21</v>
      </c>
      <c r="CM102" s="1">
        <v>0.26</v>
      </c>
      <c r="CN102" s="1">
        <v>0.28000000000000003</v>
      </c>
      <c r="CO102" s="1">
        <v>0.26</v>
      </c>
      <c r="CP102" s="1">
        <v>0.21</v>
      </c>
      <c r="CQ102" s="20">
        <v>0.12</v>
      </c>
    </row>
    <row r="103" spans="3:160" x14ac:dyDescent="0.4">
      <c r="C103" s="1" t="s">
        <v>26</v>
      </c>
      <c r="D103" s="1" t="s">
        <v>8</v>
      </c>
      <c r="E103" s="1">
        <v>0.252</v>
      </c>
      <c r="F103" s="1">
        <v>0.14399999999999999</v>
      </c>
      <c r="G103" s="1">
        <v>0.108</v>
      </c>
      <c r="H103" s="1">
        <v>1.9E-2</v>
      </c>
      <c r="I103" s="1">
        <v>4349</v>
      </c>
      <c r="J103" s="1">
        <v>3941</v>
      </c>
      <c r="K103" s="1">
        <v>56</v>
      </c>
      <c r="L103" s="1">
        <v>5157</v>
      </c>
      <c r="M103" s="1">
        <v>5895</v>
      </c>
      <c r="N103" s="1">
        <v>72</v>
      </c>
      <c r="O103" s="1">
        <v>86</v>
      </c>
      <c r="P103" s="1">
        <v>87.5</v>
      </c>
      <c r="Q103" s="1">
        <v>90</v>
      </c>
      <c r="R103" s="1">
        <v>50</v>
      </c>
      <c r="S103" s="1">
        <v>86</v>
      </c>
      <c r="T103" s="4">
        <v>0</v>
      </c>
      <c r="U103" s="1">
        <v>1.274</v>
      </c>
      <c r="V103" s="1">
        <v>6.7000000000000004E-2</v>
      </c>
      <c r="W103" s="1">
        <v>4.0199999999999996</v>
      </c>
      <c r="X103" s="1">
        <f t="shared" ref="X103" si="2122">H101</f>
        <v>1.7999999999999999E-2</v>
      </c>
      <c r="Y103" s="1">
        <f t="shared" ref="Y103" si="2123">H102</f>
        <v>4.2999999999999997E-2</v>
      </c>
      <c r="Z103" s="1">
        <f t="shared" ref="Z103" si="2124">H103</f>
        <v>1.9E-2</v>
      </c>
      <c r="AA103" s="1">
        <f t="shared" ref="AA103" si="2125">H104</f>
        <v>1.7000000000000001E-2</v>
      </c>
      <c r="AB103" s="1">
        <f t="shared" ref="AB103" si="2126">H105</f>
        <v>1.9E-2</v>
      </c>
      <c r="AC103" s="1">
        <f t="shared" si="1193"/>
        <v>4418.7949916196849</v>
      </c>
      <c r="CQ103" s="20"/>
    </row>
    <row r="104" spans="3:160" x14ac:dyDescent="0.4">
      <c r="C104" s="1" t="s">
        <v>26</v>
      </c>
      <c r="D104" s="1" t="s">
        <v>9</v>
      </c>
      <c r="E104" s="1">
        <v>0.249</v>
      </c>
      <c r="F104" s="1">
        <v>0.14099999999999999</v>
      </c>
      <c r="G104" s="1">
        <v>0.108</v>
      </c>
      <c r="H104" s="1">
        <v>1.7000000000000001E-2</v>
      </c>
      <c r="I104" s="1">
        <v>4349</v>
      </c>
      <c r="J104" s="1">
        <v>3941</v>
      </c>
      <c r="K104" s="1">
        <v>56</v>
      </c>
      <c r="L104" s="1">
        <v>5157</v>
      </c>
      <c r="M104" s="1">
        <v>5895</v>
      </c>
      <c r="N104" s="1">
        <v>72</v>
      </c>
      <c r="O104" s="1">
        <v>86</v>
      </c>
      <c r="P104" s="1">
        <v>87.5</v>
      </c>
      <c r="Q104" s="1">
        <v>90</v>
      </c>
      <c r="R104" s="1">
        <v>50</v>
      </c>
      <c r="S104" s="1">
        <v>86</v>
      </c>
      <c r="T104" s="4">
        <v>0</v>
      </c>
      <c r="U104" s="1">
        <v>1.274</v>
      </c>
      <c r="V104" s="1">
        <v>6.7000000000000004E-2</v>
      </c>
      <c r="W104" s="1">
        <v>4.0199999999999996</v>
      </c>
      <c r="X104" s="1">
        <f t="shared" ref="X104" si="2127">H101</f>
        <v>1.7999999999999999E-2</v>
      </c>
      <c r="Y104" s="1">
        <f t="shared" ref="Y104" si="2128">H102</f>
        <v>4.2999999999999997E-2</v>
      </c>
      <c r="Z104" s="1">
        <f t="shared" ref="Z104" si="2129">H103</f>
        <v>1.9E-2</v>
      </c>
      <c r="AA104" s="1">
        <f t="shared" ref="AA104" si="2130">H104</f>
        <v>1.7000000000000001E-2</v>
      </c>
      <c r="AB104" s="1">
        <f t="shared" ref="AB104" si="2131">H105</f>
        <v>1.9E-2</v>
      </c>
      <c r="AC104" s="1">
        <f t="shared" si="1193"/>
        <v>4418.7949916196849</v>
      </c>
      <c r="AE104" s="1" t="s">
        <v>98</v>
      </c>
      <c r="AF104" s="1">
        <v>0</v>
      </c>
      <c r="AG104" s="1">
        <v>6.5000000000000002E-2</v>
      </c>
      <c r="AH104" s="1">
        <v>0.14499999999999999</v>
      </c>
      <c r="AI104" s="1">
        <v>0.245</v>
      </c>
      <c r="AJ104" s="1">
        <v>0.36</v>
      </c>
      <c r="AK104" s="1">
        <v>0.39500000000000002</v>
      </c>
      <c r="AL104" s="1">
        <v>0.64500000000000002</v>
      </c>
      <c r="AM104" s="20">
        <v>0.81499999999999995</v>
      </c>
      <c r="AN104" s="1">
        <v>0</v>
      </c>
      <c r="AO104" s="1">
        <v>6.5000000000000002E-2</v>
      </c>
      <c r="AP104" s="1">
        <v>0.14499999999999999</v>
      </c>
      <c r="AQ104" s="1">
        <v>0.245</v>
      </c>
      <c r="AR104" s="1">
        <v>0.36</v>
      </c>
      <c r="AS104" s="1">
        <v>0.39500000000000002</v>
      </c>
      <c r="AT104" s="1">
        <v>0.64500000000000002</v>
      </c>
      <c r="AU104" s="20">
        <v>0.81499999999999995</v>
      </c>
      <c r="AV104" s="1">
        <v>0</v>
      </c>
      <c r="AW104" s="1">
        <v>6.5000000000000002E-2</v>
      </c>
      <c r="AX104" s="1">
        <v>0.14499999999999999</v>
      </c>
      <c r="AY104" s="1">
        <v>0.245</v>
      </c>
      <c r="AZ104" s="1">
        <v>0.36</v>
      </c>
      <c r="BA104" s="1">
        <v>0.39500000000000002</v>
      </c>
      <c r="BB104" s="1">
        <v>0.64500000000000002</v>
      </c>
      <c r="BC104" s="20">
        <v>0.81499999999999995</v>
      </c>
      <c r="BD104" s="1">
        <v>0</v>
      </c>
      <c r="BE104" s="1">
        <v>6.5000000000000002E-2</v>
      </c>
      <c r="BF104" s="1">
        <v>0.14499999999999999</v>
      </c>
      <c r="BG104" s="1">
        <v>0.245</v>
      </c>
      <c r="BH104" s="1">
        <v>0.36</v>
      </c>
      <c r="BI104" s="1">
        <v>0.39500000000000002</v>
      </c>
      <c r="BJ104" s="1">
        <v>0.64500000000000002</v>
      </c>
      <c r="BK104" s="20">
        <v>0.81499999999999995</v>
      </c>
      <c r="BL104" s="1">
        <v>0</v>
      </c>
      <c r="BM104" s="1">
        <v>6.5000000000000002E-2</v>
      </c>
      <c r="BN104" s="1">
        <v>0.14499999999999999</v>
      </c>
      <c r="BO104" s="1">
        <v>0.245</v>
      </c>
      <c r="BP104" s="1">
        <v>0.36</v>
      </c>
      <c r="BQ104" s="1">
        <v>0.39500000000000002</v>
      </c>
      <c r="BR104" s="1">
        <v>0.64500000000000002</v>
      </c>
      <c r="BS104" s="20">
        <v>0.81499999999999995</v>
      </c>
      <c r="BT104" s="1">
        <v>0</v>
      </c>
      <c r="BU104" s="1">
        <v>6.5000000000000002E-2</v>
      </c>
      <c r="BV104" s="1">
        <v>0.14499999999999999</v>
      </c>
      <c r="BW104" s="1">
        <v>0.245</v>
      </c>
      <c r="BX104" s="1">
        <v>0.36</v>
      </c>
      <c r="BY104" s="1">
        <v>0.39500000000000002</v>
      </c>
      <c r="BZ104" s="1">
        <v>0.64500000000000002</v>
      </c>
      <c r="CA104" s="20">
        <v>0.81499999999999995</v>
      </c>
      <c r="CB104" s="1">
        <v>0</v>
      </c>
      <c r="CC104" s="1">
        <v>6.5000000000000002E-2</v>
      </c>
      <c r="CD104" s="1">
        <v>0.14499999999999999</v>
      </c>
      <c r="CE104" s="1">
        <v>0.245</v>
      </c>
      <c r="CF104" s="1">
        <v>0.36</v>
      </c>
      <c r="CG104" s="1">
        <v>0.39500000000000002</v>
      </c>
      <c r="CH104" s="1">
        <v>0.64500000000000002</v>
      </c>
      <c r="CI104" s="20">
        <v>0.81499999999999995</v>
      </c>
      <c r="CJ104" s="1">
        <v>0</v>
      </c>
      <c r="CK104" s="1">
        <v>6.5000000000000002E-2</v>
      </c>
      <c r="CL104" s="1">
        <v>0.14499999999999999</v>
      </c>
      <c r="CM104" s="1">
        <v>0.245</v>
      </c>
      <c r="CN104" s="1">
        <v>0.36</v>
      </c>
      <c r="CO104" s="1">
        <v>0.39500000000000002</v>
      </c>
      <c r="CP104" s="1">
        <v>0.64500000000000002</v>
      </c>
      <c r="CQ104" s="20">
        <v>0.81499999999999995</v>
      </c>
    </row>
    <row r="105" spans="3:160" s="2" customFormat="1" x14ac:dyDescent="0.4">
      <c r="C105" s="2" t="s">
        <v>26</v>
      </c>
      <c r="D105" s="2" t="s">
        <v>10</v>
      </c>
      <c r="E105" s="2">
        <v>0.252</v>
      </c>
      <c r="F105" s="2">
        <v>0.14399999999999999</v>
      </c>
      <c r="G105" s="2">
        <v>0.108</v>
      </c>
      <c r="H105" s="2">
        <v>1.9E-2</v>
      </c>
      <c r="I105" s="2">
        <v>4349</v>
      </c>
      <c r="J105" s="2">
        <v>3941</v>
      </c>
      <c r="K105" s="2">
        <v>56</v>
      </c>
      <c r="L105" s="2">
        <v>5157</v>
      </c>
      <c r="M105" s="2">
        <v>5895</v>
      </c>
      <c r="N105" s="2">
        <v>72</v>
      </c>
      <c r="O105" s="2">
        <v>86</v>
      </c>
      <c r="P105" s="2">
        <v>87.5</v>
      </c>
      <c r="Q105" s="2">
        <v>90</v>
      </c>
      <c r="R105" s="2">
        <v>50</v>
      </c>
      <c r="S105" s="2">
        <v>86</v>
      </c>
      <c r="T105" s="6">
        <f t="shared" ref="T105" si="2132">(N100*O100*P100*Q100*R100*S100)/(I100*J100*K100*(F100*H100 + F101*H101 + F102*H102 + F103*H103 + F104*H104 + F105*H105))</f>
        <v>8252.6941112279037</v>
      </c>
      <c r="U105" s="2">
        <v>1.274</v>
      </c>
      <c r="V105" s="2">
        <v>6.7000000000000004E-2</v>
      </c>
      <c r="W105" s="2">
        <v>4.0199999999999996</v>
      </c>
      <c r="X105" s="2">
        <f t="shared" ref="X105" si="2133">H101</f>
        <v>1.7999999999999999E-2</v>
      </c>
      <c r="Y105" s="2">
        <f t="shared" ref="Y105" si="2134">H102</f>
        <v>4.2999999999999997E-2</v>
      </c>
      <c r="Z105" s="2">
        <f t="shared" ref="Z105" si="2135">H103</f>
        <v>1.9E-2</v>
      </c>
      <c r="AA105" s="2">
        <f t="shared" ref="AA105" si="2136">H104</f>
        <v>1.7000000000000001E-2</v>
      </c>
      <c r="AB105" s="2">
        <f t="shared" ref="AB105" si="2137">H105</f>
        <v>1.9E-2</v>
      </c>
      <c r="AC105" s="1">
        <f t="shared" si="1193"/>
        <v>4418.7949916196849</v>
      </c>
      <c r="AE105" s="2" t="s">
        <v>99</v>
      </c>
      <c r="AF105" s="23">
        <f>($O105*$Q105*$S105)^(1/3)/(AF100*((1-AF$2)*$H100+AF$2*$H101) + AF102*((1-AF$2)*$H102+AF$2*$H103) + AF104*((1-AF$2)*$H104+AF$2*$H105))</f>
        <v>1857.727226317216</v>
      </c>
      <c r="AG105" s="23">
        <f t="shared" ref="AG105" si="2138">($O105*$Q105*$S105)^(1/3)/(AG100*((1-AG$2)*$H100+AG$2*$H101) + AG102*((1-AG$2)*$H102+AG$2*$H103) + AG104*((1-AG$2)*$H104+AG$2*$H105))</f>
        <v>1959.0123319925769</v>
      </c>
      <c r="AH105" s="24">
        <f t="shared" ref="AH105" si="2139">($O105*$Q105*$S105)^(1/3)/(AH100*((1-AH$2)*$H100+AH$2*$H101) + AH102*((1-AH$2)*$H102+AH$2*$H103) + AH104*((1-AH$2)*$H104+AH$2*$H105))</f>
        <v>2088.332447665849</v>
      </c>
      <c r="AI105" s="24">
        <f t="shared" ref="AI105" si="2140">($O105*$Q105*$S105)^(1/3)/(AI100*((1-AI$2)*$H100+AI$2*$H101) + AI102*((1-AI$2)*$H102+AI$2*$H103) + AI104*((1-AI$2)*$H104+AI$2*$H105))</f>
        <v>2574.8504758746431</v>
      </c>
      <c r="AJ105" s="24">
        <f t="shared" ref="AJ105" si="2141">($O105*$Q105*$S105)^(1/3)/(AJ100*((1-AJ$2)*$H100+AJ$2*$H101) + AJ102*((1-AJ$2)*$H102+AJ$2*$H103) + AJ104*((1-AJ$2)*$H104+AJ$2*$H105))</f>
        <v>2488.9731937545371</v>
      </c>
      <c r="AK105" s="24">
        <f t="shared" ref="AK105" si="2142">($O105*$Q105*$S105)^(1/3)/(AK100*((1-AK$2)*$H100+AK$2*$H101) + AK102*((1-AK$2)*$H102+AK$2*$H103) + AK104*((1-AK$2)*$H104+AK$2*$H105))</f>
        <v>2968.8262372291451</v>
      </c>
      <c r="AL105" s="24">
        <f t="shared" ref="AL105" si="2143">($O105*$Q105*$S105)^(1/3)/(AL100*((1-AL$2)*$H100+AL$2*$H101) + AL102*((1-AL$2)*$H102+AL$2*$H103) + AL104*((1-AL$2)*$H104+AL$2*$H105))</f>
        <v>3256.7392628462944</v>
      </c>
      <c r="AM105" s="24">
        <f t="shared" ref="AM105" si="2144">($O105*$Q105*$S105)^(1/3)/(AM100*((1-AM$2)*$H100+AM$2*$H101) + AM102*((1-AM$2)*$H102+AM$2*$H103) + AM104*((1-AM$2)*$H104+AM$2*$H105))</f>
        <v>3956.1930057503018</v>
      </c>
      <c r="AN105" s="23">
        <f t="shared" ref="AN105" si="2145">($O105*$Q105*$S105)^(1/3)/(AN100*((1-AN$2)*$H100+AN$2*$H101) + AN102*((1-AN$2)*$H102+AN$2*$H103) + AN104*((1-AN$2)*$H104+AN$2*$H105))</f>
        <v>2012.9839685742743</v>
      </c>
      <c r="AO105" s="23">
        <f t="shared" ref="AO105" si="2146">($O105*$Q105*$S105)^(1/3)/(AO100*((1-AO$2)*$H100+AO$2*$H101) + AO102*((1-AO$2)*$H102+AO$2*$H103) + AO104*((1-AO$2)*$H104+AO$2*$H105))</f>
        <v>2115.5612541690716</v>
      </c>
      <c r="AP105" s="24">
        <f t="shared" ref="AP105" si="2147">($O105*$Q105*$S105)^(1/3)/(AP100*((1-AP$2)*$H100+AP$2*$H101) + AP102*((1-AP$2)*$H102+AP$2*$H103) + AP104*((1-AP$2)*$H104+AP$2*$H105))</f>
        <v>2245.8176580508743</v>
      </c>
      <c r="AQ105" s="24">
        <f t="shared" ref="AQ105" si="2148">($O105*$Q105*$S105)^(1/3)/(AQ100*((1-AQ$2)*$H100+AQ$2*$H101) + AQ102*((1-AQ$2)*$H102+AQ$2*$H103) + AQ104*((1-AQ$2)*$H104+AQ$2*$H105))</f>
        <v>2749.2096313894444</v>
      </c>
      <c r="AR105" s="24">
        <f t="shared" ref="AR105" si="2149">($O105*$Q105*$S105)^(1/3)/(AR100*((1-AR$2)*$H100+AR$2*$H101) + AR102*((1-AR$2)*$H102+AR$2*$H103) + AR104*((1-AR$2)*$H104+AR$2*$H105))</f>
        <v>2643.8510109586423</v>
      </c>
      <c r="AS105" s="24">
        <f t="shared" ref="AS105" si="2150">($O105*$Q105*$S105)^(1/3)/(AS100*((1-AS$2)*$H100+AS$2*$H101) + AS102*((1-AS$2)*$H102+AS$2*$H103) + AS104*((1-AS$2)*$H104+AS$2*$H105))</f>
        <v>3136.1788622528825</v>
      </c>
      <c r="AT105" s="24">
        <f t="shared" ref="AT105" si="2151">($O105*$Q105*$S105)^(1/3)/(AT100*((1-AT$2)*$H100+AT$2*$H101) + AT102*((1-AT$2)*$H102+AT$2*$H103) + AT104*((1-AT$2)*$H104+AT$2*$H105))</f>
        <v>3382.1834504068429</v>
      </c>
      <c r="AU105" s="24">
        <f t="shared" ref="AU105" si="2152">($O105*$Q105*$S105)^(1/3)/(AU100*((1-AU$2)*$H100+AU$2*$H101) + AU102*((1-AU$2)*$H102+AU$2*$H103) + AU104*((1-AU$2)*$H104+AU$2*$H105))</f>
        <v>4027.7090217400792</v>
      </c>
      <c r="AV105" s="23">
        <f t="shared" ref="AV105" si="2153">($O105*$Q105*$S105)^(1/3)/(AV100*((1-AV$2)*$H100+AV$2*$H101) + AV102*((1-AV$2)*$H102+AV$2*$H103) + AV104*((1-AV$2)*$H104+AV$2*$H105))</f>
        <v>2196.5579782870227</v>
      </c>
      <c r="AW105" s="24">
        <f t="shared" ref="AW105" si="2154">($O105*$Q105*$S105)^(1/3)/(AW100*((1-AW$2)*$H100+AW$2*$H101) + AW102*((1-AW$2)*$H102+AW$2*$H103) + AW104*((1-AW$2)*$H104+AW$2*$H105))</f>
        <v>2299.3035883184871</v>
      </c>
      <c r="AX105" s="24">
        <f t="shared" ref="AX105" si="2155">($O105*$Q105*$S105)^(1/3)/(AX100*((1-AX$2)*$H100+AX$2*$H101) + AX102*((1-AX$2)*$H102+AX$2*$H103) + AX104*((1-AX$2)*$H104+AX$2*$H105))</f>
        <v>2428.992722103395</v>
      </c>
      <c r="AY105" s="24">
        <f t="shared" ref="AY105" si="2156">($O105*$Q105*$S105)^(1/3)/(AY100*((1-AY$2)*$H100+AY$2*$H101) + AY102*((1-AY$2)*$H102+AY$2*$H103) + AY104*((1-AY$2)*$H104+AY$2*$H105))</f>
        <v>2948.8978642093689</v>
      </c>
      <c r="AZ105" s="24">
        <f t="shared" ref="AZ105" si="2157">($O105*$Q105*$S105)^(1/3)/(AZ100*((1-AZ$2)*$H100+AZ$2*$H101) + AZ102*((1-AZ$2)*$H102+AZ$2*$H103) + AZ104*((1-AZ$2)*$H104+AZ$2*$H105))</f>
        <v>2819.2825197581255</v>
      </c>
      <c r="BA105" s="24">
        <f t="shared" ref="BA105" si="2158">($O105*$Q105*$S105)^(1/3)/(BA100*((1-BA$2)*$H100+BA$2*$H101) + BA102*((1-BA$2)*$H102+BA$2*$H103) + BA104*((1-BA$2)*$H104+BA$2*$H105))</f>
        <v>3323.5258937777662</v>
      </c>
      <c r="BB105" s="24">
        <f t="shared" ref="BB105" si="2159">($O105*$Q105*$S105)^(1/3)/(BB100*((1-BB$2)*$H100+BB$2*$H101) + BB102*((1-BB$2)*$H102+BB$2*$H103) + BB104*((1-BB$2)*$H104+BB$2*$H105))</f>
        <v>3517.6785873761055</v>
      </c>
      <c r="BC105" s="24">
        <f t="shared" ref="BC105" si="2160">($O105*$Q105*$S105)^(1/3)/(BC100*((1-BC$2)*$H100+BC$2*$H101) + BC102*((1-BC$2)*$H102+BC$2*$H103) + BC104*((1-BC$2)*$H104+BC$2*$H105))</f>
        <v>4101.858224765243</v>
      </c>
      <c r="BD105" s="24">
        <f t="shared" ref="BD105" si="2161">($O105*$Q105*$S105)^(1/3)/(BD100*((1-BD$2)*$H100+BD$2*$H101) + BD102*((1-BD$2)*$H102+BD$2*$H103) + BD104*((1-BD$2)*$H104+BD$2*$H105))</f>
        <v>2416.9738307794923</v>
      </c>
      <c r="BE105" s="24">
        <f t="shared" ref="BE105" si="2162">($O105*$Q105*$S105)^(1/3)/(BE100*((1-BE$2)*$H100+BE$2*$H101) + BE102*((1-BE$2)*$H102+BE$2*$H103) + BE104*((1-BE$2)*$H104+BE$2*$H105))</f>
        <v>2517.9987278357398</v>
      </c>
      <c r="BF105" s="24">
        <f t="shared" ref="BF105" si="2163">($O105*$Q105*$S105)^(1/3)/(BF100*((1-BF$2)*$H100+BF$2*$H101) + BF102*((1-BF$2)*$H102+BF$2*$H103) + BF104*((1-BF$2)*$H104+BF$2*$H105))</f>
        <v>2644.7018802236648</v>
      </c>
      <c r="BG105" s="24">
        <f t="shared" ref="BG105" si="2164">($O105*$Q105*$S105)^(1/3)/(BG100*((1-BG$2)*$H100+BG$2*$H101) + BG102*((1-BG$2)*$H102+BG$2*$H103) + BG104*((1-BG$2)*$H104+BG$2*$H105))</f>
        <v>3179.8667839449763</v>
      </c>
      <c r="BH105" s="24">
        <f t="shared" ref="BH105" si="2165">($O105*$Q105*$S105)^(1/3)/(BH100*((1-BH$2)*$H100+BH$2*$H101) + BH102*((1-BH$2)*$H102+BH$2*$H103) + BH104*((1-BH$2)*$H104+BH$2*$H105))</f>
        <v>3019.6499960888523</v>
      </c>
      <c r="BI105" s="24">
        <f t="shared" ref="BI105" si="2166">($O105*$Q105*$S105)^(1/3)/(BI100*((1-BI$2)*$H100+BI$2*$H101) + BI102*((1-BI$2)*$H102+BI$2*$H103) + BI104*((1-BI$2)*$H104+BI$2*$H105))</f>
        <v>3534.6782232890887</v>
      </c>
      <c r="BJ105" s="24">
        <f t="shared" ref="BJ105" si="2167">($O105*$Q105*$S105)^(1/3)/(BJ100*((1-BJ$2)*$H100+BJ$2*$H101) + BJ102*((1-BJ$2)*$H102+BJ$2*$H103) + BJ104*((1-BJ$2)*$H104+BJ$2*$H105))</f>
        <v>3664.4830527255112</v>
      </c>
      <c r="BK105" s="24">
        <f t="shared" ref="BK105" si="2168">($O105*$Q105*$S105)^(1/3)/(BK100*((1-BK$2)*$H100+BK$2*$H101) + BK102*((1-BK$2)*$H102+BK$2*$H103) + BK104*((1-BK$2)*$H104+BK$2*$H105))</f>
        <v>4178.7887714712288</v>
      </c>
      <c r="BL105" s="24">
        <f t="shared" ref="BL105" si="2169">($O105*$Q105*$S105)^(1/3)/(BL100*((1-BL$2)*$H100+BL$2*$H101) + BL102*((1-BL$2)*$H102+BL$2*$H103) + BL104*((1-BL$2)*$H104+BL$2*$H105))</f>
        <v>2686.5593734433587</v>
      </c>
      <c r="BM105" s="24">
        <f t="shared" ref="BM105" si="2170">($O105*$Q105*$S105)^(1/3)/(BM100*((1-BM$2)*$H100+BM$2*$H101) + BM102*((1-BM$2)*$H102+BM$2*$H103) + BM104*((1-BM$2)*$H104+BM$2*$H105))</f>
        <v>2782.6684610599682</v>
      </c>
      <c r="BN105" s="24">
        <f t="shared" ref="BN105" si="2171">($O105*$Q105*$S105)^(1/3)/(BN100*((1-BN$2)*$H100+BN$2*$H101) + BN102*((1-BN$2)*$H102+BN$2*$H103) + BN104*((1-BN$2)*$H104+BN$2*$H105))</f>
        <v>2902.4575629322412</v>
      </c>
      <c r="BO105" s="24">
        <f t="shared" ref="BO105" si="2172">($O105*$Q105*$S105)^(1/3)/(BO100*((1-BO$2)*$H100+BO$2*$H101) + BO102*((1-BO$2)*$H102+BO$2*$H103) + BO104*((1-BO$2)*$H104+BO$2*$H105))</f>
        <v>3450.0910653722872</v>
      </c>
      <c r="BP105" s="24">
        <f t="shared" ref="BP105" si="2173">($O105*$Q105*$S105)^(1/3)/(BP100*((1-BP$2)*$H100+BP$2*$H101) + BP102*((1-BP$2)*$H102+BP$2*$H103) + BP104*((1-BP$2)*$H104+BP$2*$H105))</f>
        <v>3250.6768293711521</v>
      </c>
      <c r="BQ105" s="24">
        <f t="shared" ref="BQ105" si="2174">($O105*$Q105*$S105)^(1/3)/(BQ100*((1-BQ$2)*$H100+BQ$2*$H101) + BQ102*((1-BQ$2)*$H102+BQ$2*$H103) + BQ104*((1-BQ$2)*$H104+BQ$2*$H105))</f>
        <v>3774.4809094092357</v>
      </c>
      <c r="BR105" s="24">
        <f t="shared" ref="BR105" si="2175">($O105*$Q105*$S105)^(1/3)/(BR100*((1-BR$2)*$H100+BR$2*$H101) + BR102*((1-BR$2)*$H102+BR$2*$H103) + BR104*((1-BR$2)*$H104+BR$2*$H105))</f>
        <v>3824.0744393697205</v>
      </c>
      <c r="BS105" s="24">
        <f t="shared" ref="BS105" si="2176">($O105*$Q105*$S105)^(1/3)/(BS100*((1-BS$2)*$H100+BS$2*$H101) + BS102*((1-BS$2)*$H102+BS$2*$H103) + BS104*((1-BS$2)*$H104+BS$2*$H105))</f>
        <v>4258.6601456851195</v>
      </c>
      <c r="BT105" s="24">
        <f t="shared" ref="BT105" si="2177">($O105*$Q105*$S105)^(1/3)/(BT100*((1-BT$2)*$H100+BT$2*$H101) + BT102*((1-BT$2)*$H102+BT$2*$H103) + BT104*((1-BT$2)*$H104+BT$2*$H105))</f>
        <v>3023.8330610184989</v>
      </c>
      <c r="BU105" s="24">
        <f t="shared" ref="BU105" si="2178">($O105*$Q105*$S105)^(1/3)/(BU100*((1-BU$2)*$H100+BU$2*$H101) + BU102*((1-BU$2)*$H102+BU$2*$H103) + BU104*((1-BU$2)*$H104+BU$2*$H105))</f>
        <v>3109.5129302881264</v>
      </c>
      <c r="BV105" s="24">
        <f t="shared" ref="BV105" si="2179">($O105*$Q105*$S105)^(1/3)/(BV100*((1-BV$2)*$H100+BV$2*$H101) + BV102*((1-BV$2)*$H102+BV$2*$H103) + BV104*((1-BV$2)*$H104+BV$2*$H105))</f>
        <v>3215.8810206729736</v>
      </c>
      <c r="BW105" s="24">
        <f t="shared" ref="BW105" si="2180">($O105*$Q105*$S105)^(1/3)/(BW100*((1-BW$2)*$H100+BW$2*$H101) + BW102*((1-BW$2)*$H102+BW$2*$H103) + BW104*((1-BW$2)*$H104+BW$2*$H105))</f>
        <v>3770.507878844151</v>
      </c>
      <c r="BX105" s="24">
        <f t="shared" ref="BX105" si="2181">($O105*$Q105*$S105)^(1/3)/(BX100*((1-BX$2)*$H100+BX$2*$H101) + BX102*((1-BX$2)*$H102+BX$2*$H103) + BX104*((1-BX$2)*$H104+BX$2*$H105))</f>
        <v>3519.9830532920441</v>
      </c>
      <c r="BY105" s="24">
        <f t="shared" ref="BY105" si="2182">($O105*$Q105*$S105)^(1/3)/(BY100*((1-BY$2)*$H100+BY$2*$H101) + BY102*((1-BY$2)*$H102+BY$2*$H103) + BY104*((1-BY$2)*$H104+BY$2*$H105))</f>
        <v>4049.1895138997315</v>
      </c>
      <c r="BZ105" s="24">
        <f t="shared" ref="BZ105" si="2183">($O105*$Q105*$S105)^(1/3)/(BZ100*((1-BZ$2)*$H100+BZ$2*$H101) + BZ102*((1-BZ$2)*$H102+BZ$2*$H103) + BZ104*((1-BZ$2)*$H104+BZ$2*$H105))</f>
        <v>3998.1994624954823</v>
      </c>
      <c r="CA105" s="24">
        <f t="shared" ref="CA105" si="2184">($O105*$Q105*$S105)^(1/3)/(CA100*((1-CA$2)*$H100+CA$2*$H101) + CA102*((1-CA$2)*$H102+CA$2*$H103) + CA104*((1-CA$2)*$H104+CA$2*$H105))</f>
        <v>4341.6442620211528</v>
      </c>
      <c r="CB105" s="24">
        <f t="shared" ref="CB105" si="2185">($O105*$Q105*$S105)^(1/3)/(CB100*((1-CB$2)*$H100+CB$2*$H101) + CB102*((1-CB$2)*$H102+CB$2*$H103) + CB104*((1-CB$2)*$H104+CB$2*$H105))</f>
        <v>3457.9477083924421</v>
      </c>
      <c r="CC105" s="24">
        <f t="shared" ref="CC105" si="2186">($O105*$Q105*$S105)^(1/3)/(CC100*((1-CC$2)*$H100+CC$2*$H101) + CC102*((1-CC$2)*$H102+CC$2*$H103) + CC104*((1-CC$2)*$H104+CC$2*$H105))</f>
        <v>3523.3565553355529</v>
      </c>
      <c r="CD105" s="24">
        <f t="shared" ref="CD105" si="2187">($O105*$Q105*$S105)^(1/3)/(CD100*((1-CD$2)*$H100+CD$2*$H101) + CD102*((1-CD$2)*$H102+CD$2*$H103) + CD104*((1-CD$2)*$H104+CD$2*$H105))</f>
        <v>3605.1893527497973</v>
      </c>
      <c r="CE105" s="24">
        <f t="shared" ref="CE105" si="2188">($O105*$Q105*$S105)^(1/3)/(CE100*((1-CE$2)*$H100+CE$2*$H101) + CE102*((1-CE$2)*$H102+CE$2*$H103) + CE104*((1-CE$2)*$H104+CE$2*$H105))</f>
        <v>4156.5333953899035</v>
      </c>
      <c r="CF105" s="24">
        <f t="shared" ref="CF105" si="2189">($O105*$Q105*$S105)^(1/3)/(CF100*((1-CF$2)*$H100+CF$2*$H101) + CF102*((1-CF$2)*$H102+CF$2*$H103) + CF104*((1-CF$2)*$H104+CF$2*$H105))</f>
        <v>3837.941962061941</v>
      </c>
      <c r="CG105" s="24">
        <f t="shared" ref="CG105" si="2190">($O105*$Q105*$S105)^(1/3)/(CG100*((1-CG$2)*$H100+CG$2*$H101) + CG102*((1-CG$2)*$H102+CG$2*$H103) + CG104*((1-CG$2)*$H104+CG$2*$H105))</f>
        <v>4367.0236767444412</v>
      </c>
      <c r="CH105" s="24">
        <f t="shared" ref="CH105" si="2191">($O105*$Q105*$S105)^(1/3)/(CH100*((1-CH$2)*$H100+CH$2*$H101) + CH102*((1-CH$2)*$H102+CH$2*$H103) + CH104*((1-CH$2)*$H104+CH$2*$H105))</f>
        <v>4188.9381534948916</v>
      </c>
      <c r="CI105" s="24">
        <f t="shared" ref="CI105" si="2192">($O105*$Q105*$S105)^(1/3)/(CI100*((1-CI$2)*$H100+CI$2*$H101) + CI102*((1-CI$2)*$H102+CI$2*$H103) + CI104*((1-CI$2)*$H104+CI$2*$H105))</f>
        <v>4427.9267010793865</v>
      </c>
      <c r="CJ105" s="24">
        <f t="shared" ref="CJ105" si="2193">($O105*$Q105*$S105)^(1/3)/(CJ100*((1-CJ$2)*$H100+CJ$2*$H101) + CJ102*((1-CJ$2)*$H102+CJ$2*$H103) + CJ104*((1-CJ$2)*$H104+CJ$2*$H105))</f>
        <v>4037.6036826316376</v>
      </c>
      <c r="CK105" s="24">
        <f t="shared" ref="CK105" si="2194">($O105*$Q105*$S105)^(1/3)/(CK100*((1-CK$2)*$H100+CK$2*$H101) + CK102*((1-CK$2)*$H102+CK$2*$H103) + CK104*((1-CK$2)*$H104+CK$2*$H105))</f>
        <v>4064.2681005165291</v>
      </c>
      <c r="CL105" s="24">
        <f t="shared" ref="CL105" si="2195">($O105*$Q105*$S105)^(1/3)/(CL100*((1-CL$2)*$H100+CL$2*$H101) + CL102*((1-CL$2)*$H102+CL$2*$H103) + CL104*((1-CL$2)*$H104+CL$2*$H105))</f>
        <v>4101.7377908645194</v>
      </c>
      <c r="CM105" s="24">
        <f t="shared" ref="CM105" si="2196">($O105*$Q105*$S105)^(1/3)/(CM100*((1-CM$2)*$H100+CM$2*$H101) + CM102*((1-CM$2)*$H102+CM$2*$H103) + CM104*((1-CM$2)*$H104+CM$2*$H105))</f>
        <v>4630.6171042810383</v>
      </c>
      <c r="CN105" s="24">
        <f t="shared" ref="CN105" si="2197">($O105*$Q105*$S105)^(1/3)/(CN100*((1-CN$2)*$H100+CN$2*$H101) + CN102*((1-CN$2)*$H102+CN$2*$H103) + CN104*((1-CN$2)*$H104+CN$2*$H105))</f>
        <v>4219.047095284328</v>
      </c>
      <c r="CO105" s="24">
        <f t="shared" ref="CO105" si="2198">($O105*$Q105*$S105)^(1/3)/(CO100*((1-CO$2)*$H100+CO$2*$H101) + CO102*((1-CO$2)*$H102+CO$2*$H103) + CO104*((1-CO$2)*$H104+CO$2*$H105))</f>
        <v>4739.0036099954086</v>
      </c>
      <c r="CP105" s="24">
        <f t="shared" ref="CP105" si="2199">($O105*$Q105*$S105)^(1/3)/(CP100*((1-CP$2)*$H100+CP$2*$H101) + CP102*((1-CP$2)*$H102+CP$2*$H103) + CP104*((1-CP$2)*$H104+CP$2*$H105))</f>
        <v>4398.7873490681268</v>
      </c>
      <c r="CQ105" s="24">
        <f t="shared" ref="CQ105" si="2200">($O105*$Q105*$S105)^(1/3)/(CQ100*((1-CQ$2)*$H100+CQ$2*$H101) + CQ102*((1-CQ$2)*$H102+CQ$2*$H103) + CQ104*((1-CQ$2)*$H104+CQ$2*$H105))</f>
        <v>4517.7080949149386</v>
      </c>
      <c r="CS105" s="2">
        <f t="shared" ref="CS105" si="2201">100*$AF105/AF105</f>
        <v>100</v>
      </c>
      <c r="CT105" s="2">
        <f t="shared" ref="CT105" si="2202">100*$AF105/AG105</f>
        <v>94.829787234042556</v>
      </c>
      <c r="CU105" s="2">
        <f t="shared" ref="CU105" si="2203">100*$AF105/AH105</f>
        <v>88.957446808510653</v>
      </c>
      <c r="CV105" s="2">
        <f t="shared" ref="CV105" si="2204">100*$AF105/AI105</f>
        <v>72.148936170212778</v>
      </c>
      <c r="CW105" s="2">
        <f t="shared" ref="CW105" si="2205">100*$AF105/AJ105</f>
        <v>74.638297872340416</v>
      </c>
      <c r="CX105" s="2">
        <f t="shared" ref="CX105" si="2206">100*$AF105/AK105</f>
        <v>62.574468085106382</v>
      </c>
      <c r="CY105" s="2">
        <f t="shared" ref="CY105" si="2207">100*$AF105/AL105</f>
        <v>57.042553191489361</v>
      </c>
      <c r="CZ105" s="2">
        <f t="shared" ref="CZ105" si="2208">100*$AF105/AM105</f>
        <v>46.957446808510639</v>
      </c>
      <c r="DA105" s="2">
        <f t="shared" ref="DA105" si="2209">100*$AF105/AN105</f>
        <v>92.287234042553209</v>
      </c>
      <c r="DB105" s="2">
        <f t="shared" ref="DB105" si="2210">100*$AF105/AO105</f>
        <v>87.8125</v>
      </c>
      <c r="DC105" s="2">
        <f t="shared" ref="DC105" si="2211">100*$AF105/AP105</f>
        <v>82.719414893617028</v>
      </c>
      <c r="DD105" s="2">
        <f t="shared" ref="DD105" si="2212">100*$AF105/AQ105</f>
        <v>67.573138297872362</v>
      </c>
      <c r="DE105" s="2">
        <f t="shared" ref="DE105" si="2213">100*$AF105/AR105</f>
        <v>70.265957446808514</v>
      </c>
      <c r="DF105" s="2">
        <f t="shared" ref="DF105" si="2214">100*$AF105/AS105</f>
        <v>59.235372340425535</v>
      </c>
      <c r="DG105" s="2">
        <f t="shared" ref="DG105" si="2215">100*$AF105/AT105</f>
        <v>54.92686170212766</v>
      </c>
      <c r="DH105" s="2">
        <f t="shared" ref="DH105" si="2216">100*$AF105/AU105</f>
        <v>46.123670212765958</v>
      </c>
      <c r="DI105" s="2">
        <f t="shared" ref="DI105" si="2217">100*$AF105/AV105</f>
        <v>84.574468085106389</v>
      </c>
      <c r="DJ105" s="2">
        <f t="shared" ref="DJ105" si="2218">100*$AF105/AW105</f>
        <v>80.795212765957459</v>
      </c>
      <c r="DK105" s="2">
        <f t="shared" ref="DK105" si="2219">100*$AF105/AX105</f>
        <v>76.481382978723403</v>
      </c>
      <c r="DL105" s="2">
        <f t="shared" ref="DL105" si="2220">100*$AF105/AY105</f>
        <v>62.997340425531917</v>
      </c>
      <c r="DM105" s="2">
        <f t="shared" ref="DM105" si="2221">100*$AF105/AZ105</f>
        <v>65.893617021276597</v>
      </c>
      <c r="DN105" s="2">
        <f t="shared" ref="DN105" si="2222">100*$AF105/BA105</f>
        <v>55.896276595744695</v>
      </c>
      <c r="DO105" s="2">
        <f t="shared" ref="DO105" si="2223">100*$AF105/BB105</f>
        <v>52.811170212765958</v>
      </c>
      <c r="DP105" s="2">
        <f t="shared" ref="DP105" si="2224">100*$AF105/BC105</f>
        <v>45.289893617021278</v>
      </c>
      <c r="DQ105" s="2">
        <f t="shared" ref="DQ105" si="2225">100*$AF105/BD105</f>
        <v>76.861702127659569</v>
      </c>
      <c r="DR105" s="2">
        <f t="shared" ref="DR105" si="2226">100*$AF105/BE105</f>
        <v>73.777925531914875</v>
      </c>
      <c r="DS105" s="2">
        <f t="shared" ref="DS105" si="2227">100*$AF105/BF105</f>
        <v>70.243351063829792</v>
      </c>
      <c r="DT105" s="2">
        <f t="shared" ref="DT105" si="2228">100*$AF105/BG105</f>
        <v>58.421542553191493</v>
      </c>
      <c r="DU105" s="2">
        <f t="shared" ref="DU105" si="2229">100*$AF105/BH105</f>
        <v>61.521276595744673</v>
      </c>
      <c r="DV105" s="2">
        <f t="shared" ref="DV105" si="2230">100*$AF105/BI105</f>
        <v>52.557180851063826</v>
      </c>
      <c r="DW105" s="2">
        <f t="shared" ref="DW105" si="2231">100*$AF105/BJ105</f>
        <v>50.69547872340425</v>
      </c>
      <c r="DX105" s="2">
        <f t="shared" ref="DX105" si="2232">100*$AF105/BK105</f>
        <v>44.456117021276597</v>
      </c>
      <c r="DY105" s="2">
        <f t="shared" ref="DY105" si="2233">100*$AF105/BL105</f>
        <v>69.148936170212764</v>
      </c>
      <c r="DZ105" s="2">
        <f t="shared" ref="DZ105" si="2234">100*$AF105/BM105</f>
        <v>66.760638297872347</v>
      </c>
      <c r="EA105" s="2">
        <f t="shared" ref="EA105" si="2235">100*$AF105/BN105</f>
        <v>64.005319148936181</v>
      </c>
      <c r="EB105" s="2">
        <f t="shared" ref="EB105" si="2236">100*$AF105/BO105</f>
        <v>53.845744680851062</v>
      </c>
      <c r="EC105" s="2">
        <f t="shared" ref="EC105" si="2237">100*$AF105/BP105</f>
        <v>57.148936170212778</v>
      </c>
      <c r="ED105" s="2">
        <f t="shared" ref="ED105" si="2238">100*$AF105/BQ105</f>
        <v>49.218085106382986</v>
      </c>
      <c r="EE105" s="2">
        <f t="shared" ref="EE105" si="2239">100*$AF105/BR105</f>
        <v>48.579787234042563</v>
      </c>
      <c r="EF105" s="2">
        <f t="shared" ref="EF105" si="2240">100*$AF105/BS105</f>
        <v>43.62234042553191</v>
      </c>
      <c r="EG105" s="2">
        <f t="shared" ref="EG105" si="2241">100*$AF105/BT105</f>
        <v>61.436170212765958</v>
      </c>
      <c r="EH105" s="2">
        <f t="shared" ref="EH105" si="2242">100*$AF105/BU105</f>
        <v>59.743351063829785</v>
      </c>
      <c r="EI105" s="2">
        <f t="shared" ref="EI105" si="2243">100*$AF105/BV105</f>
        <v>57.767287234042556</v>
      </c>
      <c r="EJ105" s="2">
        <f t="shared" ref="EJ105" si="2244">100*$AF105/BW105</f>
        <v>49.269946808510646</v>
      </c>
      <c r="EK105" s="2">
        <f t="shared" ref="EK105" si="2245">100*$AF105/BX105</f>
        <v>52.776595744680854</v>
      </c>
      <c r="EL105" s="2">
        <f t="shared" ref="EL105" si="2246">100*$AF105/BY105</f>
        <v>45.878989361702132</v>
      </c>
      <c r="EM105" s="2">
        <f t="shared" ref="EM105" si="2247">100*$AF105/BZ105</f>
        <v>46.464095744680854</v>
      </c>
      <c r="EN105" s="2">
        <f t="shared" ref="EN105" si="2248">100*$AF105/CA105</f>
        <v>42.788563829787236</v>
      </c>
      <c r="EO105" s="2">
        <f t="shared" ref="EO105" si="2249">100*$AF105/CB105</f>
        <v>53.723404255319146</v>
      </c>
      <c r="EP105" s="2">
        <f t="shared" ref="EP105" si="2250">100*$AF105/CC105</f>
        <v>52.726063829787229</v>
      </c>
      <c r="EQ105" s="2">
        <f t="shared" ref="EQ105" si="2251">100*$AF105/CD105</f>
        <v>51.529255319148938</v>
      </c>
      <c r="ER105" s="2">
        <f t="shared" ref="ER105" si="2252">100*$AF105/CE105</f>
        <v>44.694148936170208</v>
      </c>
      <c r="ES105" s="2">
        <f t="shared" ref="ES105" si="2253">100*$AF105/CF105</f>
        <v>48.404255319148938</v>
      </c>
      <c r="ET105" s="2">
        <f t="shared" ref="ET105" si="2254">100*$AF105/CG105</f>
        <v>42.539893617021271</v>
      </c>
      <c r="EU105" s="2">
        <f t="shared" ref="EU105" si="2255">100*$AF105/CH105</f>
        <v>44.348404255319153</v>
      </c>
      <c r="EV105" s="2">
        <f t="shared" ref="EV105" si="2256">100*$AF105/CI105</f>
        <v>41.954787234042556</v>
      </c>
      <c r="EW105" s="2">
        <f t="shared" ref="EW105" si="2257">100*$AF105/CJ105</f>
        <v>46.01063829787234</v>
      </c>
      <c r="EX105" s="2">
        <f t="shared" ref="EX105" si="2258">100*$AF105/CK105</f>
        <v>45.708776595744681</v>
      </c>
      <c r="EY105" s="2">
        <f t="shared" ref="EY105" si="2259">100*$AF105/CL105</f>
        <v>45.291223404255312</v>
      </c>
      <c r="EZ105" s="2">
        <f t="shared" ref="EZ105" si="2260">100*$AF105/CM105</f>
        <v>40.118351063829792</v>
      </c>
      <c r="FA105" s="2">
        <f t="shared" ref="FA105" si="2261">100*$AF105/CN105</f>
        <v>44.031914893617014</v>
      </c>
      <c r="FB105" s="2">
        <f t="shared" ref="FB105" si="2262">100*$AF105/CO105</f>
        <v>39.200797872340424</v>
      </c>
      <c r="FC105" s="2">
        <f t="shared" ref="FC105" si="2263">100*$AF105/CP105</f>
        <v>42.232712765957451</v>
      </c>
      <c r="FD105" s="2">
        <f t="shared" ref="FD105" si="2264">100*$AF105/CQ105</f>
        <v>41.121010638297875</v>
      </c>
    </row>
    <row r="106" spans="3:160" x14ac:dyDescent="0.4">
      <c r="C106" s="1" t="s">
        <v>27</v>
      </c>
      <c r="D106" s="1" t="s">
        <v>5</v>
      </c>
      <c r="E106" s="1">
        <v>0.28999999999999998</v>
      </c>
      <c r="F106" s="1">
        <v>0.18099999999999999</v>
      </c>
      <c r="G106" s="1">
        <v>0.108</v>
      </c>
      <c r="H106" s="1">
        <v>4.9000000000000002E-2</v>
      </c>
      <c r="I106" s="1">
        <v>4355</v>
      </c>
      <c r="J106" s="1">
        <v>4061</v>
      </c>
      <c r="K106" s="1">
        <v>56</v>
      </c>
      <c r="L106" s="1">
        <v>5158</v>
      </c>
      <c r="M106" s="1">
        <v>6015</v>
      </c>
      <c r="N106" s="1">
        <v>72</v>
      </c>
      <c r="O106" s="1">
        <v>86</v>
      </c>
      <c r="P106" s="1">
        <v>87.5</v>
      </c>
      <c r="Q106" s="1">
        <v>90</v>
      </c>
      <c r="R106" s="1">
        <v>50</v>
      </c>
      <c r="S106" s="1">
        <v>86</v>
      </c>
      <c r="T106" s="4">
        <v>0</v>
      </c>
      <c r="U106" s="1">
        <v>1.613</v>
      </c>
      <c r="V106" s="1">
        <v>7.3999999999999996E-2</v>
      </c>
      <c r="W106" s="1">
        <v>4.0199999999999996</v>
      </c>
      <c r="X106" s="1">
        <f t="shared" ref="X106" si="2265">H107</f>
        <v>0.02</v>
      </c>
      <c r="Y106" s="1">
        <f t="shared" ref="Y106" si="2266">H108</f>
        <v>4.4999999999999998E-2</v>
      </c>
      <c r="Z106" s="1">
        <f t="shared" ref="Z106" si="2267">H109</f>
        <v>2.1000000000000001E-2</v>
      </c>
      <c r="AA106" s="1">
        <f t="shared" ref="AA106" si="2268">H110</f>
        <v>1.7999999999999999E-2</v>
      </c>
      <c r="AB106" s="1">
        <f t="shared" ref="AB106" si="2269">H111</f>
        <v>2.1000000000000001E-2</v>
      </c>
      <c r="AC106" s="1">
        <f t="shared" si="1193"/>
        <v>4404.0846201563218</v>
      </c>
      <c r="AE106" s="1" t="s">
        <v>96</v>
      </c>
      <c r="AF106" s="1">
        <v>1</v>
      </c>
      <c r="AG106" s="1">
        <v>0.81499999999999995</v>
      </c>
      <c r="AH106" s="1">
        <v>0.64500000000000002</v>
      </c>
      <c r="AI106" s="1">
        <v>0.39500000000000002</v>
      </c>
      <c r="AJ106" s="1">
        <v>0.36</v>
      </c>
      <c r="AK106" s="1">
        <v>0.245</v>
      </c>
      <c r="AL106" s="1">
        <v>0.14499999999999999</v>
      </c>
      <c r="AM106" s="20">
        <v>6.5000000000000002E-2</v>
      </c>
      <c r="AN106" s="1">
        <v>1</v>
      </c>
      <c r="AO106" s="1">
        <v>0.81499999999999995</v>
      </c>
      <c r="AP106" s="1">
        <v>0.64500000000000002</v>
      </c>
      <c r="AQ106" s="1">
        <v>0.39500000000000002</v>
      </c>
      <c r="AR106" s="1">
        <v>0.36</v>
      </c>
      <c r="AS106" s="1">
        <v>0.245</v>
      </c>
      <c r="AT106" s="1">
        <v>0.14499999999999999</v>
      </c>
      <c r="AU106" s="20">
        <v>6.5000000000000002E-2</v>
      </c>
      <c r="AV106" s="1">
        <v>1</v>
      </c>
      <c r="AW106" s="1">
        <v>0.81499999999999995</v>
      </c>
      <c r="AX106" s="1">
        <v>0.64500000000000002</v>
      </c>
      <c r="AY106" s="1">
        <v>0.39500000000000002</v>
      </c>
      <c r="AZ106" s="1">
        <v>0.36</v>
      </c>
      <c r="BA106" s="1">
        <v>0.245</v>
      </c>
      <c r="BB106" s="1">
        <v>0.14499999999999999</v>
      </c>
      <c r="BC106" s="20">
        <v>6.5000000000000002E-2</v>
      </c>
      <c r="BD106" s="1">
        <v>1</v>
      </c>
      <c r="BE106" s="1">
        <v>0.81499999999999995</v>
      </c>
      <c r="BF106" s="1">
        <v>0.64500000000000002</v>
      </c>
      <c r="BG106" s="1">
        <v>0.39500000000000002</v>
      </c>
      <c r="BH106" s="1">
        <v>0.36</v>
      </c>
      <c r="BI106" s="1">
        <v>0.245</v>
      </c>
      <c r="BJ106" s="1">
        <v>0.14499999999999999</v>
      </c>
      <c r="BK106" s="20">
        <v>6.5000000000000002E-2</v>
      </c>
      <c r="BL106" s="1">
        <v>1</v>
      </c>
      <c r="BM106" s="1">
        <v>0.81499999999999995</v>
      </c>
      <c r="BN106" s="1">
        <v>0.64500000000000002</v>
      </c>
      <c r="BO106" s="1">
        <v>0.39500000000000002</v>
      </c>
      <c r="BP106" s="1">
        <v>0.36</v>
      </c>
      <c r="BQ106" s="1">
        <v>0.245</v>
      </c>
      <c r="BR106" s="1">
        <v>0.14499999999999999</v>
      </c>
      <c r="BS106" s="20">
        <v>6.5000000000000002E-2</v>
      </c>
      <c r="BT106" s="1">
        <v>1</v>
      </c>
      <c r="BU106" s="1">
        <v>0.81499999999999995</v>
      </c>
      <c r="BV106" s="1">
        <v>0.64500000000000002</v>
      </c>
      <c r="BW106" s="1">
        <v>0.39500000000000002</v>
      </c>
      <c r="BX106" s="1">
        <v>0.36</v>
      </c>
      <c r="BY106" s="1">
        <v>0.245</v>
      </c>
      <c r="BZ106" s="1">
        <v>0.14499999999999999</v>
      </c>
      <c r="CA106" s="20">
        <v>6.5000000000000002E-2</v>
      </c>
      <c r="CB106" s="1">
        <v>1</v>
      </c>
      <c r="CC106" s="1">
        <v>0.81499999999999995</v>
      </c>
      <c r="CD106" s="1">
        <v>0.64500000000000002</v>
      </c>
      <c r="CE106" s="1">
        <v>0.39500000000000002</v>
      </c>
      <c r="CF106" s="1">
        <v>0.36</v>
      </c>
      <c r="CG106" s="1">
        <v>0.245</v>
      </c>
      <c r="CH106" s="1">
        <v>0.14499999999999999</v>
      </c>
      <c r="CI106" s="20">
        <v>6.5000000000000002E-2</v>
      </c>
      <c r="CJ106" s="1">
        <v>1</v>
      </c>
      <c r="CK106" s="1">
        <v>0.81499999999999995</v>
      </c>
      <c r="CL106" s="1">
        <v>0.64500000000000002</v>
      </c>
      <c r="CM106" s="1">
        <v>0.39500000000000002</v>
      </c>
      <c r="CN106" s="1">
        <v>0.36</v>
      </c>
      <c r="CO106" s="1">
        <v>0.245</v>
      </c>
      <c r="CP106" s="1">
        <v>0.14499999999999999</v>
      </c>
      <c r="CQ106" s="20">
        <v>6.5000000000000002E-2</v>
      </c>
    </row>
    <row r="107" spans="3:160" x14ac:dyDescent="0.4">
      <c r="C107" s="1" t="s">
        <v>27</v>
      </c>
      <c r="D107" s="1" t="s">
        <v>6</v>
      </c>
      <c r="E107" s="1">
        <v>0.253</v>
      </c>
      <c r="F107" s="1">
        <v>0.14499999999999999</v>
      </c>
      <c r="G107" s="1">
        <v>0.108</v>
      </c>
      <c r="H107" s="1">
        <v>0.02</v>
      </c>
      <c r="I107" s="1">
        <v>4355</v>
      </c>
      <c r="J107" s="1">
        <v>4061</v>
      </c>
      <c r="K107" s="1">
        <v>56</v>
      </c>
      <c r="L107" s="1">
        <v>5158</v>
      </c>
      <c r="M107" s="1">
        <v>6015</v>
      </c>
      <c r="N107" s="1">
        <v>72</v>
      </c>
      <c r="O107" s="1">
        <v>86</v>
      </c>
      <c r="P107" s="1">
        <v>87.5</v>
      </c>
      <c r="Q107" s="1">
        <v>90</v>
      </c>
      <c r="R107" s="1">
        <v>50</v>
      </c>
      <c r="S107" s="1">
        <v>86</v>
      </c>
      <c r="T107" s="4">
        <v>0</v>
      </c>
      <c r="U107" s="1">
        <v>1.613</v>
      </c>
      <c r="V107" s="1">
        <v>7.3999999999999996E-2</v>
      </c>
      <c r="W107" s="1">
        <v>4.0199999999999996</v>
      </c>
      <c r="X107" s="1">
        <f t="shared" ref="X107" si="2270">H107</f>
        <v>0.02</v>
      </c>
      <c r="Y107" s="1">
        <f t="shared" ref="Y107" si="2271">H108</f>
        <v>4.4999999999999998E-2</v>
      </c>
      <c r="Z107" s="1">
        <f t="shared" ref="Z107" si="2272">H109</f>
        <v>2.1000000000000001E-2</v>
      </c>
      <c r="AA107" s="1">
        <f t="shared" ref="AA107" si="2273">H110</f>
        <v>1.7999999999999999E-2</v>
      </c>
      <c r="AB107" s="1">
        <f t="shared" ref="AB107" si="2274">H111</f>
        <v>2.1000000000000001E-2</v>
      </c>
      <c r="AC107" s="1">
        <f t="shared" si="1193"/>
        <v>4404.0846201563218</v>
      </c>
      <c r="CQ107" s="20"/>
    </row>
    <row r="108" spans="3:160" x14ac:dyDescent="0.4">
      <c r="C108" s="1" t="s">
        <v>27</v>
      </c>
      <c r="D108" s="1" t="s">
        <v>7</v>
      </c>
      <c r="E108" s="1">
        <v>0.28599999999999998</v>
      </c>
      <c r="F108" s="1">
        <v>0.17799999999999999</v>
      </c>
      <c r="G108" s="1">
        <v>0.108</v>
      </c>
      <c r="H108" s="1">
        <v>4.4999999999999998E-2</v>
      </c>
      <c r="I108" s="1">
        <v>4355</v>
      </c>
      <c r="J108" s="1">
        <v>4061</v>
      </c>
      <c r="K108" s="1">
        <v>56</v>
      </c>
      <c r="L108" s="1">
        <v>5158</v>
      </c>
      <c r="M108" s="1">
        <v>6015</v>
      </c>
      <c r="N108" s="1">
        <v>72</v>
      </c>
      <c r="O108" s="1">
        <v>86</v>
      </c>
      <c r="P108" s="1">
        <v>87.5</v>
      </c>
      <c r="Q108" s="1">
        <v>90</v>
      </c>
      <c r="R108" s="1">
        <v>50</v>
      </c>
      <c r="S108" s="1">
        <v>86</v>
      </c>
      <c r="T108" s="4">
        <v>0</v>
      </c>
      <c r="U108" s="1">
        <v>1.613</v>
      </c>
      <c r="V108" s="1">
        <v>7.3999999999999996E-2</v>
      </c>
      <c r="W108" s="1">
        <v>4.0199999999999996</v>
      </c>
      <c r="X108" s="1">
        <f t="shared" ref="X108" si="2275">H107</f>
        <v>0.02</v>
      </c>
      <c r="Y108" s="1">
        <f t="shared" ref="Y108" si="2276">H108</f>
        <v>4.4999999999999998E-2</v>
      </c>
      <c r="Z108" s="1">
        <f t="shared" ref="Z108" si="2277">H109</f>
        <v>2.1000000000000001E-2</v>
      </c>
      <c r="AA108" s="1">
        <f t="shared" ref="AA108" si="2278">H110</f>
        <v>1.7999999999999999E-2</v>
      </c>
      <c r="AB108" s="1">
        <f t="shared" ref="AB108" si="2279">H111</f>
        <v>2.1000000000000001E-2</v>
      </c>
      <c r="AC108" s="1">
        <f t="shared" si="1193"/>
        <v>4404.0846201563218</v>
      </c>
      <c r="AE108" s="1" t="s">
        <v>97</v>
      </c>
      <c r="AF108" s="1">
        <v>0</v>
      </c>
      <c r="AG108" s="1">
        <v>0.12</v>
      </c>
      <c r="AH108" s="1">
        <v>0.21</v>
      </c>
      <c r="AI108" s="1">
        <v>0.26</v>
      </c>
      <c r="AJ108" s="1">
        <v>0.28000000000000003</v>
      </c>
      <c r="AK108" s="1">
        <v>0.26</v>
      </c>
      <c r="AL108" s="1">
        <v>0.21</v>
      </c>
      <c r="AM108" s="20">
        <v>0.12</v>
      </c>
      <c r="AN108" s="1">
        <v>0</v>
      </c>
      <c r="AO108" s="1">
        <v>0.12</v>
      </c>
      <c r="AP108" s="1">
        <v>0.21</v>
      </c>
      <c r="AQ108" s="1">
        <v>0.26</v>
      </c>
      <c r="AR108" s="1">
        <v>0.28000000000000003</v>
      </c>
      <c r="AS108" s="1">
        <v>0.26</v>
      </c>
      <c r="AT108" s="1">
        <v>0.21</v>
      </c>
      <c r="AU108" s="20">
        <v>0.12</v>
      </c>
      <c r="AV108" s="1">
        <v>0</v>
      </c>
      <c r="AW108" s="1">
        <v>0.12</v>
      </c>
      <c r="AX108" s="1">
        <v>0.21</v>
      </c>
      <c r="AY108" s="1">
        <v>0.26</v>
      </c>
      <c r="AZ108" s="1">
        <v>0.28000000000000003</v>
      </c>
      <c r="BA108" s="1">
        <v>0.26</v>
      </c>
      <c r="BB108" s="1">
        <v>0.21</v>
      </c>
      <c r="BC108" s="20">
        <v>0.12</v>
      </c>
      <c r="BD108" s="1">
        <v>0</v>
      </c>
      <c r="BE108" s="1">
        <v>0.12</v>
      </c>
      <c r="BF108" s="1">
        <v>0.21</v>
      </c>
      <c r="BG108" s="1">
        <v>0.26</v>
      </c>
      <c r="BH108" s="1">
        <v>0.28000000000000003</v>
      </c>
      <c r="BI108" s="1">
        <v>0.26</v>
      </c>
      <c r="BJ108" s="1">
        <v>0.21</v>
      </c>
      <c r="BK108" s="20">
        <v>0.12</v>
      </c>
      <c r="BL108" s="1">
        <v>0</v>
      </c>
      <c r="BM108" s="1">
        <v>0.12</v>
      </c>
      <c r="BN108" s="1">
        <v>0.21</v>
      </c>
      <c r="BO108" s="1">
        <v>0.26</v>
      </c>
      <c r="BP108" s="1">
        <v>0.28000000000000003</v>
      </c>
      <c r="BQ108" s="1">
        <v>0.26</v>
      </c>
      <c r="BR108" s="1">
        <v>0.21</v>
      </c>
      <c r="BS108" s="20">
        <v>0.12</v>
      </c>
      <c r="BT108" s="1">
        <v>0</v>
      </c>
      <c r="BU108" s="1">
        <v>0.12</v>
      </c>
      <c r="BV108" s="1">
        <v>0.21</v>
      </c>
      <c r="BW108" s="1">
        <v>0.26</v>
      </c>
      <c r="BX108" s="1">
        <v>0.28000000000000003</v>
      </c>
      <c r="BY108" s="1">
        <v>0.26</v>
      </c>
      <c r="BZ108" s="1">
        <v>0.21</v>
      </c>
      <c r="CA108" s="20">
        <v>0.12</v>
      </c>
      <c r="CB108" s="1">
        <v>0</v>
      </c>
      <c r="CC108" s="1">
        <v>0.12</v>
      </c>
      <c r="CD108" s="1">
        <v>0.21</v>
      </c>
      <c r="CE108" s="1">
        <v>0.26</v>
      </c>
      <c r="CF108" s="1">
        <v>0.28000000000000003</v>
      </c>
      <c r="CG108" s="1">
        <v>0.26</v>
      </c>
      <c r="CH108" s="1">
        <v>0.21</v>
      </c>
      <c r="CI108" s="20">
        <v>0.12</v>
      </c>
      <c r="CJ108" s="1">
        <v>0</v>
      </c>
      <c r="CK108" s="1">
        <v>0.12</v>
      </c>
      <c r="CL108" s="1">
        <v>0.21</v>
      </c>
      <c r="CM108" s="1">
        <v>0.26</v>
      </c>
      <c r="CN108" s="1">
        <v>0.28000000000000003</v>
      </c>
      <c r="CO108" s="1">
        <v>0.26</v>
      </c>
      <c r="CP108" s="1">
        <v>0.21</v>
      </c>
      <c r="CQ108" s="20">
        <v>0.12</v>
      </c>
    </row>
    <row r="109" spans="3:160" x14ac:dyDescent="0.4">
      <c r="C109" s="1" t="s">
        <v>27</v>
      </c>
      <c r="D109" s="1" t="s">
        <v>8</v>
      </c>
      <c r="E109" s="1">
        <v>0.254</v>
      </c>
      <c r="F109" s="1">
        <v>0.14599999999999999</v>
      </c>
      <c r="G109" s="1">
        <v>0.108</v>
      </c>
      <c r="H109" s="1">
        <v>2.1000000000000001E-2</v>
      </c>
      <c r="I109" s="1">
        <v>4355</v>
      </c>
      <c r="J109" s="1">
        <v>4061</v>
      </c>
      <c r="K109" s="1">
        <v>56</v>
      </c>
      <c r="L109" s="1">
        <v>5158</v>
      </c>
      <c r="M109" s="1">
        <v>6015</v>
      </c>
      <c r="N109" s="1">
        <v>72</v>
      </c>
      <c r="O109" s="1">
        <v>86</v>
      </c>
      <c r="P109" s="1">
        <v>87.5</v>
      </c>
      <c r="Q109" s="1">
        <v>90</v>
      </c>
      <c r="R109" s="1">
        <v>50</v>
      </c>
      <c r="S109" s="1">
        <v>86</v>
      </c>
      <c r="T109" s="4">
        <v>0</v>
      </c>
      <c r="U109" s="1">
        <v>1.613</v>
      </c>
      <c r="V109" s="1">
        <v>7.3999999999999996E-2</v>
      </c>
      <c r="W109" s="1">
        <v>4.0199999999999996</v>
      </c>
      <c r="X109" s="1">
        <f t="shared" ref="X109" si="2280">H107</f>
        <v>0.02</v>
      </c>
      <c r="Y109" s="1">
        <f t="shared" ref="Y109" si="2281">H108</f>
        <v>4.4999999999999998E-2</v>
      </c>
      <c r="Z109" s="1">
        <f t="shared" ref="Z109" si="2282">H109</f>
        <v>2.1000000000000001E-2</v>
      </c>
      <c r="AA109" s="1">
        <f t="shared" ref="AA109" si="2283">H110</f>
        <v>1.7999999999999999E-2</v>
      </c>
      <c r="AB109" s="1">
        <f t="shared" ref="AB109" si="2284">H111</f>
        <v>2.1000000000000001E-2</v>
      </c>
      <c r="AC109" s="1">
        <f t="shared" si="1193"/>
        <v>4404.0846201563218</v>
      </c>
      <c r="CQ109" s="20"/>
    </row>
    <row r="110" spans="3:160" x14ac:dyDescent="0.4">
      <c r="C110" s="1" t="s">
        <v>27</v>
      </c>
      <c r="D110" s="1" t="s">
        <v>9</v>
      </c>
      <c r="E110" s="1">
        <v>0.251</v>
      </c>
      <c r="F110" s="1">
        <v>0.14299999999999999</v>
      </c>
      <c r="G110" s="1">
        <v>0.108</v>
      </c>
      <c r="H110" s="1">
        <v>1.7999999999999999E-2</v>
      </c>
      <c r="I110" s="1">
        <v>4355</v>
      </c>
      <c r="J110" s="1">
        <v>4061</v>
      </c>
      <c r="K110" s="1">
        <v>56</v>
      </c>
      <c r="L110" s="1">
        <v>5158</v>
      </c>
      <c r="M110" s="1">
        <v>6015</v>
      </c>
      <c r="N110" s="1">
        <v>72</v>
      </c>
      <c r="O110" s="1">
        <v>86</v>
      </c>
      <c r="P110" s="1">
        <v>87.5</v>
      </c>
      <c r="Q110" s="1">
        <v>90</v>
      </c>
      <c r="R110" s="1">
        <v>50</v>
      </c>
      <c r="S110" s="1">
        <v>86</v>
      </c>
      <c r="T110" s="4">
        <v>0</v>
      </c>
      <c r="U110" s="1">
        <v>1.613</v>
      </c>
      <c r="V110" s="1">
        <v>7.3999999999999996E-2</v>
      </c>
      <c r="W110" s="1">
        <v>4.0199999999999996</v>
      </c>
      <c r="X110" s="1">
        <f t="shared" ref="X110" si="2285">H107</f>
        <v>0.02</v>
      </c>
      <c r="Y110" s="1">
        <f t="shared" ref="Y110" si="2286">H108</f>
        <v>4.4999999999999998E-2</v>
      </c>
      <c r="Z110" s="1">
        <f t="shared" ref="Z110" si="2287">H109</f>
        <v>2.1000000000000001E-2</v>
      </c>
      <c r="AA110" s="1">
        <f t="shared" ref="AA110" si="2288">H110</f>
        <v>1.7999999999999999E-2</v>
      </c>
      <c r="AB110" s="1">
        <f t="shared" ref="AB110" si="2289">H111</f>
        <v>2.1000000000000001E-2</v>
      </c>
      <c r="AC110" s="1">
        <f t="shared" si="1193"/>
        <v>4404.0846201563218</v>
      </c>
      <c r="AE110" s="1" t="s">
        <v>98</v>
      </c>
      <c r="AF110" s="1">
        <v>0</v>
      </c>
      <c r="AG110" s="1">
        <v>6.5000000000000002E-2</v>
      </c>
      <c r="AH110" s="1">
        <v>0.14499999999999999</v>
      </c>
      <c r="AI110" s="1">
        <v>0.245</v>
      </c>
      <c r="AJ110" s="1">
        <v>0.36</v>
      </c>
      <c r="AK110" s="1">
        <v>0.39500000000000002</v>
      </c>
      <c r="AL110" s="1">
        <v>0.64500000000000002</v>
      </c>
      <c r="AM110" s="20">
        <v>0.81499999999999995</v>
      </c>
      <c r="AN110" s="1">
        <v>0</v>
      </c>
      <c r="AO110" s="1">
        <v>6.5000000000000002E-2</v>
      </c>
      <c r="AP110" s="1">
        <v>0.14499999999999999</v>
      </c>
      <c r="AQ110" s="1">
        <v>0.245</v>
      </c>
      <c r="AR110" s="1">
        <v>0.36</v>
      </c>
      <c r="AS110" s="1">
        <v>0.39500000000000002</v>
      </c>
      <c r="AT110" s="1">
        <v>0.64500000000000002</v>
      </c>
      <c r="AU110" s="20">
        <v>0.81499999999999995</v>
      </c>
      <c r="AV110" s="1">
        <v>0</v>
      </c>
      <c r="AW110" s="1">
        <v>6.5000000000000002E-2</v>
      </c>
      <c r="AX110" s="1">
        <v>0.14499999999999999</v>
      </c>
      <c r="AY110" s="1">
        <v>0.245</v>
      </c>
      <c r="AZ110" s="1">
        <v>0.36</v>
      </c>
      <c r="BA110" s="1">
        <v>0.39500000000000002</v>
      </c>
      <c r="BB110" s="1">
        <v>0.64500000000000002</v>
      </c>
      <c r="BC110" s="20">
        <v>0.81499999999999995</v>
      </c>
      <c r="BD110" s="1">
        <v>0</v>
      </c>
      <c r="BE110" s="1">
        <v>6.5000000000000002E-2</v>
      </c>
      <c r="BF110" s="1">
        <v>0.14499999999999999</v>
      </c>
      <c r="BG110" s="1">
        <v>0.245</v>
      </c>
      <c r="BH110" s="1">
        <v>0.36</v>
      </c>
      <c r="BI110" s="1">
        <v>0.39500000000000002</v>
      </c>
      <c r="BJ110" s="1">
        <v>0.64500000000000002</v>
      </c>
      <c r="BK110" s="20">
        <v>0.81499999999999995</v>
      </c>
      <c r="BL110" s="1">
        <v>0</v>
      </c>
      <c r="BM110" s="1">
        <v>6.5000000000000002E-2</v>
      </c>
      <c r="BN110" s="1">
        <v>0.14499999999999999</v>
      </c>
      <c r="BO110" s="1">
        <v>0.245</v>
      </c>
      <c r="BP110" s="1">
        <v>0.36</v>
      </c>
      <c r="BQ110" s="1">
        <v>0.39500000000000002</v>
      </c>
      <c r="BR110" s="1">
        <v>0.64500000000000002</v>
      </c>
      <c r="BS110" s="20">
        <v>0.81499999999999995</v>
      </c>
      <c r="BT110" s="1">
        <v>0</v>
      </c>
      <c r="BU110" s="1">
        <v>6.5000000000000002E-2</v>
      </c>
      <c r="BV110" s="1">
        <v>0.14499999999999999</v>
      </c>
      <c r="BW110" s="1">
        <v>0.245</v>
      </c>
      <c r="BX110" s="1">
        <v>0.36</v>
      </c>
      <c r="BY110" s="1">
        <v>0.39500000000000002</v>
      </c>
      <c r="BZ110" s="1">
        <v>0.64500000000000002</v>
      </c>
      <c r="CA110" s="20">
        <v>0.81499999999999995</v>
      </c>
      <c r="CB110" s="1">
        <v>0</v>
      </c>
      <c r="CC110" s="1">
        <v>6.5000000000000002E-2</v>
      </c>
      <c r="CD110" s="1">
        <v>0.14499999999999999</v>
      </c>
      <c r="CE110" s="1">
        <v>0.245</v>
      </c>
      <c r="CF110" s="1">
        <v>0.36</v>
      </c>
      <c r="CG110" s="1">
        <v>0.39500000000000002</v>
      </c>
      <c r="CH110" s="1">
        <v>0.64500000000000002</v>
      </c>
      <c r="CI110" s="20">
        <v>0.81499999999999995</v>
      </c>
      <c r="CJ110" s="1">
        <v>0</v>
      </c>
      <c r="CK110" s="1">
        <v>6.5000000000000002E-2</v>
      </c>
      <c r="CL110" s="1">
        <v>0.14499999999999999</v>
      </c>
      <c r="CM110" s="1">
        <v>0.245</v>
      </c>
      <c r="CN110" s="1">
        <v>0.36</v>
      </c>
      <c r="CO110" s="1">
        <v>0.39500000000000002</v>
      </c>
      <c r="CP110" s="1">
        <v>0.64500000000000002</v>
      </c>
      <c r="CQ110" s="20">
        <v>0.81499999999999995</v>
      </c>
    </row>
    <row r="111" spans="3:160" s="50" customFormat="1" ht="10.199999999999999" thickBot="1" x14ac:dyDescent="0.45">
      <c r="C111" s="50" t="s">
        <v>27</v>
      </c>
      <c r="D111" s="50" t="s">
        <v>10</v>
      </c>
      <c r="E111" s="50">
        <v>0.254</v>
      </c>
      <c r="F111" s="50">
        <v>0.14599999999999999</v>
      </c>
      <c r="G111" s="50">
        <v>0.108</v>
      </c>
      <c r="H111" s="50">
        <v>2.1000000000000001E-2</v>
      </c>
      <c r="I111" s="50">
        <v>4355</v>
      </c>
      <c r="J111" s="50">
        <v>4061</v>
      </c>
      <c r="K111" s="50">
        <v>56</v>
      </c>
      <c r="L111" s="50">
        <v>5158</v>
      </c>
      <c r="M111" s="50">
        <v>6015</v>
      </c>
      <c r="N111" s="50">
        <v>72</v>
      </c>
      <c r="O111" s="50">
        <v>86</v>
      </c>
      <c r="P111" s="50">
        <v>87.5</v>
      </c>
      <c r="Q111" s="50">
        <v>90</v>
      </c>
      <c r="R111" s="50">
        <v>50</v>
      </c>
      <c r="S111" s="50">
        <v>86</v>
      </c>
      <c r="T111" s="51">
        <f t="shared" ref="T111:T159" si="2290">(N106*O106*P106*Q106*R106*S106)/(I106*J106*K106*(F106*H106 + F107*H107 + F108*H108 + F109*H109 + F110*H110 + F111*H111))</f>
        <v>7432.3228418925828</v>
      </c>
      <c r="U111" s="50">
        <v>1.613</v>
      </c>
      <c r="V111" s="50">
        <v>7.3999999999999996E-2</v>
      </c>
      <c r="W111" s="50">
        <v>4.0199999999999996</v>
      </c>
      <c r="X111" s="50">
        <f t="shared" ref="X111" si="2291">H107</f>
        <v>0.02</v>
      </c>
      <c r="Y111" s="50">
        <f t="shared" ref="Y111" si="2292">H108</f>
        <v>4.4999999999999998E-2</v>
      </c>
      <c r="Z111" s="50">
        <f t="shared" ref="Z111" si="2293">H109</f>
        <v>2.1000000000000001E-2</v>
      </c>
      <c r="AA111" s="50">
        <f t="shared" ref="AA111" si="2294">H110</f>
        <v>1.7999999999999999E-2</v>
      </c>
      <c r="AB111" s="50">
        <f t="shared" ref="AB111" si="2295">H111</f>
        <v>2.1000000000000001E-2</v>
      </c>
      <c r="AC111" s="50">
        <f t="shared" si="1193"/>
        <v>4404.0846201563218</v>
      </c>
      <c r="AE111" s="50" t="s">
        <v>99</v>
      </c>
      <c r="AF111" s="52">
        <f>($O111*$Q111*$S111)^(1/3)/(AF106*((1-AF$2)*$H106+AF$2*$H107) + AF108*((1-AF$2)*$H108+AF$2*$H109) + AF110*((1-AF$2)*$H110+AF$2*$H111))</f>
        <v>1781.901625243044</v>
      </c>
      <c r="AG111" s="52">
        <f t="shared" ref="AG111" si="2296">($O111*$Q111*$S111)^(1/3)/(AG106*((1-AG$2)*$H106+AG$2*$H107) + AG108*((1-AG$2)*$H108+AG$2*$H109) + AG110*((1-AG$2)*$H110+AG$2*$H111))</f>
        <v>1877.5009060726622</v>
      </c>
      <c r="AH111" s="52">
        <f t="shared" ref="AH111" si="2297">($O111*$Q111*$S111)^(1/3)/(AH106*((1-AH$2)*$H106+AH$2*$H107) + AH108*((1-AH$2)*$H108+AH$2*$H109) + AH110*((1-AH$2)*$H110+AH$2*$H111))</f>
        <v>1999.6147861424288</v>
      </c>
      <c r="AI111" s="52">
        <f t="shared" ref="AI111" si="2298">($O111*$Q111*$S111)^(1/3)/(AI106*((1-AI$2)*$H106+AI$2*$H107) + AI108*((1-AI$2)*$H108+AI$2*$H109) + AI110*((1-AI$2)*$H110+AI$2*$H111))</f>
        <v>2461.9534650192913</v>
      </c>
      <c r="AJ111" s="52">
        <f t="shared" ref="AJ111" si="2299">($O111*$Q111*$S111)^(1/3)/(AJ106*((1-AJ$2)*$H106+AJ$2*$H107) + AJ108*((1-AJ$2)*$H108+AJ$2*$H109) + AJ110*((1-AJ$2)*$H110+AJ$2*$H111))</f>
        <v>2377.8099029659356</v>
      </c>
      <c r="AK111" s="52">
        <f t="shared" ref="AK111" si="2300">($O111*$Q111*$S111)^(1/3)/(AK106*((1-AK$2)*$H106+AK$2*$H107) + AK108*((1-AK$2)*$H108+AK$2*$H109) + AK110*((1-AK$2)*$H110+AK$2*$H111))</f>
        <v>2833.4635611523331</v>
      </c>
      <c r="AL111" s="52">
        <f t="shared" ref="AL111" si="2301">($O111*$Q111*$S111)^(1/3)/(AL106*((1-AL$2)*$H106+AL$2*$H107) + AL108*((1-AL$2)*$H108+AL$2*$H109) + AL110*((1-AL$2)*$H110+AL$2*$H111))</f>
        <v>3100.0596356083493</v>
      </c>
      <c r="AM111" s="52">
        <f t="shared" ref="AM111" si="2302">($O111*$Q111*$S111)^(1/3)/(AM106*((1-AM$2)*$H106+AM$2*$H107) + AM108*((1-AM$2)*$H108+AM$2*$H109) + AM110*((1-AM$2)*$H110+AM$2*$H111))</f>
        <v>3754.5981353218303</v>
      </c>
      <c r="AN111" s="52">
        <f t="shared" ref="AN111" si="2303">($O111*$Q111*$S111)^(1/3)/(AN106*((1-AN$2)*$H106+AN$2*$H107) + AN108*((1-AN$2)*$H108+AN$2*$H109) + AN110*((1-AN$2)*$H110+AN$2*$H111))</f>
        <v>1924.2574024663172</v>
      </c>
      <c r="AO111" s="52">
        <f t="shared" ref="AO111" si="2304">($O111*$Q111*$S111)^(1/3)/(AO106*((1-AO$2)*$H106+AO$2*$H107) + AO108*((1-AO$2)*$H108+AO$2*$H109) + AO110*((1-AO$2)*$H110+AO$2*$H111))</f>
        <v>2020.4368769387747</v>
      </c>
      <c r="AP111" s="52">
        <f t="shared" ref="AP111" si="2305">($O111*$Q111*$S111)^(1/3)/(AP106*((1-AP$2)*$H106+AP$2*$H107) + AP108*((1-AP$2)*$H108+AP$2*$H109) + AP110*((1-AP$2)*$H110+AP$2*$H111))</f>
        <v>2142.5889914274812</v>
      </c>
      <c r="AQ111" s="52">
        <f t="shared" ref="AQ111" si="2306">($O111*$Q111*$S111)^(1/3)/(AQ106*((1-AQ$2)*$H106+AQ$2*$H107) + AQ108*((1-AQ$2)*$H108+AQ$2*$H109) + AQ110*((1-AQ$2)*$H110+AQ$2*$H111))</f>
        <v>2618.4789214847547</v>
      </c>
      <c r="AR111" s="52">
        <f t="shared" ref="AR111" si="2307">($O111*$Q111*$S111)^(1/3)/(AR106*((1-AR$2)*$H106+AR$2*$H107) + AR108*((1-AR$2)*$H108+AR$2*$H109) + AR110*((1-AR$2)*$H110+AR$2*$H111))</f>
        <v>2515.5050313140059</v>
      </c>
      <c r="AS111" s="52">
        <f t="shared" ref="AS111" si="2308">($O111*$Q111*$S111)^(1/3)/(AS106*((1-AS$2)*$H106+AS$2*$H107) + AS108*((1-AS$2)*$H108+AS$2*$H109) + AS110*((1-AS$2)*$H110+AS$2*$H111))</f>
        <v>2980.4806156992368</v>
      </c>
      <c r="AT111" s="52">
        <f t="shared" ref="AT111" si="2309">($O111*$Q111*$S111)^(1/3)/(AT106*((1-AT$2)*$H106+AT$2*$H107) + AT108*((1-AT$2)*$H108+AT$2*$H109) + AT110*((1-AT$2)*$H110+AT$2*$H111))</f>
        <v>3204.0064083999509</v>
      </c>
      <c r="AU111" s="52">
        <f t="shared" ref="AU111" si="2310">($O111*$Q111*$S111)^(1/3)/(AU106*((1-AU$2)*$H106+AU$2*$H107) + AU108*((1-AU$2)*$H108+AU$2*$H109) + AU110*((1-AU$2)*$H110+AU$2*$H111))</f>
        <v>3802.010870320451</v>
      </c>
      <c r="AV111" s="52">
        <f t="shared" ref="AV111" si="2311">($O111*$Q111*$S111)^(1/3)/(AV106*((1-AV$2)*$H106+AV$2*$H107) + AV108*((1-AV$2)*$H108+AV$2*$H109) + AV110*((1-AV$2)*$H110+AV$2*$H111))</f>
        <v>2091.3336439978239</v>
      </c>
      <c r="AW111" s="52">
        <f t="shared" ref="AW111" si="2312">($O111*$Q111*$S111)^(1/3)/(AW106*((1-AW$2)*$H106+AW$2*$H107) + AW108*((1-AW$2)*$H108+AW$2*$H109) + AW110*((1-AW$2)*$H110+AW$2*$H111))</f>
        <v>2186.9299846439367</v>
      </c>
      <c r="AX111" s="52">
        <f t="shared" ref="AX111" si="2313">($O111*$Q111*$S111)^(1/3)/(AX106*((1-AX$2)*$H106+AX$2*$H107) + AX108*((1-AX$2)*$H108+AX$2*$H109) + AX110*((1-AX$2)*$H110+AX$2*$H111))</f>
        <v>2307.5832081112426</v>
      </c>
      <c r="AY111" s="52">
        <f t="shared" ref="AY111" si="2314">($O111*$Q111*$S111)^(1/3)/(AY106*((1-AY$2)*$H106+AY$2*$H107) + AY108*((1-AY$2)*$H108+AY$2*$H109) + AY110*((1-AY$2)*$H110+AY$2*$H111))</f>
        <v>2796.2587553854009</v>
      </c>
      <c r="AZ111" s="52">
        <f t="shared" ref="AZ111" si="2315">($O111*$Q111*$S111)^(1/3)/(AZ106*((1-AZ$2)*$H106+AZ$2*$H107) + AZ108*((1-AZ$2)*$H108+AZ$2*$H109) + AZ110*((1-AZ$2)*$H110+AZ$2*$H111))</f>
        <v>2670.1278176424817</v>
      </c>
      <c r="BA111" s="52">
        <f t="shared" ref="BA111" si="2316">($O111*$Q111*$S111)^(1/3)/(BA106*((1-BA$2)*$H106+BA$2*$H107) + BA108*((1-BA$2)*$H108+BA$2*$H109) + BA110*((1-BA$2)*$H110+BA$2*$H111))</f>
        <v>3143.5888258113109</v>
      </c>
      <c r="BB111" s="52">
        <f t="shared" ref="BB111" si="2317">($O111*$Q111*$S111)^(1/3)/(BB106*((1-BB$2)*$H106+BB$2*$H107) + BB108*((1-BB$2)*$H108+BB$2*$H109) + BB110*((1-BB$2)*$H110+BB$2*$H111))</f>
        <v>3315.1658144056632</v>
      </c>
      <c r="BC111" s="52">
        <f t="shared" ref="BC111" si="2318">($O111*$Q111*$S111)^(1/3)/(BC106*((1-BC$2)*$H106+BC$2*$H107) + BC108*((1-BC$2)*$H108+BC$2*$H109) + BC110*((1-BC$2)*$H110+BC$2*$H111))</f>
        <v>3850.6363676696428</v>
      </c>
      <c r="BD111" s="52">
        <f t="shared" ref="BD111" si="2319">($O111*$Q111*$S111)^(1/3)/(BD106*((1-BD$2)*$H106+BD$2*$H107) + BD108*((1-BD$2)*$H108+BD$2*$H109) + BD110*((1-BD$2)*$H110+BD$2*$H111))</f>
        <v>2290.1817609681088</v>
      </c>
      <c r="BE111" s="52">
        <f t="shared" ref="BE111" si="2320">($O111*$Q111*$S111)^(1/3)/(BE106*((1-BE$2)*$H106+BE$2*$H107) + BE108*((1-BE$2)*$H108+BE$2*$H109) + BE110*((1-BE$2)*$H110+BE$2*$H111))</f>
        <v>2383.3268632976433</v>
      </c>
      <c r="BF111" s="52">
        <f t="shared" ref="BF111" si="2321">($O111*$Q111*$S111)^(1/3)/(BF106*((1-BF$2)*$H106+BF$2*$H107) + BF108*((1-BF$2)*$H108+BF$2*$H109) + BF110*((1-BF$2)*$H110+BF$2*$H111))</f>
        <v>2500.1089412479801</v>
      </c>
      <c r="BG111" s="52">
        <f t="shared" ref="BG111" si="2322">($O111*$Q111*$S111)^(1/3)/(BG106*((1-BG$2)*$H106+BG$2*$H107) + BG108*((1-BG$2)*$H108+BG$2*$H109) + BG110*((1-BG$2)*$H110+BG$2*$H111))</f>
        <v>2999.9374553138346</v>
      </c>
      <c r="BH111" s="52">
        <f t="shared" ref="BH111" si="2323">($O111*$Q111*$S111)^(1/3)/(BH106*((1-BH$2)*$H106+BH$2*$H107) + BH108*((1-BH$2)*$H108+BH$2*$H109) + BH110*((1-BH$2)*$H110+BH$2*$H111))</f>
        <v>2845.0042240765447</v>
      </c>
      <c r="BI111" s="52">
        <f t="shared" ref="BI111" si="2324">($O111*$Q111*$S111)^(1/3)/(BI106*((1-BI$2)*$H106+BI$2*$H107) + BI108*((1-BI$2)*$H108+BI$2*$H109) + BI110*((1-BI$2)*$H110+BI$2*$H111))</f>
        <v>3325.5829227541099</v>
      </c>
      <c r="BJ111" s="52">
        <f t="shared" ref="BJ111" si="2325">($O111*$Q111*$S111)^(1/3)/(BJ106*((1-BJ$2)*$H106+BJ$2*$H107) + BJ108*((1-BJ$2)*$H108+BJ$2*$H109) + BJ110*((1-BJ$2)*$H110+BJ$2*$H111))</f>
        <v>3434.315537122146</v>
      </c>
      <c r="BK111" s="52">
        <f t="shared" ref="BK111" si="2326">($O111*$Q111*$S111)^(1/3)/(BK106*((1-BK$2)*$H106+BK$2*$H107) + BK108*((1-BK$2)*$H108+BK$2*$H109) + BK110*((1-BK$2)*$H110+BK$2*$H111))</f>
        <v>3900.5217617560497</v>
      </c>
      <c r="BL111" s="52">
        <f t="shared" ref="BL111" si="2327">($O111*$Q111*$S111)^(1/3)/(BL106*((1-BL$2)*$H106+BL$2*$H107) + BL108*((1-BL$2)*$H108+BL$2*$H109) + BL110*((1-BL$2)*$H110+BL$2*$H111))</f>
        <v>2530.8168010698305</v>
      </c>
      <c r="BM111" s="52">
        <f t="shared" ref="BM111" si="2328">($O111*$Q111*$S111)^(1/3)/(BM106*((1-BM$2)*$H106+BM$2*$H107) + BM108*((1-BM$2)*$H108+BM$2*$H109) + BM110*((1-BM$2)*$H110+BM$2*$H111))</f>
        <v>2618.4789214847551</v>
      </c>
      <c r="BN111" s="52">
        <f t="shared" ref="BN111" si="2329">($O111*$Q111*$S111)^(1/3)/(BN106*((1-BN$2)*$H106+BN$2*$H107) + BN108*((1-BN$2)*$H108+BN$2*$H109) + BN110*((1-BN$2)*$H110+BN$2*$H111))</f>
        <v>2727.6844622589556</v>
      </c>
      <c r="BO111" s="52">
        <f t="shared" ref="BO111" si="2330">($O111*$Q111*$S111)^(1/3)/(BO106*((1-BO$2)*$H106+BO$2*$H107) + BO108*((1-BO$2)*$H108+BO$2*$H109) + BO110*((1-BO$2)*$H110+BO$2*$H111))</f>
        <v>3235.6190341637625</v>
      </c>
      <c r="BP111" s="52">
        <f t="shared" ref="BP111" si="2331">($O111*$Q111*$S111)^(1/3)/(BP106*((1-BP$2)*$H106+BP$2*$H107) + BP108*((1-BP$2)*$H108+BP$2*$H109) + BP110*((1-BP$2)*$H110+BP$2*$H111))</f>
        <v>3044.3925954291894</v>
      </c>
      <c r="BQ111" s="52">
        <f t="shared" ref="BQ111" si="2332">($O111*$Q111*$S111)^(1/3)/(BQ106*((1-BQ$2)*$H106+BQ$2*$H107) + BQ108*((1-BQ$2)*$H108+BQ$2*$H109) + BQ110*((1-BQ$2)*$H110+BQ$2*$H111))</f>
        <v>3529.9445982174716</v>
      </c>
      <c r="BR111" s="52">
        <f t="shared" ref="BR111" si="2333">($O111*$Q111*$S111)^(1/3)/(BR106*((1-BR$2)*$H106+BR$2*$H107) + BR108*((1-BR$2)*$H108+BR$2*$H109) + BR110*((1-BR$2)*$H110+BR$2*$H111))</f>
        <v>3562.3492303920502</v>
      </c>
      <c r="BS111" s="52">
        <f t="shared" ref="BS111" si="2334">($O111*$Q111*$S111)^(1/3)/(BS106*((1-BS$2)*$H106+BS$2*$H107) + BS108*((1-BS$2)*$H108+BS$2*$H109) + BS110*((1-BS$2)*$H110+BS$2*$H111))</f>
        <v>3951.7166615482756</v>
      </c>
      <c r="BT111" s="52">
        <f t="shared" ref="BT111" si="2335">($O111*$Q111*$S111)^(1/3)/(BT106*((1-BT$2)*$H106+BT$2*$H107) + BT108*((1-BT$2)*$H108+BT$2*$H109) + BT110*((1-BT$2)*$H110+BT$2*$H111))</f>
        <v>2827.9572352035352</v>
      </c>
      <c r="BU111" s="52">
        <f t="shared" ref="BU111" si="2336">($O111*$Q111*$S111)^(1/3)/(BU106*((1-BU$2)*$H106+BU$2*$H107) + BU108*((1-BU$2)*$H108+BU$2*$H109) + BU110*((1-BU$2)*$H110+BU$2*$H111))</f>
        <v>2905.1132802165744</v>
      </c>
      <c r="BV111" s="52">
        <f t="shared" ref="BV111" si="2337">($O111*$Q111*$S111)^(1/3)/(BV106*((1-BV$2)*$H106+BV$2*$H107) + BV108*((1-BV$2)*$H108+BV$2*$H109) + BV110*((1-BV$2)*$H110+BV$2*$H111))</f>
        <v>3000.8396146207551</v>
      </c>
      <c r="BW111" s="52">
        <f t="shared" ref="BW111" si="2338">($O111*$Q111*$S111)^(1/3)/(BW106*((1-BW$2)*$H106+BW$2*$H107) + BW108*((1-BW$2)*$H108+BW$2*$H109) + BW110*((1-BW$2)*$H110+BW$2*$H111))</f>
        <v>3511.4892273038067</v>
      </c>
      <c r="BX111" s="52">
        <f t="shared" ref="BX111" si="2339">($O111*$Q111*$S111)^(1/3)/(BX106*((1-BX$2)*$H106+BX$2*$H107) + BX108*((1-BX$2)*$H108+BX$2*$H109) + BX110*((1-BX$2)*$H110+BX$2*$H111))</f>
        <v>3273.8350070082174</v>
      </c>
      <c r="BY111" s="52">
        <f t="shared" ref="BY111" si="2340">($O111*$Q111*$S111)^(1/3)/(BY106*((1-BY$2)*$H106+BY$2*$H107) + BY108*((1-BY$2)*$H108+BY$2*$H109) + BY110*((1-BY$2)*$H110+BY$2*$H111))</f>
        <v>3761.0673976700045</v>
      </c>
      <c r="BZ111" s="52">
        <f t="shared" ref="BZ111" si="2341">($O111*$Q111*$S111)^(1/3)/(BZ106*((1-BZ$2)*$H106+BZ$2*$H107) + BZ108*((1-BZ$2)*$H108+BZ$2*$H109) + BZ110*((1-BZ$2)*$H110+BZ$2*$H111))</f>
        <v>3700.2989727990321</v>
      </c>
      <c r="CA111" s="52">
        <f t="shared" ref="CA111" si="2342">($O111*$Q111*$S111)^(1/3)/(CA106*((1-CA$2)*$H106+CA$2*$H107) + CA108*((1-CA$2)*$H108+CA$2*$H109) + CA110*((1-CA$2)*$H110+CA$2*$H111))</f>
        <v>4004.2733151529073</v>
      </c>
      <c r="CB111" s="52">
        <f t="shared" ref="CB111" si="2343">($O111*$Q111*$S111)^(1/3)/(CB106*((1-CB$2)*$H106+CB$2*$H107) + CB108*((1-CB$2)*$H108+CB$2*$H109) + CB110*((1-CB$2)*$H110+CB$2*$H111))</f>
        <v>3204.1533811709783</v>
      </c>
      <c r="CC111" s="52">
        <f t="shared" ref="CC111" si="2344">($O111*$Q111*$S111)^(1/3)/(CC106*((1-CC$2)*$H106+CC$2*$H107) + CC108*((1-CC$2)*$H108+CC$2*$H109) + CC110*((1-CC$2)*$H110+CC$2*$H111))</f>
        <v>3262.2148192381524</v>
      </c>
      <c r="CD111" s="52">
        <f t="shared" ref="CD111" si="2345">($O111*$Q111*$S111)^(1/3)/(CD106*((1-CD$2)*$H106+CD$2*$H107) + CD108*((1-CD$2)*$H108+CD$2*$H109) + CD110*((1-CD$2)*$H110+CD$2*$H111))</f>
        <v>3334.7915453798964</v>
      </c>
      <c r="CE111" s="52">
        <f t="shared" ref="CE111" si="2346">($O111*$Q111*$S111)^(1/3)/(CE106*((1-CE$2)*$H106+CE$2*$H107) + CE108*((1-CE$2)*$H108+CE$2*$H109) + CE110*((1-CE$2)*$H110+CE$2*$H111))</f>
        <v>3838.7856512160542</v>
      </c>
      <c r="CF111" s="52">
        <f t="shared" ref="CF111" si="2347">($O111*$Q111*$S111)^(1/3)/(CF106*((1-CF$2)*$H106+CF$2*$H107) + CF108*((1-CF$2)*$H108+CF$2*$H109) + CF110*((1-CF$2)*$H110+CF$2*$H111))</f>
        <v>3540.6804394529258</v>
      </c>
      <c r="CG111" s="52">
        <f t="shared" ref="CG111" si="2348">($O111*$Q111*$S111)^(1/3)/(CG106*((1-CG$2)*$H106+CG$2*$H107) + CG108*((1-CG$2)*$H108+CG$2*$H109) + CG110*((1-CG$2)*$H110+CG$2*$H111))</f>
        <v>4024.5761528881844</v>
      </c>
      <c r="CH111" s="52">
        <f t="shared" ref="CH111" si="2349">($O111*$Q111*$S111)^(1/3)/(CH106*((1-CH$2)*$H106+CH$2*$H107) + CH108*((1-CH$2)*$H108+CH$2*$H109) + CH110*((1-CH$2)*$H110+CH$2*$H111))</f>
        <v>3849.3631494283763</v>
      </c>
      <c r="CI111" s="52">
        <f t="shared" ref="CI111" si="2350">($O111*$Q111*$S111)^(1/3)/(CI106*((1-CI$2)*$H106+CI$2*$H107) + CI108*((1-CI$2)*$H108+CI$2*$H109) + CI110*((1-CI$2)*$H110+CI$2*$H111))</f>
        <v>4058.2467876787896</v>
      </c>
      <c r="CJ111" s="52">
        <f t="shared" ref="CJ111" si="2351">($O111*$Q111*$S111)^(1/3)/(CJ106*((1-CJ$2)*$H106+CJ$2*$H107) + CJ108*((1-CJ$2)*$H108+CJ$2*$H109) + CJ110*((1-CJ$2)*$H110+CJ$2*$H111))</f>
        <v>3695.7959634670542</v>
      </c>
      <c r="CK111" s="52">
        <f t="shared" ref="CK111" si="2352">($O111*$Q111*$S111)^(1/3)/(CK106*((1-CK$2)*$H106+CK$2*$H107) + CK108*((1-CK$2)*$H108+CK$2*$H109) + CK110*((1-CK$2)*$H110+CK$2*$H111))</f>
        <v>3719.4112731377704</v>
      </c>
      <c r="CL111" s="52">
        <f t="shared" ref="CL111" si="2353">($O111*$Q111*$S111)^(1/3)/(CL106*((1-CL$2)*$H106+CL$2*$H107) + CL108*((1-CL$2)*$H108+CL$2*$H109) + CL110*((1-CL$2)*$H110+CL$2*$H111))</f>
        <v>3752.3794633106268</v>
      </c>
      <c r="CM111" s="52">
        <f t="shared" ref="CM111" si="2354">($O111*$Q111*$S111)^(1/3)/(CM106*((1-CM$2)*$H106+CM$2*$H107) + CM108*((1-CM$2)*$H108+CM$2*$H109) + CM110*((1-CM$2)*$H110+CM$2*$H111))</f>
        <v>4233.3662854258982</v>
      </c>
      <c r="CN111" s="52">
        <f t="shared" ref="CN111" si="2355">($O111*$Q111*$S111)^(1/3)/(CN106*((1-CN$2)*$H106+CN$2*$H107) + CN108*((1-CN$2)*$H108+CN$2*$H109) + CN110*((1-CN$2)*$H110+CN$2*$H111))</f>
        <v>3854.8865181858341</v>
      </c>
      <c r="CO111" s="52">
        <f t="shared" ref="CO111" si="2356">($O111*$Q111*$S111)^(1/3)/(CO106*((1-CO$2)*$H106+CO$2*$H107) + CO108*((1-CO$2)*$H108+CO$2*$H109) + CO110*((1-CO$2)*$H110+CO$2*$H111))</f>
        <v>4327.7908122383715</v>
      </c>
      <c r="CP111" s="52">
        <f t="shared" ref="CP111" si="2357">($O111*$Q111*$S111)^(1/3)/(CP106*((1-CP$2)*$H106+CP$2*$H107) + CP108*((1-CP$2)*$H108+CP$2*$H109) + CP110*((1-CP$2)*$H110+CP$2*$H111))</f>
        <v>4010.9413557006783</v>
      </c>
      <c r="CQ111" s="52">
        <f t="shared" ref="CQ111" si="2358">($O111*$Q111*$S111)^(1/3)/(CQ106*((1-CQ$2)*$H106+CQ$2*$H107) + CQ108*((1-CQ$2)*$H108+CQ$2*$H109) + CQ110*((1-CQ$2)*$H110+CQ$2*$H111))</f>
        <v>4113.6951536824099</v>
      </c>
      <c r="CS111" s="50">
        <f t="shared" ref="CS111" si="2359">100*$AF111/AF111</f>
        <v>100</v>
      </c>
      <c r="CT111" s="50">
        <f t="shared" ref="CT111" si="2360">100*$AF111/AG111</f>
        <v>94.908163265306129</v>
      </c>
      <c r="CU111" s="50">
        <f t="shared" ref="CU111" si="2361">100*$AF111/AH111</f>
        <v>89.112244897959187</v>
      </c>
      <c r="CV111" s="50">
        <f t="shared" ref="CV111" si="2362">100*$AF111/AI111</f>
        <v>72.377551020408163</v>
      </c>
      <c r="CW111" s="50">
        <f t="shared" ref="CW111" si="2363">100*$AF111/AJ111</f>
        <v>74.938775510204081</v>
      </c>
      <c r="CX111" s="50">
        <f t="shared" ref="CX111" si="2364">100*$AF111/AK111</f>
        <v>62.887755102040828</v>
      </c>
      <c r="CY111" s="50">
        <f t="shared" ref="CY111" si="2365">100*$AF111/AL111</f>
        <v>57.479591836734699</v>
      </c>
      <c r="CZ111" s="50">
        <f t="shared" ref="CZ111" si="2366">100*$AF111/AM111</f>
        <v>47.459183673469383</v>
      </c>
      <c r="DA111" s="50">
        <f t="shared" ref="DA111" si="2367">100*$AF111/AN111</f>
        <v>92.60204081632655</v>
      </c>
      <c r="DB111" s="50">
        <f t="shared" ref="DB111" si="2368">100*$AF111/AO111</f>
        <v>88.193877551020421</v>
      </c>
      <c r="DC111" s="50">
        <f t="shared" ref="DC111" si="2369">100*$AF111/AP111</f>
        <v>83.165816326530631</v>
      </c>
      <c r="DD111" s="50">
        <f t="shared" ref="DD111" si="2370">100*$AF111/AQ111</f>
        <v>68.051020408163282</v>
      </c>
      <c r="DE111" s="50">
        <f t="shared" ref="DE111" si="2371">100*$AF111/AR111</f>
        <v>70.83673469387756</v>
      </c>
      <c r="DF111" s="50">
        <f t="shared" ref="DF111" si="2372">100*$AF111/AS111</f>
        <v>59.785714285714299</v>
      </c>
      <c r="DG111" s="50">
        <f t="shared" ref="DG111" si="2373">100*$AF111/AT111</f>
        <v>55.614795918367349</v>
      </c>
      <c r="DH111" s="50">
        <f t="shared" ref="DH111" si="2374">100*$AF111/AU111</f>
        <v>46.867346938775512</v>
      </c>
      <c r="DI111" s="50">
        <f t="shared" ref="DI111" si="2375">100*$AF111/AV111</f>
        <v>85.204081632653072</v>
      </c>
      <c r="DJ111" s="50">
        <f t="shared" ref="DJ111" si="2376">100*$AF111/AW111</f>
        <v>81.479591836734684</v>
      </c>
      <c r="DK111" s="50">
        <f t="shared" ref="DK111" si="2377">100*$AF111/AX111</f>
        <v>77.219387755102062</v>
      </c>
      <c r="DL111" s="50">
        <f t="shared" ref="DL111" si="2378">100*$AF111/AY111</f>
        <v>63.72448979591838</v>
      </c>
      <c r="DM111" s="50">
        <f t="shared" ref="DM111" si="2379">100*$AF111/AZ111</f>
        <v>66.734693877551024</v>
      </c>
      <c r="DN111" s="50">
        <f t="shared" ref="DN111" si="2380">100*$AF111/BA111</f>
        <v>56.683673469387756</v>
      </c>
      <c r="DO111" s="50">
        <f t="shared" ref="DO111" si="2381">100*$AF111/BB111</f>
        <v>53.75</v>
      </c>
      <c r="DP111" s="50">
        <f t="shared" ref="DP111" si="2382">100*$AF111/BC111</f>
        <v>46.275510204081641</v>
      </c>
      <c r="DQ111" s="50">
        <f t="shared" ref="DQ111" si="2383">100*$AF111/BD111</f>
        <v>77.806122448979607</v>
      </c>
      <c r="DR111" s="50">
        <f t="shared" ref="DR111" si="2384">100*$AF111/BE111</f>
        <v>74.765306122448976</v>
      </c>
      <c r="DS111" s="50">
        <f t="shared" ref="DS111" si="2385">100*$AF111/BF111</f>
        <v>71.272959183673478</v>
      </c>
      <c r="DT111" s="50">
        <f t="shared" ref="DT111" si="2386">100*$AF111/BG111</f>
        <v>59.397959183673471</v>
      </c>
      <c r="DU111" s="50">
        <f t="shared" ref="DU111" si="2387">100*$AF111/BH111</f>
        <v>62.632653061224495</v>
      </c>
      <c r="DV111" s="50">
        <f t="shared" ref="DV111" si="2388">100*$AF111/BI111</f>
        <v>53.581632653061227</v>
      </c>
      <c r="DW111" s="50">
        <f t="shared" ref="DW111" si="2389">100*$AF111/BJ111</f>
        <v>51.885204081632651</v>
      </c>
      <c r="DX111" s="50">
        <f t="shared" ref="DX111" si="2390">100*$AF111/BK111</f>
        <v>45.683673469387749</v>
      </c>
      <c r="DY111" s="50">
        <f t="shared" ref="DY111" si="2391">100*$AF111/BL111</f>
        <v>70.408163265306129</v>
      </c>
      <c r="DZ111" s="50">
        <f t="shared" ref="DZ111" si="2392">100*$AF111/BM111</f>
        <v>68.051020408163268</v>
      </c>
      <c r="EA111" s="50">
        <f t="shared" ref="EA111" si="2393">100*$AF111/BN111</f>
        <v>65.326530612244895</v>
      </c>
      <c r="EB111" s="50">
        <f t="shared" ref="EB111" si="2394">100*$AF111/BO111</f>
        <v>55.071428571428591</v>
      </c>
      <c r="EC111" s="50">
        <f t="shared" ref="EC111" si="2395">100*$AF111/BP111</f>
        <v>58.530612244897966</v>
      </c>
      <c r="ED111" s="50">
        <f t="shared" ref="ED111" si="2396">100*$AF111/BQ111</f>
        <v>50.479591836734691</v>
      </c>
      <c r="EE111" s="50">
        <f t="shared" ref="EE111" si="2397">100*$AF111/BR111</f>
        <v>50.020408163265309</v>
      </c>
      <c r="EF111" s="50">
        <f t="shared" ref="EF111" si="2398">100*$AF111/BS111</f>
        <v>45.091836734693885</v>
      </c>
      <c r="EG111" s="50">
        <f t="shared" ref="EG111" si="2399">100*$AF111/BT111</f>
        <v>63.010204081632658</v>
      </c>
      <c r="EH111" s="50">
        <f t="shared" ref="EH111" si="2400">100*$AF111/BU111</f>
        <v>61.336734693877567</v>
      </c>
      <c r="EI111" s="50">
        <f t="shared" ref="EI111" si="2401">100*$AF111/BV111</f>
        <v>59.38010204081634</v>
      </c>
      <c r="EJ111" s="50">
        <f t="shared" ref="EJ111" si="2402">100*$AF111/BW111</f>
        <v>50.744897959183675</v>
      </c>
      <c r="EK111" s="50">
        <f t="shared" ref="EK111" si="2403">100*$AF111/BX111</f>
        <v>54.428571428571431</v>
      </c>
      <c r="EL111" s="50">
        <f t="shared" ref="EL111" si="2404">100*$AF111/BY111</f>
        <v>47.37755102040817</v>
      </c>
      <c r="EM111" s="50">
        <f t="shared" ref="EM111" si="2405">100*$AF111/BZ111</f>
        <v>48.155612244897959</v>
      </c>
      <c r="EN111" s="50">
        <f t="shared" ref="EN111" si="2406">100*$AF111/CA111</f>
        <v>44.500000000000007</v>
      </c>
      <c r="EO111" s="50">
        <f t="shared" ref="EO111" si="2407">100*$AF111/CB111</f>
        <v>55.612244897959187</v>
      </c>
      <c r="EP111" s="50">
        <f t="shared" ref="EP111" si="2408">100*$AF111/CC111</f>
        <v>54.622448979591844</v>
      </c>
      <c r="EQ111" s="50">
        <f t="shared" ref="EQ111" si="2409">100*$AF111/CD111</f>
        <v>53.43367346938777</v>
      </c>
      <c r="ER111" s="50">
        <f t="shared" ref="ER111" si="2410">100*$AF111/CE111</f>
        <v>46.41836734693878</v>
      </c>
      <c r="ES111" s="50">
        <f t="shared" ref="ES111" si="2411">100*$AF111/CF111</f>
        <v>50.326530612244902</v>
      </c>
      <c r="ET111" s="50">
        <f t="shared" ref="ET111" si="2412">100*$AF111/CG111</f>
        <v>44.275510204081634</v>
      </c>
      <c r="EU111" s="50">
        <f t="shared" ref="EU111" si="2413">100*$AF111/CH111</f>
        <v>46.290816326530617</v>
      </c>
      <c r="EV111" s="50">
        <f t="shared" ref="EV111" si="2414">100*$AF111/CI111</f>
        <v>43.908163265306122</v>
      </c>
      <c r="EW111" s="50">
        <f t="shared" ref="EW111" si="2415">100*$AF111/CJ111</f>
        <v>48.214285714285715</v>
      </c>
      <c r="EX111" s="50">
        <f t="shared" ref="EX111" si="2416">100*$AF111/CK111</f>
        <v>47.908163265306122</v>
      </c>
      <c r="EY111" s="50">
        <f t="shared" ref="EY111" si="2417">100*$AF111/CL111</f>
        <v>47.487244897959194</v>
      </c>
      <c r="EZ111" s="50">
        <f t="shared" ref="EZ111" si="2418">100*$AF111/CM111</f>
        <v>42.091836734693885</v>
      </c>
      <c r="FA111" s="50">
        <f t="shared" ref="FA111" si="2419">100*$AF111/CN111</f>
        <v>46.22448979591838</v>
      </c>
      <c r="FB111" s="50">
        <f t="shared" ref="FB111" si="2420">100*$AF111/CO111</f>
        <v>41.173469387755112</v>
      </c>
      <c r="FC111" s="50">
        <f t="shared" ref="FC111" si="2421">100*$AF111/CP111</f>
        <v>44.426020408163275</v>
      </c>
      <c r="FD111" s="50">
        <f t="shared" ref="FD111" si="2422">100*$AF111/CQ111</f>
        <v>43.316326530612251</v>
      </c>
    </row>
    <row r="112" spans="3:160" x14ac:dyDescent="0.4">
      <c r="C112" s="1" t="s">
        <v>28</v>
      </c>
      <c r="D112" s="1" t="s">
        <v>5</v>
      </c>
      <c r="E112" s="1">
        <v>0.31</v>
      </c>
      <c r="F112" s="1">
        <v>0.20100000000000001</v>
      </c>
      <c r="G112" s="1">
        <v>0.109</v>
      </c>
      <c r="H112" s="1">
        <v>5.3999999999999999E-2</v>
      </c>
      <c r="I112" s="1">
        <v>4604</v>
      </c>
      <c r="J112" s="1">
        <v>4125</v>
      </c>
      <c r="K112" s="1">
        <v>56</v>
      </c>
      <c r="L112" s="1">
        <v>5425</v>
      </c>
      <c r="M112" s="1">
        <v>6097</v>
      </c>
      <c r="N112" s="1">
        <v>74.5</v>
      </c>
      <c r="O112" s="1">
        <v>92</v>
      </c>
      <c r="P112" s="1">
        <v>89.5</v>
      </c>
      <c r="Q112" s="1">
        <v>94</v>
      </c>
      <c r="R112" s="1">
        <v>50.5</v>
      </c>
      <c r="S112" s="1">
        <v>93.5</v>
      </c>
      <c r="T112" s="4">
        <v>0</v>
      </c>
      <c r="U112" s="1">
        <v>1.5269999999999999</v>
      </c>
      <c r="V112" s="1">
        <v>0.08</v>
      </c>
      <c r="W112" s="1">
        <v>4.0199999999999996</v>
      </c>
      <c r="X112" s="1">
        <f t="shared" ref="X112" si="2423">H113</f>
        <v>2.5999999999999999E-2</v>
      </c>
      <c r="Y112" s="1">
        <f t="shared" ref="Y112" si="2424">H114</f>
        <v>5.6000000000000001E-2</v>
      </c>
      <c r="Z112" s="1">
        <f t="shared" ref="Z112" si="2425">H115</f>
        <v>2.5999999999999999E-2</v>
      </c>
      <c r="AA112" s="1">
        <f t="shared" ref="AA112" si="2426">H116</f>
        <v>1.9E-2</v>
      </c>
      <c r="AB112" s="1">
        <f t="shared" ref="AB112" si="2427">H117</f>
        <v>2.5999999999999999E-2</v>
      </c>
      <c r="AC112" s="1">
        <f t="shared" si="1193"/>
        <v>4633.4656996580579</v>
      </c>
      <c r="AE112" s="1" t="s">
        <v>96</v>
      </c>
      <c r="AF112" s="1">
        <v>1</v>
      </c>
      <c r="AG112" s="1">
        <v>0.81499999999999995</v>
      </c>
      <c r="AH112" s="1">
        <v>0.64500000000000002</v>
      </c>
      <c r="AI112" s="1">
        <v>0.39500000000000002</v>
      </c>
      <c r="AJ112" s="1">
        <v>0.36</v>
      </c>
      <c r="AK112" s="1">
        <v>0.245</v>
      </c>
      <c r="AL112" s="1">
        <v>0.14499999999999999</v>
      </c>
      <c r="AM112" s="20">
        <v>6.5000000000000002E-2</v>
      </c>
      <c r="AN112" s="1">
        <v>1</v>
      </c>
      <c r="AO112" s="1">
        <v>0.81499999999999995</v>
      </c>
      <c r="AP112" s="1">
        <v>0.64500000000000002</v>
      </c>
      <c r="AQ112" s="1">
        <v>0.39500000000000002</v>
      </c>
      <c r="AR112" s="1">
        <v>0.36</v>
      </c>
      <c r="AS112" s="1">
        <v>0.245</v>
      </c>
      <c r="AT112" s="1">
        <v>0.14499999999999999</v>
      </c>
      <c r="AU112" s="20">
        <v>6.5000000000000002E-2</v>
      </c>
      <c r="AV112" s="1">
        <v>1</v>
      </c>
      <c r="AW112" s="1">
        <v>0.81499999999999995</v>
      </c>
      <c r="AX112" s="1">
        <v>0.64500000000000002</v>
      </c>
      <c r="AY112" s="1">
        <v>0.39500000000000002</v>
      </c>
      <c r="AZ112" s="1">
        <v>0.36</v>
      </c>
      <c r="BA112" s="1">
        <v>0.245</v>
      </c>
      <c r="BB112" s="1">
        <v>0.14499999999999999</v>
      </c>
      <c r="BC112" s="20">
        <v>6.5000000000000002E-2</v>
      </c>
      <c r="BD112" s="1">
        <v>1</v>
      </c>
      <c r="BE112" s="1">
        <v>0.81499999999999995</v>
      </c>
      <c r="BF112" s="1">
        <v>0.64500000000000002</v>
      </c>
      <c r="BG112" s="1">
        <v>0.39500000000000002</v>
      </c>
      <c r="BH112" s="1">
        <v>0.36</v>
      </c>
      <c r="BI112" s="1">
        <v>0.245</v>
      </c>
      <c r="BJ112" s="1">
        <v>0.14499999999999999</v>
      </c>
      <c r="BK112" s="20">
        <v>6.5000000000000002E-2</v>
      </c>
      <c r="BL112" s="1">
        <v>1</v>
      </c>
      <c r="BM112" s="1">
        <v>0.81499999999999995</v>
      </c>
      <c r="BN112" s="1">
        <v>0.64500000000000002</v>
      </c>
      <c r="BO112" s="1">
        <v>0.39500000000000002</v>
      </c>
      <c r="BP112" s="1">
        <v>0.36</v>
      </c>
      <c r="BQ112" s="1">
        <v>0.245</v>
      </c>
      <c r="BR112" s="1">
        <v>0.14499999999999999</v>
      </c>
      <c r="BS112" s="20">
        <v>6.5000000000000002E-2</v>
      </c>
      <c r="BT112" s="1">
        <v>1</v>
      </c>
      <c r="BU112" s="1">
        <v>0.81499999999999995</v>
      </c>
      <c r="BV112" s="1">
        <v>0.64500000000000002</v>
      </c>
      <c r="BW112" s="1">
        <v>0.39500000000000002</v>
      </c>
      <c r="BX112" s="1">
        <v>0.36</v>
      </c>
      <c r="BY112" s="1">
        <v>0.245</v>
      </c>
      <c r="BZ112" s="1">
        <v>0.14499999999999999</v>
      </c>
      <c r="CA112" s="20">
        <v>6.5000000000000002E-2</v>
      </c>
      <c r="CB112" s="1">
        <v>1</v>
      </c>
      <c r="CC112" s="1">
        <v>0.81499999999999995</v>
      </c>
      <c r="CD112" s="1">
        <v>0.64500000000000002</v>
      </c>
      <c r="CE112" s="1">
        <v>0.39500000000000002</v>
      </c>
      <c r="CF112" s="1">
        <v>0.36</v>
      </c>
      <c r="CG112" s="1">
        <v>0.245</v>
      </c>
      <c r="CH112" s="1">
        <v>0.14499999999999999</v>
      </c>
      <c r="CI112" s="20">
        <v>6.5000000000000002E-2</v>
      </c>
      <c r="CJ112" s="1">
        <v>1</v>
      </c>
      <c r="CK112" s="1">
        <v>0.81499999999999995</v>
      </c>
      <c r="CL112" s="1">
        <v>0.64500000000000002</v>
      </c>
      <c r="CM112" s="1">
        <v>0.39500000000000002</v>
      </c>
      <c r="CN112" s="1">
        <v>0.36</v>
      </c>
      <c r="CO112" s="1">
        <v>0.245</v>
      </c>
      <c r="CP112" s="1">
        <v>0.14499999999999999</v>
      </c>
      <c r="CQ112" s="20">
        <v>6.5000000000000002E-2</v>
      </c>
    </row>
    <row r="113" spans="3:160" x14ac:dyDescent="0.4">
      <c r="C113" s="1" t="s">
        <v>28</v>
      </c>
      <c r="D113" s="1" t="s">
        <v>6</v>
      </c>
      <c r="E113" s="1">
        <v>0.27400000000000002</v>
      </c>
      <c r="F113" s="1">
        <v>0.16500000000000001</v>
      </c>
      <c r="G113" s="1">
        <v>0.109</v>
      </c>
      <c r="H113" s="1">
        <v>2.5999999999999999E-2</v>
      </c>
      <c r="I113" s="1">
        <v>4604</v>
      </c>
      <c r="J113" s="1">
        <v>4125</v>
      </c>
      <c r="K113" s="1">
        <v>56</v>
      </c>
      <c r="L113" s="1">
        <v>5425</v>
      </c>
      <c r="M113" s="1">
        <v>6097</v>
      </c>
      <c r="N113" s="1">
        <v>74.5</v>
      </c>
      <c r="O113" s="1">
        <v>92</v>
      </c>
      <c r="P113" s="1">
        <v>89.5</v>
      </c>
      <c r="Q113" s="1">
        <v>94</v>
      </c>
      <c r="R113" s="1">
        <v>50.5</v>
      </c>
      <c r="S113" s="1">
        <v>93.5</v>
      </c>
      <c r="T113" s="4">
        <v>0</v>
      </c>
      <c r="U113" s="1">
        <v>1.5269999999999999</v>
      </c>
      <c r="V113" s="1">
        <v>0.08</v>
      </c>
      <c r="W113" s="1">
        <v>4.0199999999999996</v>
      </c>
      <c r="X113" s="1">
        <f t="shared" ref="X113" si="2428">H113</f>
        <v>2.5999999999999999E-2</v>
      </c>
      <c r="Y113" s="1">
        <f t="shared" ref="Y113" si="2429">H114</f>
        <v>5.6000000000000001E-2</v>
      </c>
      <c r="Z113" s="1">
        <f t="shared" ref="Z113" si="2430">H115</f>
        <v>2.5999999999999999E-2</v>
      </c>
      <c r="AA113" s="1">
        <f t="shared" ref="AA113" si="2431">H116</f>
        <v>1.9E-2</v>
      </c>
      <c r="AB113" s="1">
        <f t="shared" ref="AB113" si="2432">H117</f>
        <v>2.5999999999999999E-2</v>
      </c>
      <c r="AC113" s="1">
        <f t="shared" si="1193"/>
        <v>4633.4656996580579</v>
      </c>
      <c r="CQ113" s="20"/>
    </row>
    <row r="114" spans="3:160" x14ac:dyDescent="0.4">
      <c r="C114" s="1" t="s">
        <v>28</v>
      </c>
      <c r="D114" s="1" t="s">
        <v>7</v>
      </c>
      <c r="E114" s="1">
        <v>0.312</v>
      </c>
      <c r="F114" s="1">
        <v>0.20300000000000001</v>
      </c>
      <c r="G114" s="1">
        <v>0.109</v>
      </c>
      <c r="H114" s="1">
        <v>5.6000000000000001E-2</v>
      </c>
      <c r="I114" s="1">
        <v>4604</v>
      </c>
      <c r="J114" s="1">
        <v>4125</v>
      </c>
      <c r="K114" s="1">
        <v>56</v>
      </c>
      <c r="L114" s="1">
        <v>5425</v>
      </c>
      <c r="M114" s="1">
        <v>6097</v>
      </c>
      <c r="N114" s="1">
        <v>74.5</v>
      </c>
      <c r="O114" s="1">
        <v>92</v>
      </c>
      <c r="P114" s="1">
        <v>89.5</v>
      </c>
      <c r="Q114" s="1">
        <v>94</v>
      </c>
      <c r="R114" s="1">
        <v>50.5</v>
      </c>
      <c r="S114" s="1">
        <v>93.5</v>
      </c>
      <c r="T114" s="4">
        <v>0</v>
      </c>
      <c r="U114" s="1">
        <v>1.5269999999999999</v>
      </c>
      <c r="V114" s="1">
        <v>0.08</v>
      </c>
      <c r="W114" s="1">
        <v>4.0199999999999996</v>
      </c>
      <c r="X114" s="1">
        <f t="shared" ref="X114" si="2433">H113</f>
        <v>2.5999999999999999E-2</v>
      </c>
      <c r="Y114" s="1">
        <f t="shared" ref="Y114" si="2434">H114</f>
        <v>5.6000000000000001E-2</v>
      </c>
      <c r="Z114" s="1">
        <f t="shared" ref="Z114" si="2435">H115</f>
        <v>2.5999999999999999E-2</v>
      </c>
      <c r="AA114" s="1">
        <f t="shared" ref="AA114" si="2436">H116</f>
        <v>1.9E-2</v>
      </c>
      <c r="AB114" s="1">
        <f t="shared" ref="AB114" si="2437">H117</f>
        <v>2.5999999999999999E-2</v>
      </c>
      <c r="AC114" s="1">
        <f t="shared" si="1193"/>
        <v>4633.4656996580579</v>
      </c>
      <c r="AE114" s="1" t="s">
        <v>97</v>
      </c>
      <c r="AF114" s="1">
        <v>0</v>
      </c>
      <c r="AG114" s="1">
        <v>0.12</v>
      </c>
      <c r="AH114" s="1">
        <v>0.21</v>
      </c>
      <c r="AI114" s="1">
        <v>0.26</v>
      </c>
      <c r="AJ114" s="1">
        <v>0.28000000000000003</v>
      </c>
      <c r="AK114" s="1">
        <v>0.26</v>
      </c>
      <c r="AL114" s="1">
        <v>0.21</v>
      </c>
      <c r="AM114" s="20">
        <v>0.12</v>
      </c>
      <c r="AN114" s="1">
        <v>0</v>
      </c>
      <c r="AO114" s="1">
        <v>0.12</v>
      </c>
      <c r="AP114" s="1">
        <v>0.21</v>
      </c>
      <c r="AQ114" s="1">
        <v>0.26</v>
      </c>
      <c r="AR114" s="1">
        <v>0.28000000000000003</v>
      </c>
      <c r="AS114" s="1">
        <v>0.26</v>
      </c>
      <c r="AT114" s="1">
        <v>0.21</v>
      </c>
      <c r="AU114" s="20">
        <v>0.12</v>
      </c>
      <c r="AV114" s="1">
        <v>0</v>
      </c>
      <c r="AW114" s="1">
        <v>0.12</v>
      </c>
      <c r="AX114" s="1">
        <v>0.21</v>
      </c>
      <c r="AY114" s="1">
        <v>0.26</v>
      </c>
      <c r="AZ114" s="1">
        <v>0.28000000000000003</v>
      </c>
      <c r="BA114" s="1">
        <v>0.26</v>
      </c>
      <c r="BB114" s="1">
        <v>0.21</v>
      </c>
      <c r="BC114" s="20">
        <v>0.12</v>
      </c>
      <c r="BD114" s="1">
        <v>0</v>
      </c>
      <c r="BE114" s="1">
        <v>0.12</v>
      </c>
      <c r="BF114" s="1">
        <v>0.21</v>
      </c>
      <c r="BG114" s="1">
        <v>0.26</v>
      </c>
      <c r="BH114" s="1">
        <v>0.28000000000000003</v>
      </c>
      <c r="BI114" s="1">
        <v>0.26</v>
      </c>
      <c r="BJ114" s="1">
        <v>0.21</v>
      </c>
      <c r="BK114" s="20">
        <v>0.12</v>
      </c>
      <c r="BL114" s="1">
        <v>0</v>
      </c>
      <c r="BM114" s="1">
        <v>0.12</v>
      </c>
      <c r="BN114" s="1">
        <v>0.21</v>
      </c>
      <c r="BO114" s="1">
        <v>0.26</v>
      </c>
      <c r="BP114" s="1">
        <v>0.28000000000000003</v>
      </c>
      <c r="BQ114" s="1">
        <v>0.26</v>
      </c>
      <c r="BR114" s="1">
        <v>0.21</v>
      </c>
      <c r="BS114" s="20">
        <v>0.12</v>
      </c>
      <c r="BT114" s="1">
        <v>0</v>
      </c>
      <c r="BU114" s="1">
        <v>0.12</v>
      </c>
      <c r="BV114" s="1">
        <v>0.21</v>
      </c>
      <c r="BW114" s="1">
        <v>0.26</v>
      </c>
      <c r="BX114" s="1">
        <v>0.28000000000000003</v>
      </c>
      <c r="BY114" s="1">
        <v>0.26</v>
      </c>
      <c r="BZ114" s="1">
        <v>0.21</v>
      </c>
      <c r="CA114" s="20">
        <v>0.12</v>
      </c>
      <c r="CB114" s="1">
        <v>0</v>
      </c>
      <c r="CC114" s="1">
        <v>0.12</v>
      </c>
      <c r="CD114" s="1">
        <v>0.21</v>
      </c>
      <c r="CE114" s="1">
        <v>0.26</v>
      </c>
      <c r="CF114" s="1">
        <v>0.28000000000000003</v>
      </c>
      <c r="CG114" s="1">
        <v>0.26</v>
      </c>
      <c r="CH114" s="1">
        <v>0.21</v>
      </c>
      <c r="CI114" s="20">
        <v>0.12</v>
      </c>
      <c r="CJ114" s="1">
        <v>0</v>
      </c>
      <c r="CK114" s="1">
        <v>0.12</v>
      </c>
      <c r="CL114" s="1">
        <v>0.21</v>
      </c>
      <c r="CM114" s="1">
        <v>0.26</v>
      </c>
      <c r="CN114" s="1">
        <v>0.28000000000000003</v>
      </c>
      <c r="CO114" s="1">
        <v>0.26</v>
      </c>
      <c r="CP114" s="1">
        <v>0.21</v>
      </c>
      <c r="CQ114" s="20">
        <v>0.12</v>
      </c>
    </row>
    <row r="115" spans="3:160" x14ac:dyDescent="0.4">
      <c r="C115" s="1" t="s">
        <v>28</v>
      </c>
      <c r="D115" s="1" t="s">
        <v>8</v>
      </c>
      <c r="E115" s="1">
        <v>0.27400000000000002</v>
      </c>
      <c r="F115" s="1">
        <v>0.16600000000000001</v>
      </c>
      <c r="G115" s="1">
        <v>0.109</v>
      </c>
      <c r="H115" s="1">
        <v>2.5999999999999999E-2</v>
      </c>
      <c r="I115" s="1">
        <v>4604</v>
      </c>
      <c r="J115" s="1">
        <v>4125</v>
      </c>
      <c r="K115" s="1">
        <v>56</v>
      </c>
      <c r="L115" s="1">
        <v>5425</v>
      </c>
      <c r="M115" s="1">
        <v>6097</v>
      </c>
      <c r="N115" s="1">
        <v>74.5</v>
      </c>
      <c r="O115" s="1">
        <v>92</v>
      </c>
      <c r="P115" s="1">
        <v>89.5</v>
      </c>
      <c r="Q115" s="1">
        <v>94</v>
      </c>
      <c r="R115" s="1">
        <v>50.5</v>
      </c>
      <c r="S115" s="1">
        <v>93.5</v>
      </c>
      <c r="T115" s="4">
        <v>0</v>
      </c>
      <c r="U115" s="1">
        <v>1.5269999999999999</v>
      </c>
      <c r="V115" s="1">
        <v>0.08</v>
      </c>
      <c r="W115" s="1">
        <v>4.0199999999999996</v>
      </c>
      <c r="X115" s="1">
        <f t="shared" ref="X115" si="2438">H113</f>
        <v>2.5999999999999999E-2</v>
      </c>
      <c r="Y115" s="1">
        <f t="shared" ref="Y115" si="2439">H114</f>
        <v>5.6000000000000001E-2</v>
      </c>
      <c r="Z115" s="1">
        <f t="shared" ref="Z115" si="2440">H115</f>
        <v>2.5999999999999999E-2</v>
      </c>
      <c r="AA115" s="1">
        <f t="shared" ref="AA115" si="2441">H116</f>
        <v>1.9E-2</v>
      </c>
      <c r="AB115" s="1">
        <f t="shared" ref="AB115" si="2442">H117</f>
        <v>2.5999999999999999E-2</v>
      </c>
      <c r="AC115" s="1">
        <f t="shared" si="1193"/>
        <v>4633.4656996580579</v>
      </c>
      <c r="CQ115" s="20"/>
    </row>
    <row r="116" spans="3:160" x14ac:dyDescent="0.4">
      <c r="C116" s="1" t="s">
        <v>28</v>
      </c>
      <c r="D116" s="1" t="s">
        <v>9</v>
      </c>
      <c r="E116" s="1">
        <v>0.26600000000000001</v>
      </c>
      <c r="F116" s="1">
        <v>0.158</v>
      </c>
      <c r="G116" s="1">
        <v>0.109</v>
      </c>
      <c r="H116" s="1">
        <v>1.9E-2</v>
      </c>
      <c r="I116" s="1">
        <v>4604</v>
      </c>
      <c r="J116" s="1">
        <v>4125</v>
      </c>
      <c r="K116" s="1">
        <v>56</v>
      </c>
      <c r="L116" s="1">
        <v>5425</v>
      </c>
      <c r="M116" s="1">
        <v>6097</v>
      </c>
      <c r="N116" s="1">
        <v>74.5</v>
      </c>
      <c r="O116" s="1">
        <v>92</v>
      </c>
      <c r="P116" s="1">
        <v>89.5</v>
      </c>
      <c r="Q116" s="1">
        <v>94</v>
      </c>
      <c r="R116" s="1">
        <v>50.5</v>
      </c>
      <c r="S116" s="1">
        <v>93.5</v>
      </c>
      <c r="T116" s="4">
        <v>0</v>
      </c>
      <c r="U116" s="1">
        <v>1.5269999999999999</v>
      </c>
      <c r="V116" s="1">
        <v>0.08</v>
      </c>
      <c r="W116" s="1">
        <v>4.0199999999999996</v>
      </c>
      <c r="X116" s="1">
        <f t="shared" ref="X116" si="2443">H113</f>
        <v>2.5999999999999999E-2</v>
      </c>
      <c r="Y116" s="1">
        <f t="shared" ref="Y116" si="2444">H114</f>
        <v>5.6000000000000001E-2</v>
      </c>
      <c r="Z116" s="1">
        <f t="shared" ref="Z116" si="2445">H115</f>
        <v>2.5999999999999999E-2</v>
      </c>
      <c r="AA116" s="1">
        <f t="shared" ref="AA116" si="2446">H116</f>
        <v>1.9E-2</v>
      </c>
      <c r="AB116" s="1">
        <f t="shared" ref="AB116" si="2447">H117</f>
        <v>2.5999999999999999E-2</v>
      </c>
      <c r="AC116" s="1">
        <f t="shared" si="1193"/>
        <v>4633.4656996580579</v>
      </c>
      <c r="AE116" s="1" t="s">
        <v>98</v>
      </c>
      <c r="AF116" s="1">
        <v>0</v>
      </c>
      <c r="AG116" s="1">
        <v>6.5000000000000002E-2</v>
      </c>
      <c r="AH116" s="1">
        <v>0.14499999999999999</v>
      </c>
      <c r="AI116" s="1">
        <v>0.245</v>
      </c>
      <c r="AJ116" s="1">
        <v>0.36</v>
      </c>
      <c r="AK116" s="1">
        <v>0.39500000000000002</v>
      </c>
      <c r="AL116" s="1">
        <v>0.64500000000000002</v>
      </c>
      <c r="AM116" s="20">
        <v>0.81499999999999995</v>
      </c>
      <c r="AN116" s="1">
        <v>0</v>
      </c>
      <c r="AO116" s="1">
        <v>6.5000000000000002E-2</v>
      </c>
      <c r="AP116" s="1">
        <v>0.14499999999999999</v>
      </c>
      <c r="AQ116" s="1">
        <v>0.245</v>
      </c>
      <c r="AR116" s="1">
        <v>0.36</v>
      </c>
      <c r="AS116" s="1">
        <v>0.39500000000000002</v>
      </c>
      <c r="AT116" s="1">
        <v>0.64500000000000002</v>
      </c>
      <c r="AU116" s="20">
        <v>0.81499999999999995</v>
      </c>
      <c r="AV116" s="1">
        <v>0</v>
      </c>
      <c r="AW116" s="1">
        <v>6.5000000000000002E-2</v>
      </c>
      <c r="AX116" s="1">
        <v>0.14499999999999999</v>
      </c>
      <c r="AY116" s="1">
        <v>0.245</v>
      </c>
      <c r="AZ116" s="1">
        <v>0.36</v>
      </c>
      <c r="BA116" s="1">
        <v>0.39500000000000002</v>
      </c>
      <c r="BB116" s="1">
        <v>0.64500000000000002</v>
      </c>
      <c r="BC116" s="20">
        <v>0.81499999999999995</v>
      </c>
      <c r="BD116" s="1">
        <v>0</v>
      </c>
      <c r="BE116" s="1">
        <v>6.5000000000000002E-2</v>
      </c>
      <c r="BF116" s="1">
        <v>0.14499999999999999</v>
      </c>
      <c r="BG116" s="1">
        <v>0.245</v>
      </c>
      <c r="BH116" s="1">
        <v>0.36</v>
      </c>
      <c r="BI116" s="1">
        <v>0.39500000000000002</v>
      </c>
      <c r="BJ116" s="1">
        <v>0.64500000000000002</v>
      </c>
      <c r="BK116" s="20">
        <v>0.81499999999999995</v>
      </c>
      <c r="BL116" s="1">
        <v>0</v>
      </c>
      <c r="BM116" s="1">
        <v>6.5000000000000002E-2</v>
      </c>
      <c r="BN116" s="1">
        <v>0.14499999999999999</v>
      </c>
      <c r="BO116" s="1">
        <v>0.245</v>
      </c>
      <c r="BP116" s="1">
        <v>0.36</v>
      </c>
      <c r="BQ116" s="1">
        <v>0.39500000000000002</v>
      </c>
      <c r="BR116" s="1">
        <v>0.64500000000000002</v>
      </c>
      <c r="BS116" s="20">
        <v>0.81499999999999995</v>
      </c>
      <c r="BT116" s="1">
        <v>0</v>
      </c>
      <c r="BU116" s="1">
        <v>6.5000000000000002E-2</v>
      </c>
      <c r="BV116" s="1">
        <v>0.14499999999999999</v>
      </c>
      <c r="BW116" s="1">
        <v>0.245</v>
      </c>
      <c r="BX116" s="1">
        <v>0.36</v>
      </c>
      <c r="BY116" s="1">
        <v>0.39500000000000002</v>
      </c>
      <c r="BZ116" s="1">
        <v>0.64500000000000002</v>
      </c>
      <c r="CA116" s="20">
        <v>0.81499999999999995</v>
      </c>
      <c r="CB116" s="1">
        <v>0</v>
      </c>
      <c r="CC116" s="1">
        <v>6.5000000000000002E-2</v>
      </c>
      <c r="CD116" s="1">
        <v>0.14499999999999999</v>
      </c>
      <c r="CE116" s="1">
        <v>0.245</v>
      </c>
      <c r="CF116" s="1">
        <v>0.36</v>
      </c>
      <c r="CG116" s="1">
        <v>0.39500000000000002</v>
      </c>
      <c r="CH116" s="1">
        <v>0.64500000000000002</v>
      </c>
      <c r="CI116" s="20">
        <v>0.81499999999999995</v>
      </c>
      <c r="CJ116" s="1">
        <v>0</v>
      </c>
      <c r="CK116" s="1">
        <v>6.5000000000000002E-2</v>
      </c>
      <c r="CL116" s="1">
        <v>0.14499999999999999</v>
      </c>
      <c r="CM116" s="1">
        <v>0.245</v>
      </c>
      <c r="CN116" s="1">
        <v>0.36</v>
      </c>
      <c r="CO116" s="1">
        <v>0.39500000000000002</v>
      </c>
      <c r="CP116" s="1">
        <v>0.64500000000000002</v>
      </c>
      <c r="CQ116" s="20">
        <v>0.81499999999999995</v>
      </c>
    </row>
    <row r="117" spans="3:160" s="2" customFormat="1" x14ac:dyDescent="0.4">
      <c r="C117" s="2" t="s">
        <v>28</v>
      </c>
      <c r="D117" s="2" t="s">
        <v>10</v>
      </c>
      <c r="E117" s="2">
        <v>0.27400000000000002</v>
      </c>
      <c r="F117" s="2">
        <v>0.16600000000000001</v>
      </c>
      <c r="G117" s="2">
        <v>0.109</v>
      </c>
      <c r="H117" s="2">
        <v>2.5999999999999999E-2</v>
      </c>
      <c r="I117" s="2">
        <v>4604</v>
      </c>
      <c r="J117" s="2">
        <v>4125</v>
      </c>
      <c r="K117" s="2">
        <v>56</v>
      </c>
      <c r="L117" s="2">
        <v>5425</v>
      </c>
      <c r="M117" s="2">
        <v>6097</v>
      </c>
      <c r="N117" s="2">
        <v>74.5</v>
      </c>
      <c r="O117" s="2">
        <v>92</v>
      </c>
      <c r="P117" s="2">
        <v>89.5</v>
      </c>
      <c r="Q117" s="2">
        <v>94</v>
      </c>
      <c r="R117" s="2">
        <v>50.5</v>
      </c>
      <c r="S117" s="2">
        <v>93.5</v>
      </c>
      <c r="T117" s="6">
        <f t="shared" ref="T117:T165" si="2448">(N112*O112*P112*Q112*R112*S112)/(I112*J112*K112*(F112*H112 + F113*H113 + F114*H114 + F115*H115 + F116*H116 + F117*H117))</f>
        <v>6711.2231383208809</v>
      </c>
      <c r="U117" s="2">
        <v>1.5269999999999999</v>
      </c>
      <c r="V117" s="2">
        <v>0.08</v>
      </c>
      <c r="W117" s="2">
        <v>4.0199999999999996</v>
      </c>
      <c r="X117" s="2">
        <f t="shared" ref="X117" si="2449">H113</f>
        <v>2.5999999999999999E-2</v>
      </c>
      <c r="Y117" s="2">
        <f t="shared" ref="Y117" si="2450">H114</f>
        <v>5.6000000000000001E-2</v>
      </c>
      <c r="Z117" s="2">
        <f t="shared" ref="Z117" si="2451">H115</f>
        <v>2.5999999999999999E-2</v>
      </c>
      <c r="AA117" s="2">
        <f t="shared" ref="AA117" si="2452">H116</f>
        <v>1.9E-2</v>
      </c>
      <c r="AB117" s="2">
        <f t="shared" ref="AB117" si="2453">H117</f>
        <v>2.5999999999999999E-2</v>
      </c>
      <c r="AC117" s="1">
        <f t="shared" si="1193"/>
        <v>4633.4656996580579</v>
      </c>
      <c r="AE117" s="2" t="s">
        <v>99</v>
      </c>
      <c r="AF117" s="23">
        <f>($O117*$Q117*$S117)^(1/3)/(AF112*((1-AF$2)*$H112+AF$2*$H113) + AF114*((1-AF$2)*$H114+AF$2*$H115) + AF116*((1-AF$2)*$H116+AF$2*$H117))</f>
        <v>1725.2366312995323</v>
      </c>
      <c r="AG117" s="23">
        <f t="shared" ref="AG117" si="2454">($O117*$Q117*$S117)^(1/3)/(AG112*((1-AG$2)*$H112+AG$2*$H113) + AG114*((1-AG$2)*$H114+AG$2*$H115) + AG116*((1-AG$2)*$H116+AG$2*$H117))</f>
        <v>1792.7985776998892</v>
      </c>
      <c r="AH117" s="23">
        <f t="shared" ref="AH117" si="2455">($O117*$Q117*$S117)^(1/3)/(AH112*((1-AH$2)*$H112+AH$2*$H113) + AH114*((1-AH$2)*$H114+AH$2*$H115) + AH116*((1-AH$2)*$H116+AH$2*$H117))</f>
        <v>1887.9882073193787</v>
      </c>
      <c r="AI117" s="23">
        <f t="shared" ref="AI117" si="2456">($O117*$Q117*$S117)^(1/3)/(AI112*((1-AI$2)*$H112+AI$2*$H113) + AI114*((1-AI$2)*$H114+AI$2*$H115) + AI116*((1-AI$2)*$H116+AI$2*$H117))</f>
        <v>2297.7624390226842</v>
      </c>
      <c r="AJ117" s="23">
        <f t="shared" ref="AJ117" si="2457">($O117*$Q117*$S117)^(1/3)/(AJ112*((1-AJ$2)*$H112+AJ$2*$H113) + AJ114*((1-AJ$2)*$H114+AJ$2*$H115) + AJ116*((1-AJ$2)*$H116+AJ$2*$H117))</f>
        <v>2220.2759316056899</v>
      </c>
      <c r="AK117" s="23">
        <f t="shared" ref="AK117" si="2458">($O117*$Q117*$S117)^(1/3)/(AK112*((1-AK$2)*$H112+AK$2*$H113) + AK114*((1-AK$2)*$H114+AK$2*$H115) + AK116*((1-AK$2)*$H116+AK$2*$H117))</f>
        <v>2639.5460572368534</v>
      </c>
      <c r="AL117" s="23">
        <f t="shared" ref="AL117" si="2459">($O117*$Q117*$S117)^(1/3)/(AL112*((1-AL$2)*$H112+AL$2*$H113) + AL114*((1-AL$2)*$H114+AL$2*$H115) + AL116*((1-AL$2)*$H116+AL$2*$H117))</f>
        <v>2925.5072410166349</v>
      </c>
      <c r="AM117" s="23">
        <f t="shared" ref="AM117" si="2460">($O117*$Q117*$S117)^(1/3)/(AM112*((1-AM$2)*$H112+AM$2*$H113) + AM114*((1-AM$2)*$H114+AM$2*$H115) + AM116*((1-AM$2)*$H116+AM$2*$H117))</f>
        <v>3622.8962897209699</v>
      </c>
      <c r="AN117" s="23">
        <f t="shared" ref="AN117" si="2461">($O117*$Q117*$S117)^(1/3)/(AN112*((1-AN$2)*$H112+AN$2*$H113) + AN114*((1-AN$2)*$H114+AN$2*$H115) + AN116*((1-AN$2)*$H116+AN$2*$H117))</f>
        <v>1844.8074869341531</v>
      </c>
      <c r="AO117" s="23">
        <f t="shared" ref="AO117" si="2462">($O117*$Q117*$S117)^(1/3)/(AO112*((1-AO$2)*$H112+AO$2*$H113) + AO114*((1-AO$2)*$H114+AO$2*$H115) + AO116*((1-AO$2)*$H116+AO$2*$H117))</f>
        <v>1912.2326197775474</v>
      </c>
      <c r="AP117" s="23">
        <f t="shared" ref="AP117" si="2463">($O117*$Q117*$S117)^(1/3)/(AP112*((1-AP$2)*$H112+AP$2*$H113) + AP114*((1-AP$2)*$H114+AP$2*$H115) + AP116*((1-AP$2)*$H116+AP$2*$H117))</f>
        <v>2006.6562328430402</v>
      </c>
      <c r="AQ117" s="23">
        <f t="shared" ref="AQ117" si="2464">($O117*$Q117*$S117)^(1/3)/(AQ112*((1-AQ$2)*$H112+AQ$2*$H113) + AQ114*((1-AQ$2)*$H114+AQ$2*$H115) + AQ116*((1-AQ$2)*$H116+AQ$2*$H117))</f>
        <v>2425.9955559507112</v>
      </c>
      <c r="AR117" s="23">
        <f t="shared" ref="AR117" si="2465">($O117*$Q117*$S117)^(1/3)/(AR112*((1-AR$2)*$H112+AR$2*$H113) + AR114*((1-AR$2)*$H114+AR$2*$H115) + AR116*((1-AR$2)*$H116+AR$2*$H117))</f>
        <v>2331.109172780551</v>
      </c>
      <c r="AS117" s="23">
        <f t="shared" ref="AS117" si="2466">($O117*$Q117*$S117)^(1/3)/(AS112*((1-AS$2)*$H112+AS$2*$H113) + AS114*((1-AS$2)*$H114+AS$2*$H115) + AS116*((1-AS$2)*$H116+AS$2*$H117))</f>
        <v>2755.6327980381857</v>
      </c>
      <c r="AT117" s="23">
        <f t="shared" ref="AT117" si="2467">($O117*$Q117*$S117)^(1/3)/(AT112*((1-AT$2)*$H112+AT$2*$H113) + AT114*((1-AT$2)*$H114+AT$2*$H115) + AT116*((1-AT$2)*$H116+AT$2*$H117))</f>
        <v>2994.203743130779</v>
      </c>
      <c r="AU117" s="23">
        <f t="shared" ref="AU117" si="2468">($O117*$Q117*$S117)^(1/3)/(AU112*((1-AU$2)*$H112+AU$2*$H113) + AU114*((1-AU$2)*$H114+AU$2*$H115) + AU116*((1-AU$2)*$H116+AU$2*$H117))</f>
        <v>3617.8841519448456</v>
      </c>
      <c r="AV117" s="23">
        <f t="shared" ref="AV117" si="2469">($O117*$Q117*$S117)^(1/3)/(AV112*((1-AV$2)*$H112+AV$2*$H113) + AV114*((1-AV$2)*$H114+AV$2*$H115) + AV116*((1-AV$2)*$H116+AV$2*$H117))</f>
        <v>1982.1867678760582</v>
      </c>
      <c r="AW117" s="23">
        <f t="shared" ref="AW117" si="2470">($O117*$Q117*$S117)^(1/3)/(AW112*((1-AW$2)*$H112+AW$2*$H113) + AW114*((1-AW$2)*$H114+AW$2*$H115) + AW116*((1-AW$2)*$H116+AW$2*$H117))</f>
        <v>2048.7155356700237</v>
      </c>
      <c r="AX117" s="23">
        <f t="shared" ref="AX117" si="2471">($O117*$Q117*$S117)^(1/3)/(AX112*((1-AX$2)*$H112+AX$2*$H113) + AX114*((1-AX$2)*$H114+AX$2*$H115) + AX116*((1-AX$2)*$H116+AX$2*$H117))</f>
        <v>2141.2423498761682</v>
      </c>
      <c r="AY117" s="23">
        <f t="shared" ref="AY117" si="2472">($O117*$Q117*$S117)^(1/3)/(AY112*((1-AY$2)*$H112+AY$2*$H113) + AY114*((1-AY$2)*$H114+AY$2*$H115) + AY116*((1-AY$2)*$H116+AY$2*$H117))</f>
        <v>2569.3874744764985</v>
      </c>
      <c r="AZ117" s="23">
        <f t="shared" ref="AZ117" si="2473">($O117*$Q117*$S117)^(1/3)/(AZ112*((1-AZ$2)*$H112+AZ$2*$H113) + AZ114*((1-AZ$2)*$H114+AZ$2*$H115) + AZ116*((1-AZ$2)*$H116+AZ$2*$H117))</f>
        <v>2453.5890990301482</v>
      </c>
      <c r="BA117" s="23">
        <f t="shared" ref="BA117" si="2474">($O117*$Q117*$S117)^(1/3)/(BA112*((1-BA$2)*$H112+BA$2*$H113) + BA114*((1-BA$2)*$H114+BA$2*$H115) + BA116*((1-BA$2)*$H116+BA$2*$H117))</f>
        <v>2882.4002193657348</v>
      </c>
      <c r="BB117" s="23">
        <f t="shared" ref="BB117" si="2475">($O117*$Q117*$S117)^(1/3)/(BB112*((1-BB$2)*$H112+BB$2*$H113) + BB114*((1-BB$2)*$H114+BB$2*$H115) + BB116*((1-BB$2)*$H116+BB$2*$H117))</f>
        <v>3066.2040758686712</v>
      </c>
      <c r="BC117" s="23">
        <f t="shared" ref="BC117" si="2476">($O117*$Q117*$S117)^(1/3)/(BC112*((1-BC$2)*$H112+BC$2*$H113) + BC114*((1-BC$2)*$H114+BC$2*$H115) + BC116*((1-BC$2)*$H116+BC$2*$H117))</f>
        <v>3612.8858632090651</v>
      </c>
      <c r="BD117" s="23">
        <f t="shared" ref="BD117" si="2477">($O117*$Q117*$S117)^(1/3)/(BD112*((1-BD$2)*$H112+BD$2*$H113) + BD114*((1-BD$2)*$H114+BD$2*$H115) + BD116*((1-BD$2)*$H116+BD$2*$H117))</f>
        <v>2141.6730595442468</v>
      </c>
      <c r="BE117" s="23">
        <f t="shared" ref="BE117" si="2478">($O117*$Q117*$S117)^(1/3)/(BE112*((1-BE$2)*$H112+BE$2*$H113) + BE114*((1-BE$2)*$H114+BE$2*$H115) + BE116*((1-BE$2)*$H116+BE$2*$H117))</f>
        <v>2206.1784199552962</v>
      </c>
      <c r="BF117" s="23">
        <f t="shared" ref="BF117" si="2479">($O117*$Q117*$S117)^(1/3)/(BF112*((1-BF$2)*$H112+BF$2*$H113) + BF114*((1-BF$2)*$H114+BF$2*$H115) + BF116*((1-BF$2)*$H116+BF$2*$H117))</f>
        <v>2295.1796896493888</v>
      </c>
      <c r="BG117" s="23">
        <f t="shared" ref="BG117" si="2480">($O117*$Q117*$S117)^(1/3)/(BG112*((1-BG$2)*$H112+BG$2*$H113) + BG114*((1-BG$2)*$H114+BG$2*$H115) + BG116*((1-BG$2)*$H116+BG$2*$H117))</f>
        <v>2730.794997605195</v>
      </c>
      <c r="BH117" s="23">
        <f t="shared" ref="BH117" si="2481">($O117*$Q117*$S117)^(1/3)/(BH112*((1-BH$2)*$H112+BH$2*$H113) + BH114*((1-BH$2)*$H114+BH$2*$H115) + BH116*((1-BH$2)*$H116+BH$2*$H117))</f>
        <v>2589.6533173085404</v>
      </c>
      <c r="BI117" s="23">
        <f t="shared" ref="BI117" si="2482">($O117*$Q117*$S117)^(1/3)/(BI112*((1-BI$2)*$H112+BI$2*$H113) + BI114*((1-BI$2)*$H114+BI$2*$H115) + BI116*((1-BI$2)*$H116+BI$2*$H117))</f>
        <v>3021.3934315248725</v>
      </c>
      <c r="BJ117" s="23">
        <f t="shared" ref="BJ117" si="2483">($O117*$Q117*$S117)^(1/3)/(BJ112*((1-BJ$2)*$H112+BJ$2*$H113) + BJ114*((1-BJ$2)*$H114+BJ$2*$H115) + BJ116*((1-BJ$2)*$H116+BJ$2*$H117))</f>
        <v>3141.7524490310798</v>
      </c>
      <c r="BK117" s="23">
        <f t="shared" ref="BK117" si="2484">($O117*$Q117*$S117)^(1/3)/(BK112*((1-BK$2)*$H112+BK$2*$H113) + BK114*((1-BK$2)*$H114+BK$2*$H115) + BK116*((1-BK$2)*$H116+BK$2*$H117))</f>
        <v>3607.9013661933823</v>
      </c>
      <c r="BL117" s="23">
        <f t="shared" ref="BL117" si="2485">($O117*$Q117*$S117)^(1/3)/(BL112*((1-BL$2)*$H112+BL$2*$H113) + BL114*((1-BL$2)*$H114+BL$2*$H115) + BL116*((1-BL$2)*$H116+BL$2*$H117))</f>
        <v>2329.0694522543686</v>
      </c>
      <c r="BM117" s="23">
        <f t="shared" ref="BM117" si="2486">($O117*$Q117*$S117)^(1/3)/(BM112*((1-BM$2)*$H112+BM$2*$H113) + BM114*((1-BM$2)*$H114+BM$2*$H115) + BM116*((1-BM$2)*$H116+BM$2*$H117))</f>
        <v>2389.8615555742899</v>
      </c>
      <c r="BN117" s="23">
        <f t="shared" ref="BN117" si="2487">($O117*$Q117*$S117)^(1/3)/(BN112*((1-BN$2)*$H112+BN$2*$H113) + BN114*((1-BN$2)*$H114+BN$2*$H115) + BN116*((1-BN$2)*$H116+BN$2*$H117))</f>
        <v>2472.9651095673171</v>
      </c>
      <c r="BO117" s="23">
        <f t="shared" ref="BO117" si="2488">($O117*$Q117*$S117)^(1/3)/(BO112*((1-BO$2)*$H112+BO$2*$H113) + BO114*((1-BO$2)*$H114+BO$2*$H115) + BO116*((1-BO$2)*$H116+BO$2*$H117))</f>
        <v>2913.8408973391115</v>
      </c>
      <c r="BP117" s="23">
        <f t="shared" ref="BP117" si="2489">($O117*$Q117*$S117)^(1/3)/(BP112*((1-BP$2)*$H112+BP$2*$H113) + BP114*((1-BP$2)*$H114+BP$2*$H115) + BP116*((1-BP$2)*$H116+BP$2*$H117))</f>
        <v>2741.6944699874853</v>
      </c>
      <c r="BQ117" s="23">
        <f t="shared" ref="BQ117" si="2490">($O117*$Q117*$S117)^(1/3)/(BQ112*((1-BQ$2)*$H112+BQ$2*$H113) + BQ114*((1-BQ$2)*$H114+BQ$2*$H115) + BQ116*((1-BQ$2)*$H116+BQ$2*$H117))</f>
        <v>3174.4706734875117</v>
      </c>
      <c r="BR117" s="23">
        <f t="shared" ref="BR117" si="2491">($O117*$Q117*$S117)^(1/3)/(BR112*((1-BR$2)*$H112+BR$2*$H113) + BR114*((1-BR$2)*$H114+BR$2*$H115) + BR116*((1-BR$2)*$H116+BR$2*$H117))</f>
        <v>3221.1177488175208</v>
      </c>
      <c r="BS117" s="23">
        <f t="shared" ref="BS117" si="2492">($O117*$Q117*$S117)^(1/3)/(BS112*((1-BS$2)*$H112+BS$2*$H113) + BS114*((1-BS$2)*$H114+BS$2*$H115) + BS116*((1-BS$2)*$H116+BS$2*$H117))</f>
        <v>3602.9306038934446</v>
      </c>
      <c r="BT117" s="23">
        <f t="shared" ref="BT117" si="2493">($O117*$Q117*$S117)^(1/3)/(BT112*((1-BT$2)*$H112+BT$2*$H113) + BT114*((1-BT$2)*$H114+BT$2*$H115) + BT116*((1-BT$2)*$H116+BT$2*$H117))</f>
        <v>2552.4048791828691</v>
      </c>
      <c r="BU117" s="23">
        <f t="shared" ref="BU117" si="2494">($O117*$Q117*$S117)^(1/3)/(BU112*((1-BU$2)*$H112+BU$2*$H113) + BU114*((1-BU$2)*$H114+BU$2*$H115) + BU116*((1-BU$2)*$H116+BU$2*$H117))</f>
        <v>2606.9089166351205</v>
      </c>
      <c r="BV117" s="23">
        <f t="shared" ref="BV117" si="2495">($O117*$Q117*$S117)^(1/3)/(BV112*((1-BV$2)*$H112+BV$2*$H113) + BV114*((1-BV$2)*$H114+BV$2*$H115) + BV116*((1-BV$2)*$H116+BV$2*$H117))</f>
        <v>2680.6057680558124</v>
      </c>
      <c r="BW117" s="23">
        <f t="shared" ref="BW117" si="2496">($O117*$Q117*$S117)^(1/3)/(BW112*((1-BW$2)*$H112+BW$2*$H113) + BW114*((1-BW$2)*$H114+BW$2*$H115) + BW116*((1-BW$2)*$H116+BW$2*$H117))</f>
        <v>3123.1890741986622</v>
      </c>
      <c r="BX117" s="23">
        <f t="shared" ref="BX117" si="2497">($O117*$Q117*$S117)^(1/3)/(BX112*((1-BX$2)*$H112+BX$2*$H113) + BX114*((1-BX$2)*$H114+BX$2*$H115) + BX116*((1-BX$2)*$H116+BX$2*$H117))</f>
        <v>2912.7021444481707</v>
      </c>
      <c r="BY117" s="23">
        <f t="shared" ref="BY117" si="2498">($O117*$Q117*$S117)^(1/3)/(BY112*((1-BY$2)*$H112+BY$2*$H113) + BY114*((1-BY$2)*$H114+BY$2*$H115) + BY116*((1-BY$2)*$H116+BY$2*$H117))</f>
        <v>3343.8868686605106</v>
      </c>
      <c r="BZ117" s="23">
        <f t="shared" ref="BZ117" si="2499">($O117*$Q117*$S117)^(1/3)/(BZ112*((1-BZ$2)*$H112+BZ$2*$H113) + BZ114*((1-BZ$2)*$H114+BZ$2*$H115) + BZ116*((1-BZ$2)*$H116+BZ$2*$H117))</f>
        <v>3304.5967354131194</v>
      </c>
      <c r="CA117" s="23">
        <f t="shared" ref="CA117" si="2500">($O117*$Q117*$S117)^(1/3)/(CA112*((1-CA$2)*$H112+CA$2*$H113) + CA114*((1-CA$2)*$H114+CA$2*$H115) + CA116*((1-CA$2)*$H116+CA$2*$H117))</f>
        <v>3597.9735196186148</v>
      </c>
      <c r="CB117" s="23">
        <f t="shared" ref="CB117" si="2501">($O117*$Q117*$S117)^(1/3)/(CB112*((1-CB$2)*$H112+CB$2*$H113) + CB114*((1-CB$2)*$H114+CB$2*$H115) + CB116*((1-CB$2)*$H116+CB$2*$H117))</f>
        <v>2823.1144875810528</v>
      </c>
      <c r="CC117" s="23">
        <f t="shared" ref="CC117" si="2502">($O117*$Q117*$S117)^(1/3)/(CC112*((1-CC$2)*$H112+CC$2*$H113) + CC114*((1-CC$2)*$H114+CC$2*$H115) + CC116*((1-CC$2)*$H116+CC$2*$H117))</f>
        <v>2867.3189886561686</v>
      </c>
      <c r="CD117" s="23">
        <f t="shared" ref="CD117" si="2503">($O117*$Q117*$S117)^(1/3)/(CD112*((1-CD$2)*$H112+CD$2*$H113) + CD114*((1-CD$2)*$H114+CD$2*$H115) + CD116*((1-CD$2)*$H116+CD$2*$H117))</f>
        <v>2926.3112989178917</v>
      </c>
      <c r="CE117" s="23">
        <f t="shared" ref="CE117" si="2504">($O117*$Q117*$S117)^(1/3)/(CE112*((1-CE$2)*$H112+CE$2*$H113) + CE114*((1-CE$2)*$H114+CE$2*$H115) + CE116*((1-CE$2)*$H116+CE$2*$H117))</f>
        <v>3364.9475133026226</v>
      </c>
      <c r="CF117" s="23">
        <f t="shared" ref="CF117" si="2505">($O117*$Q117*$S117)^(1/3)/(CF112*((1-CF$2)*$H112+CF$2*$H113) + CF114*((1-CF$2)*$H114+CF$2*$H115) + CF116*((1-CF$2)*$H116+CF$2*$H117))</f>
        <v>3106.461423480318</v>
      </c>
      <c r="CG117" s="23">
        <f t="shared" ref="CG117" si="2506">($O117*$Q117*$S117)^(1/3)/(CG112*((1-CG$2)*$H112+CG$2*$H113) + CG114*((1-CG$2)*$H114+CG$2*$H115) + CG116*((1-CG$2)*$H116+CG$2*$H117))</f>
        <v>3532.4054444352714</v>
      </c>
      <c r="CH117" s="23">
        <f t="shared" ref="CH117" si="2507">($O117*$Q117*$S117)^(1/3)/(CH112*((1-CH$2)*$H112+CH$2*$H113) + CH114*((1-CH$2)*$H114+CH$2*$H115) + CH116*((1-CH$2)*$H116+CH$2*$H117))</f>
        <v>3392.5177510191534</v>
      </c>
      <c r="CI117" s="23">
        <f t="shared" ref="CI117" si="2508">($O117*$Q117*$S117)^(1/3)/(CI112*((1-CI$2)*$H112+CI$2*$H113) + CI114*((1-CI$2)*$H114+CI$2*$H115) + CI116*((1-CI$2)*$H116+CI$2*$H117))</f>
        <v>3593.0300569898177</v>
      </c>
      <c r="CJ117" s="23">
        <f t="shared" ref="CJ117" si="2509">($O117*$Q117*$S117)^(1/3)/(CJ112*((1-CJ$2)*$H112+CJ$2*$H113) + CJ114*((1-CJ$2)*$H114+CJ$2*$H115) + CJ116*((1-CJ$2)*$H116+CJ$2*$H117))</f>
        <v>3158.0602742432116</v>
      </c>
      <c r="CK117" s="23">
        <f t="shared" ref="CK117" si="2510">($O117*$Q117*$S117)^(1/3)/(CK112*((1-CK$2)*$H112+CK$2*$H113) + CK114*((1-CK$2)*$H114+CK$2*$H115) + CK116*((1-CK$2)*$H116+CK$2*$H117))</f>
        <v>3185.5287103686364</v>
      </c>
      <c r="CL117" s="23">
        <f t="shared" ref="CL117" si="2511">($O117*$Q117*$S117)^(1/3)/(CL112*((1-CL$2)*$H112+CL$2*$H113) + CL114*((1-CL$2)*$H114+CL$2*$H115) + CL116*((1-CL$2)*$H116+CL$2*$H117))</f>
        <v>3221.6050691452069</v>
      </c>
      <c r="CM117" s="23">
        <f t="shared" ref="CM117" si="2512">($O117*$Q117*$S117)^(1/3)/(CM112*((1-CM$2)*$H112+CM$2*$H113) + CM114*((1-CM$2)*$H114+CM$2*$H115) + CM116*((1-CM$2)*$H116+CM$2*$H117))</f>
        <v>3647.2740939166506</v>
      </c>
      <c r="CN117" s="23">
        <f t="shared" ref="CN117" si="2513">($O117*$Q117*$S117)^(1/3)/(CN112*((1-CN$2)*$H112+CN$2*$H113) + CN114*((1-CN$2)*$H114+CN$2*$H115) + CN116*((1-CN$2)*$H116+CN$2*$H117))</f>
        <v>3327.8363311368012</v>
      </c>
      <c r="CO117" s="23">
        <f t="shared" ref="CO117" si="2514">($O117*$Q117*$S117)^(1/3)/(CO112*((1-CO$2)*$H112+CO$2*$H113) + CO114*((1-CO$2)*$H114+CO$2*$H115) + CO116*((1-CO$2)*$H116+CO$2*$H117))</f>
        <v>3743.4502359245485</v>
      </c>
      <c r="CP117" s="23">
        <f t="shared" ref="CP117" si="2515">($O117*$Q117*$S117)^(1/3)/(CP112*((1-CP$2)*$H112+CP$2*$H113) + CP114*((1-CP$2)*$H114+CP$2*$H115) + CP116*((1-CP$2)*$H116+CP$2*$H117))</f>
        <v>3485.2450359905447</v>
      </c>
      <c r="CQ117" s="23">
        <f t="shared" ref="CQ117" si="2516">($O117*$Q117*$S117)^(1/3)/(CQ112*((1-CQ$2)*$H112+CQ$2*$H113) + CQ114*((1-CQ$2)*$H114+CQ$2*$H115) + CQ116*((1-CQ$2)*$H116+CQ$2*$H117))</f>
        <v>3588.1001599374044</v>
      </c>
      <c r="CS117" s="2">
        <f t="shared" ref="CS117" si="2517">100*$AF117/AF117</f>
        <v>100</v>
      </c>
      <c r="CT117" s="2">
        <f t="shared" ref="CT117" si="2518">100*$AF117/AG117</f>
        <v>96.231481481481481</v>
      </c>
      <c r="CU117" s="2">
        <f t="shared" ref="CU117" si="2519">100*$AF117/AH117</f>
        <v>91.379629629629633</v>
      </c>
      <c r="CV117" s="2">
        <f t="shared" ref="CV117" si="2520">100*$AF117/AI117</f>
        <v>75.083333333333343</v>
      </c>
      <c r="CW117" s="2">
        <f t="shared" ref="CW117" si="2521">100*$AF117/AJ117</f>
        <v>77.703703703703695</v>
      </c>
      <c r="CX117" s="2">
        <f t="shared" ref="CX117" si="2522">100*$AF117/AK117</f>
        <v>65.361111111111114</v>
      </c>
      <c r="CY117" s="2">
        <f t="shared" ref="CY117" si="2523">100*$AF117/AL117</f>
        <v>58.972222222222229</v>
      </c>
      <c r="CZ117" s="2">
        <f t="shared" ref="CZ117" si="2524">100*$AF117/AM117</f>
        <v>47.620370370370374</v>
      </c>
      <c r="DA117" s="2">
        <f t="shared" ref="DA117" si="2525">100*$AF117/AN117</f>
        <v>93.518518518518533</v>
      </c>
      <c r="DB117" s="2">
        <f t="shared" ref="DB117" si="2526">100*$AF117/AO117</f>
        <v>90.22106481481481</v>
      </c>
      <c r="DC117" s="2">
        <f t="shared" ref="DC117" si="2527">100*$AF117/AP117</f>
        <v>85.975694444444457</v>
      </c>
      <c r="DD117" s="2">
        <f t="shared" ref="DD117" si="2528">100*$AF117/AQ117</f>
        <v>71.114583333333357</v>
      </c>
      <c r="DE117" s="2">
        <f t="shared" ref="DE117" si="2529">100*$AF117/AR117</f>
        <v>74.009259259259281</v>
      </c>
      <c r="DF117" s="2">
        <f t="shared" ref="DF117" si="2530">100*$AF117/AS117</f>
        <v>62.607638888888893</v>
      </c>
      <c r="DG117" s="2">
        <f t="shared" ref="DG117" si="2531">100*$AF117/AT117</f>
        <v>57.619212962962969</v>
      </c>
      <c r="DH117" s="2">
        <f t="shared" ref="DH117" si="2532">100*$AF117/AU117</f>
        <v>47.686342592592595</v>
      </c>
      <c r="DI117" s="2">
        <f t="shared" ref="DI117" si="2533">100*$AF117/AV117</f>
        <v>87.037037037037052</v>
      </c>
      <c r="DJ117" s="2">
        <f t="shared" ref="DJ117" si="2534">100*$AF117/AW117</f>
        <v>84.210648148148152</v>
      </c>
      <c r="DK117" s="2">
        <f t="shared" ref="DK117" si="2535">100*$AF117/AX117</f>
        <v>80.571759259259267</v>
      </c>
      <c r="DL117" s="2">
        <f t="shared" ref="DL117" si="2536">100*$AF117/AY117</f>
        <v>67.145833333333343</v>
      </c>
      <c r="DM117" s="2">
        <f t="shared" ref="DM117" si="2537">100*$AF117/AZ117</f>
        <v>70.314814814814824</v>
      </c>
      <c r="DN117" s="2">
        <f t="shared" ref="DN117" si="2538">100*$AF117/BA117</f>
        <v>59.854166666666657</v>
      </c>
      <c r="DO117" s="2">
        <f t="shared" ref="DO117" si="2539">100*$AF117/BB117</f>
        <v>56.266203703703709</v>
      </c>
      <c r="DP117" s="2">
        <f t="shared" ref="DP117" si="2540">100*$AF117/BC117</f>
        <v>47.75231481481481</v>
      </c>
      <c r="DQ117" s="2">
        <f t="shared" ref="DQ117" si="2541">100*$AF117/BD117</f>
        <v>80.555555555555557</v>
      </c>
      <c r="DR117" s="2">
        <f t="shared" ref="DR117" si="2542">100*$AF117/BE117</f>
        <v>78.200231481481481</v>
      </c>
      <c r="DS117" s="2">
        <f t="shared" ref="DS117" si="2543">100*$AF117/BF117</f>
        <v>75.16782407407409</v>
      </c>
      <c r="DT117" s="2">
        <f t="shared" ref="DT117" si="2544">100*$AF117/BG117</f>
        <v>63.177083333333343</v>
      </c>
      <c r="DU117" s="2">
        <f t="shared" ref="DU117" si="2545">100*$AF117/BH117</f>
        <v>66.620370370370367</v>
      </c>
      <c r="DV117" s="2">
        <f t="shared" ref="DV117" si="2546">100*$AF117/BI117</f>
        <v>57.100694444444443</v>
      </c>
      <c r="DW117" s="2">
        <f t="shared" ref="DW117" si="2547">100*$AF117/BJ117</f>
        <v>54.91319444444445</v>
      </c>
      <c r="DX117" s="2">
        <f t="shared" ref="DX117" si="2548">100*$AF117/BK117</f>
        <v>47.818287037037038</v>
      </c>
      <c r="DY117" s="2">
        <f t="shared" ref="DY117" si="2549">100*$AF117/BL117</f>
        <v>74.074074074074076</v>
      </c>
      <c r="DZ117" s="2">
        <f t="shared" ref="DZ117" si="2550">100*$AF117/BM117</f>
        <v>72.18981481481481</v>
      </c>
      <c r="EA117" s="2">
        <f t="shared" ref="EA117" si="2551">100*$AF117/BN117</f>
        <v>69.763888888888886</v>
      </c>
      <c r="EB117" s="2">
        <f t="shared" ref="EB117" si="2552">100*$AF117/BO117</f>
        <v>59.208333333333336</v>
      </c>
      <c r="EC117" s="2">
        <f t="shared" ref="EC117" si="2553">100*$AF117/BP117</f>
        <v>62.925925925925924</v>
      </c>
      <c r="ED117" s="2">
        <f t="shared" ref="ED117" si="2554">100*$AF117/BQ117</f>
        <v>54.347222222222221</v>
      </c>
      <c r="EE117" s="2">
        <f t="shared" ref="EE117" si="2555">100*$AF117/BR117</f>
        <v>53.560185185185183</v>
      </c>
      <c r="EF117" s="2">
        <f t="shared" ref="EF117" si="2556">100*$AF117/BS117</f>
        <v>47.88425925925926</v>
      </c>
      <c r="EG117" s="2">
        <f t="shared" ref="EG117" si="2557">100*$AF117/BT117</f>
        <v>67.592592592592609</v>
      </c>
      <c r="EH117" s="2">
        <f t="shared" ref="EH117" si="2558">100*$AF117/BU117</f>
        <v>66.179398148148167</v>
      </c>
      <c r="EI117" s="2">
        <f t="shared" ref="EI117" si="2559">100*$AF117/BV117</f>
        <v>64.359953703703724</v>
      </c>
      <c r="EJ117" s="2">
        <f t="shared" ref="EJ117" si="2560">100*$AF117/BW117</f>
        <v>55.23958333333335</v>
      </c>
      <c r="EK117" s="2">
        <f t="shared" ref="EK117" si="2561">100*$AF117/BX117</f>
        <v>59.231481481481488</v>
      </c>
      <c r="EL117" s="2">
        <f t="shared" ref="EL117" si="2562">100*$AF117/BY117</f>
        <v>51.593750000000007</v>
      </c>
      <c r="EM117" s="2">
        <f t="shared" ref="EM117" si="2563">100*$AF117/BZ117</f>
        <v>52.207175925925931</v>
      </c>
      <c r="EN117" s="2">
        <f t="shared" ref="EN117" si="2564">100*$AF117/CA117</f>
        <v>47.950231481481481</v>
      </c>
      <c r="EO117" s="2">
        <f t="shared" ref="EO117" si="2565">100*$AF117/CB117</f>
        <v>61.111111111111114</v>
      </c>
      <c r="EP117" s="2">
        <f t="shared" ref="EP117" si="2566">100*$AF117/CC117</f>
        <v>60.168981481481488</v>
      </c>
      <c r="EQ117" s="2">
        <f t="shared" ref="EQ117" si="2567">100*$AF117/CD117</f>
        <v>58.956018518518526</v>
      </c>
      <c r="ER117" s="2">
        <f t="shared" ref="ER117" si="2568">100*$AF117/CE117</f>
        <v>51.270833333333336</v>
      </c>
      <c r="ES117" s="2">
        <f t="shared" ref="ES117" si="2569">100*$AF117/CF117</f>
        <v>55.537037037037045</v>
      </c>
      <c r="ET117" s="2">
        <f t="shared" ref="ET117" si="2570">100*$AF117/CG117</f>
        <v>48.840277777777779</v>
      </c>
      <c r="EU117" s="2">
        <f t="shared" ref="EU117" si="2571">100*$AF117/CH117</f>
        <v>50.854166666666679</v>
      </c>
      <c r="EV117" s="2">
        <f t="shared" ref="EV117" si="2572">100*$AF117/CI117</f>
        <v>48.016203703703709</v>
      </c>
      <c r="EW117" s="2">
        <f t="shared" ref="EW117" si="2573">100*$AF117/CJ117</f>
        <v>54.629629629629633</v>
      </c>
      <c r="EX117" s="2">
        <f t="shared" ref="EX117" si="2574">100*$AF117/CK117</f>
        <v>54.15856481481481</v>
      </c>
      <c r="EY117" s="2">
        <f t="shared" ref="EY117" si="2575">100*$AF117/CL117</f>
        <v>53.552083333333336</v>
      </c>
      <c r="EZ117" s="2">
        <f t="shared" ref="EZ117" si="2576">100*$AF117/CM117</f>
        <v>47.302083333333336</v>
      </c>
      <c r="FA117" s="2">
        <f t="shared" ref="FA117" si="2577">100*$AF117/CN117</f>
        <v>51.842592592592588</v>
      </c>
      <c r="FB117" s="2">
        <f t="shared" ref="FB117" si="2578">100*$AF117/CO117</f>
        <v>46.086805555555557</v>
      </c>
      <c r="FC117" s="2">
        <f t="shared" ref="FC117" si="2579">100*$AF117/CP117</f>
        <v>49.501157407407405</v>
      </c>
      <c r="FD117" s="2">
        <f t="shared" ref="FD117" si="2580">100*$AF117/CQ117</f>
        <v>48.082175925925924</v>
      </c>
    </row>
    <row r="118" spans="3:160" x14ac:dyDescent="0.4">
      <c r="C118" s="1" t="s">
        <v>29</v>
      </c>
      <c r="D118" s="1" t="s">
        <v>5</v>
      </c>
      <c r="E118" s="1">
        <v>0.311</v>
      </c>
      <c r="F118" s="1">
        <v>0.20100000000000001</v>
      </c>
      <c r="G118" s="1">
        <v>0.109</v>
      </c>
      <c r="H118" s="1">
        <v>5.3999999999999999E-2</v>
      </c>
      <c r="I118" s="1">
        <v>4788</v>
      </c>
      <c r="J118" s="1">
        <v>4189</v>
      </c>
      <c r="K118" s="1">
        <v>56</v>
      </c>
      <c r="L118" s="1">
        <v>5617</v>
      </c>
      <c r="M118" s="1">
        <v>6161</v>
      </c>
      <c r="N118" s="1">
        <v>74.5</v>
      </c>
      <c r="O118" s="1">
        <v>92</v>
      </c>
      <c r="P118" s="1">
        <v>89.5</v>
      </c>
      <c r="Q118" s="1">
        <v>94</v>
      </c>
      <c r="R118" s="1">
        <v>50.5</v>
      </c>
      <c r="S118" s="1">
        <v>93.5</v>
      </c>
      <c r="T118" s="4">
        <v>0</v>
      </c>
      <c r="U118" s="1">
        <v>1.262</v>
      </c>
      <c r="V118" s="1">
        <v>6.8000000000000005E-2</v>
      </c>
      <c r="W118" s="1">
        <v>4.0199999999999996</v>
      </c>
      <c r="X118" s="1">
        <f t="shared" ref="X118" si="2581">H119</f>
        <v>0.02</v>
      </c>
      <c r="Y118" s="1">
        <f t="shared" ref="Y118" si="2582">H120</f>
        <v>5.5E-2</v>
      </c>
      <c r="Z118" s="1">
        <f t="shared" ref="Z118" si="2583">H121</f>
        <v>0.02</v>
      </c>
      <c r="AA118" s="1">
        <f t="shared" ref="AA118" si="2584">H122</f>
        <v>0.02</v>
      </c>
      <c r="AB118" s="1">
        <f t="shared" ref="AB118" si="2585">H123</f>
        <v>0.02</v>
      </c>
      <c r="AC118" s="1">
        <f t="shared" si="1193"/>
        <v>4584.2183830815466</v>
      </c>
      <c r="AE118" s="1" t="s">
        <v>96</v>
      </c>
      <c r="AF118" s="1">
        <v>1</v>
      </c>
      <c r="AG118" s="1">
        <v>0.81499999999999995</v>
      </c>
      <c r="AH118" s="1">
        <v>0.64500000000000002</v>
      </c>
      <c r="AI118" s="1">
        <v>0.39500000000000002</v>
      </c>
      <c r="AJ118" s="1">
        <v>0.36</v>
      </c>
      <c r="AK118" s="1">
        <v>0.245</v>
      </c>
      <c r="AL118" s="1">
        <v>0.14499999999999999</v>
      </c>
      <c r="AM118" s="20">
        <v>6.5000000000000002E-2</v>
      </c>
      <c r="AN118" s="1">
        <v>1</v>
      </c>
      <c r="AO118" s="1">
        <v>0.81499999999999995</v>
      </c>
      <c r="AP118" s="1">
        <v>0.64500000000000002</v>
      </c>
      <c r="AQ118" s="1">
        <v>0.39500000000000002</v>
      </c>
      <c r="AR118" s="1">
        <v>0.36</v>
      </c>
      <c r="AS118" s="1">
        <v>0.245</v>
      </c>
      <c r="AT118" s="1">
        <v>0.14499999999999999</v>
      </c>
      <c r="AU118" s="20">
        <v>6.5000000000000002E-2</v>
      </c>
      <c r="AV118" s="1">
        <v>1</v>
      </c>
      <c r="AW118" s="1">
        <v>0.81499999999999995</v>
      </c>
      <c r="AX118" s="1">
        <v>0.64500000000000002</v>
      </c>
      <c r="AY118" s="1">
        <v>0.39500000000000002</v>
      </c>
      <c r="AZ118" s="1">
        <v>0.36</v>
      </c>
      <c r="BA118" s="1">
        <v>0.245</v>
      </c>
      <c r="BB118" s="1">
        <v>0.14499999999999999</v>
      </c>
      <c r="BC118" s="20">
        <v>6.5000000000000002E-2</v>
      </c>
      <c r="BD118" s="1">
        <v>1</v>
      </c>
      <c r="BE118" s="1">
        <v>0.81499999999999995</v>
      </c>
      <c r="BF118" s="1">
        <v>0.64500000000000002</v>
      </c>
      <c r="BG118" s="1">
        <v>0.39500000000000002</v>
      </c>
      <c r="BH118" s="1">
        <v>0.36</v>
      </c>
      <c r="BI118" s="1">
        <v>0.245</v>
      </c>
      <c r="BJ118" s="1">
        <v>0.14499999999999999</v>
      </c>
      <c r="BK118" s="20">
        <v>6.5000000000000002E-2</v>
      </c>
      <c r="BL118" s="1">
        <v>1</v>
      </c>
      <c r="BM118" s="1">
        <v>0.81499999999999995</v>
      </c>
      <c r="BN118" s="1">
        <v>0.64500000000000002</v>
      </c>
      <c r="BO118" s="1">
        <v>0.39500000000000002</v>
      </c>
      <c r="BP118" s="1">
        <v>0.36</v>
      </c>
      <c r="BQ118" s="1">
        <v>0.245</v>
      </c>
      <c r="BR118" s="1">
        <v>0.14499999999999999</v>
      </c>
      <c r="BS118" s="20">
        <v>6.5000000000000002E-2</v>
      </c>
      <c r="BT118" s="1">
        <v>1</v>
      </c>
      <c r="BU118" s="1">
        <v>0.81499999999999995</v>
      </c>
      <c r="BV118" s="1">
        <v>0.64500000000000002</v>
      </c>
      <c r="BW118" s="1">
        <v>0.39500000000000002</v>
      </c>
      <c r="BX118" s="1">
        <v>0.36</v>
      </c>
      <c r="BY118" s="1">
        <v>0.245</v>
      </c>
      <c r="BZ118" s="1">
        <v>0.14499999999999999</v>
      </c>
      <c r="CA118" s="20">
        <v>6.5000000000000002E-2</v>
      </c>
      <c r="CB118" s="1">
        <v>1</v>
      </c>
      <c r="CC118" s="1">
        <v>0.81499999999999995</v>
      </c>
      <c r="CD118" s="1">
        <v>0.64500000000000002</v>
      </c>
      <c r="CE118" s="1">
        <v>0.39500000000000002</v>
      </c>
      <c r="CF118" s="1">
        <v>0.36</v>
      </c>
      <c r="CG118" s="1">
        <v>0.245</v>
      </c>
      <c r="CH118" s="1">
        <v>0.14499999999999999</v>
      </c>
      <c r="CI118" s="20">
        <v>6.5000000000000002E-2</v>
      </c>
      <c r="CJ118" s="1">
        <v>1</v>
      </c>
      <c r="CK118" s="1">
        <v>0.81499999999999995</v>
      </c>
      <c r="CL118" s="1">
        <v>0.64500000000000002</v>
      </c>
      <c r="CM118" s="1">
        <v>0.39500000000000002</v>
      </c>
      <c r="CN118" s="1">
        <v>0.36</v>
      </c>
      <c r="CO118" s="1">
        <v>0.245</v>
      </c>
      <c r="CP118" s="1">
        <v>0.14499999999999999</v>
      </c>
      <c r="CQ118" s="20">
        <v>6.5000000000000002E-2</v>
      </c>
    </row>
    <row r="119" spans="3:160" x14ac:dyDescent="0.4">
      <c r="C119" s="1" t="s">
        <v>29</v>
      </c>
      <c r="D119" s="1" t="s">
        <v>6</v>
      </c>
      <c r="E119" s="1">
        <v>0.26800000000000002</v>
      </c>
      <c r="F119" s="1">
        <v>0.159</v>
      </c>
      <c r="G119" s="1">
        <v>0.109</v>
      </c>
      <c r="H119" s="1">
        <v>0.02</v>
      </c>
      <c r="I119" s="1">
        <v>4788</v>
      </c>
      <c r="J119" s="1">
        <v>4189</v>
      </c>
      <c r="K119" s="1">
        <v>56</v>
      </c>
      <c r="L119" s="1">
        <v>5617</v>
      </c>
      <c r="M119" s="1">
        <v>6161</v>
      </c>
      <c r="N119" s="1">
        <v>74.5</v>
      </c>
      <c r="O119" s="1">
        <v>92</v>
      </c>
      <c r="P119" s="1">
        <v>89.5</v>
      </c>
      <c r="Q119" s="1">
        <v>94</v>
      </c>
      <c r="R119" s="1">
        <v>50.5</v>
      </c>
      <c r="S119" s="1">
        <v>93.5</v>
      </c>
      <c r="T119" s="4">
        <v>0</v>
      </c>
      <c r="U119" s="1">
        <v>1.262</v>
      </c>
      <c r="V119" s="1">
        <v>6.8000000000000005E-2</v>
      </c>
      <c r="W119" s="1">
        <v>4.0199999999999996</v>
      </c>
      <c r="X119" s="1">
        <f t="shared" ref="X119" si="2586">H119</f>
        <v>0.02</v>
      </c>
      <c r="Y119" s="1">
        <f t="shared" ref="Y119" si="2587">H120</f>
        <v>5.5E-2</v>
      </c>
      <c r="Z119" s="1">
        <f t="shared" ref="Z119" si="2588">H121</f>
        <v>0.02</v>
      </c>
      <c r="AA119" s="1">
        <f t="shared" ref="AA119" si="2589">H122</f>
        <v>0.02</v>
      </c>
      <c r="AB119" s="1">
        <f t="shared" ref="AB119" si="2590">H123</f>
        <v>0.02</v>
      </c>
      <c r="AC119" s="1">
        <f t="shared" si="1193"/>
        <v>4584.2183830815466</v>
      </c>
      <c r="CQ119" s="20"/>
    </row>
    <row r="120" spans="3:160" x14ac:dyDescent="0.4">
      <c r="C120" s="1" t="s">
        <v>29</v>
      </c>
      <c r="D120" s="1" t="s">
        <v>7</v>
      </c>
      <c r="E120" s="1">
        <v>0.312</v>
      </c>
      <c r="F120" s="1">
        <v>0.20300000000000001</v>
      </c>
      <c r="G120" s="1">
        <v>0.109</v>
      </c>
      <c r="H120" s="1">
        <v>5.5E-2</v>
      </c>
      <c r="I120" s="1">
        <v>4788</v>
      </c>
      <c r="J120" s="1">
        <v>4189</v>
      </c>
      <c r="K120" s="1">
        <v>56</v>
      </c>
      <c r="L120" s="1">
        <v>5617</v>
      </c>
      <c r="M120" s="1">
        <v>6161</v>
      </c>
      <c r="N120" s="1">
        <v>74.5</v>
      </c>
      <c r="O120" s="1">
        <v>92</v>
      </c>
      <c r="P120" s="1">
        <v>89.5</v>
      </c>
      <c r="Q120" s="1">
        <v>94</v>
      </c>
      <c r="R120" s="1">
        <v>50.5</v>
      </c>
      <c r="S120" s="1">
        <v>93.5</v>
      </c>
      <c r="T120" s="4">
        <v>0</v>
      </c>
      <c r="U120" s="1">
        <v>1.262</v>
      </c>
      <c r="V120" s="1">
        <v>6.8000000000000005E-2</v>
      </c>
      <c r="W120" s="1">
        <v>4.0199999999999996</v>
      </c>
      <c r="X120" s="1">
        <f t="shared" ref="X120" si="2591">H119</f>
        <v>0.02</v>
      </c>
      <c r="Y120" s="1">
        <f t="shared" ref="Y120" si="2592">H120</f>
        <v>5.5E-2</v>
      </c>
      <c r="Z120" s="1">
        <f t="shared" ref="Z120" si="2593">H121</f>
        <v>0.02</v>
      </c>
      <c r="AA120" s="1">
        <f t="shared" ref="AA120" si="2594">H122</f>
        <v>0.02</v>
      </c>
      <c r="AB120" s="1">
        <f t="shared" ref="AB120" si="2595">H123</f>
        <v>0.02</v>
      </c>
      <c r="AC120" s="1">
        <f t="shared" si="1193"/>
        <v>4584.2183830815466</v>
      </c>
      <c r="AE120" s="1" t="s">
        <v>97</v>
      </c>
      <c r="AF120" s="1">
        <v>0</v>
      </c>
      <c r="AG120" s="1">
        <v>0.12</v>
      </c>
      <c r="AH120" s="1">
        <v>0.21</v>
      </c>
      <c r="AI120" s="1">
        <v>0.26</v>
      </c>
      <c r="AJ120" s="1">
        <v>0.28000000000000003</v>
      </c>
      <c r="AK120" s="1">
        <v>0.26</v>
      </c>
      <c r="AL120" s="1">
        <v>0.21</v>
      </c>
      <c r="AM120" s="20">
        <v>0.12</v>
      </c>
      <c r="AN120" s="1">
        <v>0</v>
      </c>
      <c r="AO120" s="1">
        <v>0.12</v>
      </c>
      <c r="AP120" s="1">
        <v>0.21</v>
      </c>
      <c r="AQ120" s="1">
        <v>0.26</v>
      </c>
      <c r="AR120" s="1">
        <v>0.28000000000000003</v>
      </c>
      <c r="AS120" s="1">
        <v>0.26</v>
      </c>
      <c r="AT120" s="1">
        <v>0.21</v>
      </c>
      <c r="AU120" s="20">
        <v>0.12</v>
      </c>
      <c r="AV120" s="1">
        <v>0</v>
      </c>
      <c r="AW120" s="1">
        <v>0.12</v>
      </c>
      <c r="AX120" s="1">
        <v>0.21</v>
      </c>
      <c r="AY120" s="1">
        <v>0.26</v>
      </c>
      <c r="AZ120" s="1">
        <v>0.28000000000000003</v>
      </c>
      <c r="BA120" s="1">
        <v>0.26</v>
      </c>
      <c r="BB120" s="1">
        <v>0.21</v>
      </c>
      <c r="BC120" s="20">
        <v>0.12</v>
      </c>
      <c r="BD120" s="1">
        <v>0</v>
      </c>
      <c r="BE120" s="1">
        <v>0.12</v>
      </c>
      <c r="BF120" s="1">
        <v>0.21</v>
      </c>
      <c r="BG120" s="1">
        <v>0.26</v>
      </c>
      <c r="BH120" s="1">
        <v>0.28000000000000003</v>
      </c>
      <c r="BI120" s="1">
        <v>0.26</v>
      </c>
      <c r="BJ120" s="1">
        <v>0.21</v>
      </c>
      <c r="BK120" s="20">
        <v>0.12</v>
      </c>
      <c r="BL120" s="1">
        <v>0</v>
      </c>
      <c r="BM120" s="1">
        <v>0.12</v>
      </c>
      <c r="BN120" s="1">
        <v>0.21</v>
      </c>
      <c r="BO120" s="1">
        <v>0.26</v>
      </c>
      <c r="BP120" s="1">
        <v>0.28000000000000003</v>
      </c>
      <c r="BQ120" s="1">
        <v>0.26</v>
      </c>
      <c r="BR120" s="1">
        <v>0.21</v>
      </c>
      <c r="BS120" s="20">
        <v>0.12</v>
      </c>
      <c r="BT120" s="1">
        <v>0</v>
      </c>
      <c r="BU120" s="1">
        <v>0.12</v>
      </c>
      <c r="BV120" s="1">
        <v>0.21</v>
      </c>
      <c r="BW120" s="1">
        <v>0.26</v>
      </c>
      <c r="BX120" s="1">
        <v>0.28000000000000003</v>
      </c>
      <c r="BY120" s="1">
        <v>0.26</v>
      </c>
      <c r="BZ120" s="1">
        <v>0.21</v>
      </c>
      <c r="CA120" s="20">
        <v>0.12</v>
      </c>
      <c r="CB120" s="1">
        <v>0</v>
      </c>
      <c r="CC120" s="1">
        <v>0.12</v>
      </c>
      <c r="CD120" s="1">
        <v>0.21</v>
      </c>
      <c r="CE120" s="1">
        <v>0.26</v>
      </c>
      <c r="CF120" s="1">
        <v>0.28000000000000003</v>
      </c>
      <c r="CG120" s="1">
        <v>0.26</v>
      </c>
      <c r="CH120" s="1">
        <v>0.21</v>
      </c>
      <c r="CI120" s="20">
        <v>0.12</v>
      </c>
      <c r="CJ120" s="1">
        <v>0</v>
      </c>
      <c r="CK120" s="1">
        <v>0.12</v>
      </c>
      <c r="CL120" s="1">
        <v>0.21</v>
      </c>
      <c r="CM120" s="1">
        <v>0.26</v>
      </c>
      <c r="CN120" s="1">
        <v>0.28000000000000003</v>
      </c>
      <c r="CO120" s="1">
        <v>0.26</v>
      </c>
      <c r="CP120" s="1">
        <v>0.21</v>
      </c>
      <c r="CQ120" s="20">
        <v>0.12</v>
      </c>
    </row>
    <row r="121" spans="3:160" x14ac:dyDescent="0.4">
      <c r="C121" s="1" t="s">
        <v>29</v>
      </c>
      <c r="D121" s="1" t="s">
        <v>8</v>
      </c>
      <c r="E121" s="1">
        <v>0.26800000000000002</v>
      </c>
      <c r="F121" s="1">
        <v>0.159</v>
      </c>
      <c r="G121" s="1">
        <v>0.109</v>
      </c>
      <c r="H121" s="1">
        <v>0.02</v>
      </c>
      <c r="I121" s="1">
        <v>4788</v>
      </c>
      <c r="J121" s="1">
        <v>4189</v>
      </c>
      <c r="K121" s="1">
        <v>56</v>
      </c>
      <c r="L121" s="1">
        <v>5617</v>
      </c>
      <c r="M121" s="1">
        <v>6161</v>
      </c>
      <c r="N121" s="1">
        <v>74.5</v>
      </c>
      <c r="O121" s="1">
        <v>92</v>
      </c>
      <c r="P121" s="1">
        <v>89.5</v>
      </c>
      <c r="Q121" s="1">
        <v>94</v>
      </c>
      <c r="R121" s="1">
        <v>50.5</v>
      </c>
      <c r="S121" s="1">
        <v>93.5</v>
      </c>
      <c r="T121" s="4">
        <v>0</v>
      </c>
      <c r="U121" s="1">
        <v>1.262</v>
      </c>
      <c r="V121" s="1">
        <v>6.8000000000000005E-2</v>
      </c>
      <c r="W121" s="1">
        <v>4.0199999999999996</v>
      </c>
      <c r="X121" s="1">
        <f t="shared" ref="X121" si="2596">H119</f>
        <v>0.02</v>
      </c>
      <c r="Y121" s="1">
        <f t="shared" ref="Y121" si="2597">H120</f>
        <v>5.5E-2</v>
      </c>
      <c r="Z121" s="1">
        <f t="shared" ref="Z121" si="2598">H121</f>
        <v>0.02</v>
      </c>
      <c r="AA121" s="1">
        <f t="shared" ref="AA121" si="2599">H122</f>
        <v>0.02</v>
      </c>
      <c r="AB121" s="1">
        <f t="shared" ref="AB121" si="2600">H123</f>
        <v>0.02</v>
      </c>
      <c r="AC121" s="1">
        <f t="shared" si="1193"/>
        <v>4584.2183830815466</v>
      </c>
      <c r="CQ121" s="20"/>
    </row>
    <row r="122" spans="3:160" x14ac:dyDescent="0.4">
      <c r="C122" s="1" t="s">
        <v>29</v>
      </c>
      <c r="D122" s="1" t="s">
        <v>9</v>
      </c>
      <c r="E122" s="1">
        <v>0.26800000000000002</v>
      </c>
      <c r="F122" s="1">
        <v>0.159</v>
      </c>
      <c r="G122" s="1">
        <v>0.109</v>
      </c>
      <c r="H122" s="1">
        <v>0.02</v>
      </c>
      <c r="I122" s="1">
        <v>4788</v>
      </c>
      <c r="J122" s="1">
        <v>4189</v>
      </c>
      <c r="K122" s="1">
        <v>56</v>
      </c>
      <c r="L122" s="1">
        <v>5617</v>
      </c>
      <c r="M122" s="1">
        <v>6161</v>
      </c>
      <c r="N122" s="1">
        <v>74.5</v>
      </c>
      <c r="O122" s="1">
        <v>92</v>
      </c>
      <c r="P122" s="1">
        <v>89.5</v>
      </c>
      <c r="Q122" s="1">
        <v>94</v>
      </c>
      <c r="R122" s="1">
        <v>50.5</v>
      </c>
      <c r="S122" s="1">
        <v>93.5</v>
      </c>
      <c r="T122" s="4">
        <v>0</v>
      </c>
      <c r="U122" s="1">
        <v>1.262</v>
      </c>
      <c r="V122" s="1">
        <v>6.8000000000000005E-2</v>
      </c>
      <c r="W122" s="1">
        <v>4.0199999999999996</v>
      </c>
      <c r="X122" s="1">
        <f t="shared" ref="X122" si="2601">H119</f>
        <v>0.02</v>
      </c>
      <c r="Y122" s="1">
        <f t="shared" ref="Y122" si="2602">H120</f>
        <v>5.5E-2</v>
      </c>
      <c r="Z122" s="1">
        <f t="shared" ref="Z122" si="2603">H121</f>
        <v>0.02</v>
      </c>
      <c r="AA122" s="1">
        <f t="shared" ref="AA122" si="2604">H122</f>
        <v>0.02</v>
      </c>
      <c r="AB122" s="1">
        <f t="shared" ref="AB122" si="2605">H123</f>
        <v>0.02</v>
      </c>
      <c r="AC122" s="1">
        <f t="shared" si="1193"/>
        <v>4584.2183830815466</v>
      </c>
      <c r="AE122" s="1" t="s">
        <v>98</v>
      </c>
      <c r="AF122" s="1">
        <v>0</v>
      </c>
      <c r="AG122" s="1">
        <v>6.5000000000000002E-2</v>
      </c>
      <c r="AH122" s="1">
        <v>0.14499999999999999</v>
      </c>
      <c r="AI122" s="1">
        <v>0.245</v>
      </c>
      <c r="AJ122" s="1">
        <v>0.36</v>
      </c>
      <c r="AK122" s="1">
        <v>0.39500000000000002</v>
      </c>
      <c r="AL122" s="1">
        <v>0.64500000000000002</v>
      </c>
      <c r="AM122" s="20">
        <v>0.81499999999999995</v>
      </c>
      <c r="AN122" s="1">
        <v>0</v>
      </c>
      <c r="AO122" s="1">
        <v>6.5000000000000002E-2</v>
      </c>
      <c r="AP122" s="1">
        <v>0.14499999999999999</v>
      </c>
      <c r="AQ122" s="1">
        <v>0.245</v>
      </c>
      <c r="AR122" s="1">
        <v>0.36</v>
      </c>
      <c r="AS122" s="1">
        <v>0.39500000000000002</v>
      </c>
      <c r="AT122" s="1">
        <v>0.64500000000000002</v>
      </c>
      <c r="AU122" s="20">
        <v>0.81499999999999995</v>
      </c>
      <c r="AV122" s="1">
        <v>0</v>
      </c>
      <c r="AW122" s="1">
        <v>6.5000000000000002E-2</v>
      </c>
      <c r="AX122" s="1">
        <v>0.14499999999999999</v>
      </c>
      <c r="AY122" s="1">
        <v>0.245</v>
      </c>
      <c r="AZ122" s="1">
        <v>0.36</v>
      </c>
      <c r="BA122" s="1">
        <v>0.39500000000000002</v>
      </c>
      <c r="BB122" s="1">
        <v>0.64500000000000002</v>
      </c>
      <c r="BC122" s="20">
        <v>0.81499999999999995</v>
      </c>
      <c r="BD122" s="1">
        <v>0</v>
      </c>
      <c r="BE122" s="1">
        <v>6.5000000000000002E-2</v>
      </c>
      <c r="BF122" s="1">
        <v>0.14499999999999999</v>
      </c>
      <c r="BG122" s="1">
        <v>0.245</v>
      </c>
      <c r="BH122" s="1">
        <v>0.36</v>
      </c>
      <c r="BI122" s="1">
        <v>0.39500000000000002</v>
      </c>
      <c r="BJ122" s="1">
        <v>0.64500000000000002</v>
      </c>
      <c r="BK122" s="20">
        <v>0.81499999999999995</v>
      </c>
      <c r="BL122" s="1">
        <v>0</v>
      </c>
      <c r="BM122" s="1">
        <v>6.5000000000000002E-2</v>
      </c>
      <c r="BN122" s="1">
        <v>0.14499999999999999</v>
      </c>
      <c r="BO122" s="1">
        <v>0.245</v>
      </c>
      <c r="BP122" s="1">
        <v>0.36</v>
      </c>
      <c r="BQ122" s="1">
        <v>0.39500000000000002</v>
      </c>
      <c r="BR122" s="1">
        <v>0.64500000000000002</v>
      </c>
      <c r="BS122" s="20">
        <v>0.81499999999999995</v>
      </c>
      <c r="BT122" s="1">
        <v>0</v>
      </c>
      <c r="BU122" s="1">
        <v>6.5000000000000002E-2</v>
      </c>
      <c r="BV122" s="1">
        <v>0.14499999999999999</v>
      </c>
      <c r="BW122" s="1">
        <v>0.245</v>
      </c>
      <c r="BX122" s="1">
        <v>0.36</v>
      </c>
      <c r="BY122" s="1">
        <v>0.39500000000000002</v>
      </c>
      <c r="BZ122" s="1">
        <v>0.64500000000000002</v>
      </c>
      <c r="CA122" s="20">
        <v>0.81499999999999995</v>
      </c>
      <c r="CB122" s="1">
        <v>0</v>
      </c>
      <c r="CC122" s="1">
        <v>6.5000000000000002E-2</v>
      </c>
      <c r="CD122" s="1">
        <v>0.14499999999999999</v>
      </c>
      <c r="CE122" s="1">
        <v>0.245</v>
      </c>
      <c r="CF122" s="1">
        <v>0.36</v>
      </c>
      <c r="CG122" s="1">
        <v>0.39500000000000002</v>
      </c>
      <c r="CH122" s="1">
        <v>0.64500000000000002</v>
      </c>
      <c r="CI122" s="20">
        <v>0.81499999999999995</v>
      </c>
      <c r="CJ122" s="1">
        <v>0</v>
      </c>
      <c r="CK122" s="1">
        <v>6.5000000000000002E-2</v>
      </c>
      <c r="CL122" s="1">
        <v>0.14499999999999999</v>
      </c>
      <c r="CM122" s="1">
        <v>0.245</v>
      </c>
      <c r="CN122" s="1">
        <v>0.36</v>
      </c>
      <c r="CO122" s="1">
        <v>0.39500000000000002</v>
      </c>
      <c r="CP122" s="1">
        <v>0.64500000000000002</v>
      </c>
      <c r="CQ122" s="20">
        <v>0.81499999999999995</v>
      </c>
    </row>
    <row r="123" spans="3:160" s="2" customFormat="1" x14ac:dyDescent="0.4">
      <c r="C123" s="2" t="s">
        <v>29</v>
      </c>
      <c r="D123" s="2" t="s">
        <v>10</v>
      </c>
      <c r="E123" s="2">
        <v>0.26800000000000002</v>
      </c>
      <c r="F123" s="2">
        <v>0.159</v>
      </c>
      <c r="G123" s="2">
        <v>0.109</v>
      </c>
      <c r="H123" s="2">
        <v>0.02</v>
      </c>
      <c r="I123" s="2">
        <v>4788</v>
      </c>
      <c r="J123" s="2">
        <v>4189</v>
      </c>
      <c r="K123" s="2">
        <v>56</v>
      </c>
      <c r="L123" s="2">
        <v>5617</v>
      </c>
      <c r="M123" s="2">
        <v>6161</v>
      </c>
      <c r="N123" s="2">
        <v>74.5</v>
      </c>
      <c r="O123" s="2">
        <v>92</v>
      </c>
      <c r="P123" s="2">
        <v>89.5</v>
      </c>
      <c r="Q123" s="2">
        <v>94</v>
      </c>
      <c r="R123" s="2">
        <v>50.5</v>
      </c>
      <c r="S123" s="2">
        <v>93.5</v>
      </c>
      <c r="T123" s="6">
        <f t="shared" ref="T123:T171" si="2606">(N118*O118*P118*Q118*R118*S118)/(I118*J118*K118*(F118*H118 + F119*H119 + F120*H120 + F121*H121 + F122*H122 + F123*H123))</f>
        <v>6977.954547549316</v>
      </c>
      <c r="U123" s="2">
        <v>1.262</v>
      </c>
      <c r="V123" s="2">
        <v>6.8000000000000005E-2</v>
      </c>
      <c r="W123" s="2">
        <v>4.0199999999999996</v>
      </c>
      <c r="X123" s="2">
        <f t="shared" ref="X123" si="2607">H119</f>
        <v>0.02</v>
      </c>
      <c r="Y123" s="2">
        <f t="shared" ref="Y123" si="2608">H120</f>
        <v>5.5E-2</v>
      </c>
      <c r="Z123" s="2">
        <f t="shared" ref="Z123" si="2609">H121</f>
        <v>0.02</v>
      </c>
      <c r="AA123" s="2">
        <f t="shared" ref="AA123" si="2610">H122</f>
        <v>0.02</v>
      </c>
      <c r="AB123" s="2">
        <f t="shared" ref="AB123" si="2611">H123</f>
        <v>0.02</v>
      </c>
      <c r="AC123" s="1">
        <f t="shared" si="1193"/>
        <v>4584.2183830815466</v>
      </c>
      <c r="AE123" s="2" t="s">
        <v>99</v>
      </c>
      <c r="AF123" s="23">
        <f>($O123*$Q123*$S123)^(1/3)/(AF118*((1-AF$2)*$H118+AF$2*$H119) + AF120*((1-AF$2)*$H120+AF$2*$H121) + AF122*((1-AF$2)*$H122+AF$2*$H123))</f>
        <v>1725.2366312995323</v>
      </c>
      <c r="AG123" s="23">
        <f t="shared" ref="AG123" si="2612">($O123*$Q123*$S123)^(1/3)/(AG118*((1-AG$2)*$H118+AG$2*$H119) + AG120*((1-AG$2)*$H120+AG$2*$H121) + AG122*((1-AG$2)*$H122+AG$2*$H123))</f>
        <v>1794.6980945901512</v>
      </c>
      <c r="AH123" s="23">
        <f t="shared" ref="AH123" si="2613">($O123*$Q123*$S123)^(1/3)/(AH118*((1-AH$2)*$H118+AH$2*$H119) + AH120*((1-AH$2)*$H120+AH$2*$H121) + AH122*((1-AH$2)*$H122+AH$2*$H123))</f>
        <v>1890.4784515051692</v>
      </c>
      <c r="AI123" s="23">
        <f t="shared" ref="AI123" si="2614">($O123*$Q123*$S123)^(1/3)/(AI118*((1-AI$2)*$H118+AI$2*$H119) + AI120*((1-AI$2)*$H120+AI$2*$H121) + AI122*((1-AI$2)*$H122+AI$2*$H123))</f>
        <v>2298.6128322273557</v>
      </c>
      <c r="AJ123" s="23">
        <f t="shared" ref="AJ123" si="2615">($O123*$Q123*$S123)^(1/3)/(AJ118*((1-AJ$2)*$H118+AJ$2*$H119) + AJ120*((1-AJ$2)*$H120+AJ$2*$H121) + AJ122*((1-AJ$2)*$H122+AJ$2*$H123))</f>
        <v>2216.050858472282</v>
      </c>
      <c r="AK123" s="23">
        <f t="shared" ref="AK123" si="2616">($O123*$Q123*$S123)^(1/3)/(AK118*((1-AK$2)*$H118+AK$2*$H119) + AK120*((1-AK$2)*$H120+AK$2*$H121) + AK122*((1-AK$2)*$H122+AK$2*$H123))</f>
        <v>2629.4885151051294</v>
      </c>
      <c r="AL123" s="23">
        <f t="shared" ref="AL123" si="2617">($O123*$Q123*$S123)^(1/3)/(AL118*((1-AL$2)*$H118+AL$2*$H119) + AL120*((1-AL$2)*$H120+AL$2*$H121) + AL122*((1-AL$2)*$H122+AL$2*$H123))</f>
        <v>2886.0835839583251</v>
      </c>
      <c r="AM123" s="23">
        <f t="shared" ref="AM123" si="2618">($O123*$Q123*$S123)^(1/3)/(AM118*((1-AM$2)*$H118+AM$2*$H119) + AM120*((1-AM$2)*$H120+AM$2*$H121) + AM122*((1-AM$2)*$H122+AM$2*$H123))</f>
        <v>3527.5569136756812</v>
      </c>
      <c r="AN123" s="23">
        <f t="shared" ref="AN123" si="2619">($O123*$Q123*$S123)^(1/3)/(AN118*((1-AN$2)*$H118+AN$2*$H119) + AN120*((1-AN$2)*$H120+AN$2*$H121) + AN122*((1-AN$2)*$H122+AN$2*$H123))</f>
        <v>1872.6186550788891</v>
      </c>
      <c r="AO123" s="23">
        <f t="shared" ref="AO123" si="2620">($O123*$Q123*$S123)^(1/3)/(AO118*((1-AO$2)*$H118+AO$2*$H119) + AO120*((1-AO$2)*$H120+AO$2*$H121) + AO122*((1-AO$2)*$H122+AO$2*$H123))</f>
        <v>1944.0807176393505</v>
      </c>
      <c r="AP123" s="23">
        <f t="shared" ref="AP123" si="2621">($O123*$Q123*$S123)^(1/3)/(AP118*((1-AP$2)*$H118+AP$2*$H119) + AP120*((1-AP$2)*$H120+AP$2*$H121) + AP122*((1-AP$2)*$H122+AP$2*$H123))</f>
        <v>2042.1477003545538</v>
      </c>
      <c r="AQ123" s="23">
        <f t="shared" ref="AQ123" si="2622">($O123*$Q123*$S123)^(1/3)/(AQ118*((1-AQ$2)*$H118+AQ$2*$H119) + AQ120*((1-AQ$2)*$H120+AQ$2*$H121) + AQ122*((1-AQ$2)*$H122+AQ$2*$H123))</f>
        <v>2470.2602655576475</v>
      </c>
      <c r="AR123" s="23">
        <f t="shared" ref="AR123" si="2623">($O123*$Q123*$S123)^(1/3)/(AR118*((1-AR$2)*$H118+AR$2*$H119) + AR120*((1-AR$2)*$H120+AR$2*$H121) + AR122*((1-AR$2)*$H122+AR$2*$H123))</f>
        <v>2371.4592870096662</v>
      </c>
      <c r="AS123" s="23">
        <f t="shared" ref="AS123" si="2624">($O123*$Q123*$S123)^(1/3)/(AS118*((1-AS$2)*$H118+AS$2*$H119) + AS120*((1-AS$2)*$H120+AS$2*$H121) + AS122*((1-AS$2)*$H122+AS$2*$H123))</f>
        <v>2801.7827326844781</v>
      </c>
      <c r="AT123" s="23">
        <f t="shared" ref="AT123" si="2625">($O123*$Q123*$S123)^(1/3)/(AT118*((1-AT$2)*$H118+AT$2*$H119) + AT120*((1-AT$2)*$H120+AT$2*$H121) + AT122*((1-AT$2)*$H122+AT$2*$H123))</f>
        <v>3030.1765519653518</v>
      </c>
      <c r="AU123" s="23">
        <f t="shared" ref="AU123" si="2626">($O123*$Q123*$S123)^(1/3)/(AU118*((1-AU$2)*$H118+AU$2*$H119) + AU120*((1-AU$2)*$H120+AU$2*$H121) + AU122*((1-AU$2)*$H122+AU$2*$H123))</f>
        <v>3637.9275868667833</v>
      </c>
      <c r="AV123" s="23">
        <f t="shared" ref="AV123" si="2627">($O123*$Q123*$S123)^(1/3)/(AV118*((1-AV$2)*$H118+AV$2*$H119) + AV120*((1-AV$2)*$H120+AV$2*$H121) + AV122*((1-AV$2)*$H122+AV$2*$H123))</f>
        <v>2047.5335843994449</v>
      </c>
      <c r="AW123" s="23">
        <f t="shared" ref="AW123" si="2628">($O123*$Q123*$S123)^(1/3)/(AW118*((1-AW$2)*$H118+AW$2*$H119) + AW120*((1-AW$2)*$H120+AW$2*$H121) + AW122*((1-AW$2)*$H122+AW$2*$H123))</f>
        <v>2120.5890420571272</v>
      </c>
      <c r="AX123" s="23">
        <f t="shared" ref="AX123" si="2629">($O123*$Q123*$S123)^(1/3)/(AX118*((1-AX$2)*$H118+AX$2*$H119) + AX120*((1-AX$2)*$H120+AX$2*$H121) + AX122*((1-AX$2)*$H122+AX$2*$H123))</f>
        <v>2220.2759316056899</v>
      </c>
      <c r="AY123" s="23">
        <f t="shared" ref="AY123" si="2630">($O123*$Q123*$S123)^(1/3)/(AY118*((1-AY$2)*$H118+AY$2*$H119) + AY120*((1-AY$2)*$H120+AY$2*$H121) + AY122*((1-AY$2)*$H122+AY$2*$H123))</f>
        <v>2669.611808587284</v>
      </c>
      <c r="AZ123" s="23">
        <f t="shared" ref="AZ123" si="2631">($O123*$Q123*$S123)^(1/3)/(AZ118*((1-AZ$2)*$H118+AZ$2*$H119) + AZ120*((1-AZ$2)*$H120+AZ$2*$H121) + AZ122*((1-AZ$2)*$H122+AZ$2*$H123))</f>
        <v>2550.3087350171022</v>
      </c>
      <c r="BA123" s="23">
        <f t="shared" ref="BA123" si="2632">($O123*$Q123*$S123)^(1/3)/(BA118*((1-BA$2)*$H118+BA$2*$H119) + BA120*((1-BA$2)*$H120+BA$2*$H121) + BA122*((1-BA$2)*$H122+BA$2*$H123))</f>
        <v>2998.238895813814</v>
      </c>
      <c r="BB123" s="23">
        <f t="shared" ref="BB123" si="2633">($O123*$Q123*$S123)^(1/3)/(BB118*((1-BB$2)*$H118+BB$2*$H119) + BB120*((1-BB$2)*$H120+BB$2*$H121) + BB122*((1-BB$2)*$H122+BB$2*$H123))</f>
        <v>3189.4138339669544</v>
      </c>
      <c r="BC123" s="23">
        <f t="shared" ref="BC123" si="2634">($O123*$Q123*$S123)^(1/3)/(BC118*((1-BC$2)*$H118+BC$2*$H119) + BC120*((1-BC$2)*$H120+BC$2*$H121) + BC122*((1-BC$2)*$H122+BC$2*$H123))</f>
        <v>3755.4279185800565</v>
      </c>
      <c r="BD123" s="23">
        <f t="shared" ref="BD123" si="2635">($O123*$Q123*$S123)^(1/3)/(BD118*((1-BD$2)*$H118+BD$2*$H119) + BD120*((1-BD$2)*$H120+BD$2*$H121) + BD122*((1-BD$2)*$H122+BD$2*$H123))</f>
        <v>2258.4915900648421</v>
      </c>
      <c r="BE123" s="23">
        <f t="shared" ref="BE123" si="2636">($O123*$Q123*$S123)^(1/3)/(BE118*((1-BE$2)*$H118+BE$2*$H119) + BE120*((1-BE$2)*$H120+BE$2*$H121) + BE122*((1-BE$2)*$H122+BE$2*$H123))</f>
        <v>2332.3493184834856</v>
      </c>
      <c r="BF123" s="23">
        <f t="shared" ref="BF123" si="2637">($O123*$Q123*$S123)^(1/3)/(BF118*((1-BF$2)*$H118+BF$2*$H119) + BF120*((1-BF$2)*$H120+BF$2*$H121) + BF122*((1-BF$2)*$H122+BF$2*$H123))</f>
        <v>2432.448514103779</v>
      </c>
      <c r="BG123" s="23">
        <f t="shared" ref="BG123" si="2638">($O123*$Q123*$S123)^(1/3)/(BG118*((1-BG$2)*$H118+BG$2*$H119) + BG120*((1-BG$2)*$H120+BG$2*$H121) + BG122*((1-BG$2)*$H122+BG$2*$H123))</f>
        <v>2903.9634705684698</v>
      </c>
      <c r="BH123" s="23">
        <f t="shared" ref="BH123" si="2639">($O123*$Q123*$S123)^(1/3)/(BH118*((1-BH$2)*$H118+BH$2*$H119) + BH120*((1-BH$2)*$H120+BH$2*$H121) + BH122*((1-BH$2)*$H122+BH$2*$H123))</f>
        <v>2758.3353986728271</v>
      </c>
      <c r="BI123" s="23">
        <f t="shared" ref="BI123" si="2640">($O123*$Q123*$S123)^(1/3)/(BI118*((1-BI$2)*$H118+BI$2*$H119) + BI120*((1-BI$2)*$H120+BI$2*$H121) + BI122*((1-BI$2)*$H122+BI$2*$H123))</f>
        <v>3224.3228411049008</v>
      </c>
      <c r="BJ123" s="23">
        <f t="shared" ref="BJ123" si="2641">($O123*$Q123*$S123)^(1/3)/(BJ118*((1-BJ$2)*$H118+BJ$2*$H119) + BJ120*((1-BJ$2)*$H120+BJ$2*$H121) + BJ122*((1-BJ$2)*$H122+BJ$2*$H123))</f>
        <v>3366.3153781454289</v>
      </c>
      <c r="BK123" s="23">
        <f t="shared" ref="BK123" si="2642">($O123*$Q123*$S123)^(1/3)/(BK118*((1-BK$2)*$H118+BK$2*$H119) + BK120*((1-BK$2)*$H120+BK$2*$H121) + BK122*((1-BK$2)*$H122+BK$2*$H123))</f>
        <v>3880.7718027669771</v>
      </c>
      <c r="BL123" s="23">
        <f t="shared" ref="BL123" si="2643">($O123*$Q123*$S123)^(1/3)/(BL118*((1-BL$2)*$H118+BL$2*$H119) + BL120*((1-BL$2)*$H120+BL$2*$H121) + BL122*((1-BL$2)*$H122+BL$2*$H123))</f>
        <v>2517.9129213560741</v>
      </c>
      <c r="BM123" s="23">
        <f t="shared" ref="BM123" si="2644">($O123*$Q123*$S123)^(1/3)/(BM118*((1-BM$2)*$H118+BM$2*$H119) + BM120*((1-BM$2)*$H120+BM$2*$H121) + BM122*((1-BM$2)*$H122+BM$2*$H123))</f>
        <v>2591.0938142170694</v>
      </c>
      <c r="BN123" s="23">
        <f t="shared" ref="BN123" si="2645">($O123*$Q123*$S123)^(1/3)/(BN118*((1-BN$2)*$H118+BN$2*$H119) + BN120*((1-BN$2)*$H120+BN$2*$H121) + BN122*((1-BN$2)*$H122+BN$2*$H123))</f>
        <v>2689.4566423260603</v>
      </c>
      <c r="BO123" s="23">
        <f t="shared" ref="BO123" si="2646">($O123*$Q123*$S123)^(1/3)/(BO118*((1-BO$2)*$H118+BO$2*$H119) + BO120*((1-BO$2)*$H120+BO$2*$H121) + BO122*((1-BO$2)*$H122+BO$2*$H123))</f>
        <v>3183.4197194660769</v>
      </c>
      <c r="BP123" s="23">
        <f t="shared" ref="BP123" si="2647">($O123*$Q123*$S123)^(1/3)/(BP118*((1-BP$2)*$H118+BP$2*$H119) + BP120*((1-BP$2)*$H120+BP$2*$H121) + BP122*((1-BP$2)*$H122+BP$2*$H123))</f>
        <v>3003.3132846606945</v>
      </c>
      <c r="BQ123" s="23">
        <f t="shared" ref="BQ123" si="2648">($O123*$Q123*$S123)^(1/3)/(BQ118*((1-BQ$2)*$H118+BQ$2*$H119) + BQ120*((1-BQ$2)*$H120+BQ$2*$H121) + BQ122*((1-BQ$2)*$H122+BQ$2*$H123))</f>
        <v>3487.2834770793465</v>
      </c>
      <c r="BR123" s="23">
        <f t="shared" ref="BR123" si="2649">($O123*$Q123*$S123)^(1/3)/(BR118*((1-BR$2)*$H118+BR$2*$H119) + BR120*((1-BR$2)*$H120+BR$2*$H121) + BR122*((1-BR$2)*$H122+BR$2*$H123))</f>
        <v>3563.9930409401204</v>
      </c>
      <c r="BS123" s="23">
        <f t="shared" ref="BS123" si="2650">($O123*$Q123*$S123)^(1/3)/(BS118*((1-BS$2)*$H118+BS$2*$H119) + BS120*((1-BS$2)*$H120+BS$2*$H121) + BS122*((1-BS$2)*$H122+BS$2*$H123))</f>
        <v>4014.7717341165589</v>
      </c>
      <c r="BT123" s="23">
        <f t="shared" ref="BT123" si="2651">($O123*$Q123*$S123)^(1/3)/(BT118*((1-BT$2)*$H118+BT$2*$H119) + BT120*((1-BT$2)*$H120+BT$2*$H121) + BT122*((1-BT$2)*$H122+BT$2*$H123))</f>
        <v>2844.6649798526637</v>
      </c>
      <c r="BU123" s="23">
        <f t="shared" ref="BU123" si="2652">($O123*$Q123*$S123)^(1/3)/(BU118*((1-BU$2)*$H118+BU$2*$H119) + BU120*((1-BU$2)*$H120+BU$2*$H121) + BU122*((1-BU$2)*$H122+BU$2*$H123))</f>
        <v>2914.4106077558281</v>
      </c>
      <c r="BV123" s="23">
        <f t="shared" ref="BV123" si="2653">($O123*$Q123*$S123)^(1/3)/(BV118*((1-BV$2)*$H118+BV$2*$H119) + BV120*((1-BV$2)*$H120+BV$2*$H121) + BV122*((1-BV$2)*$H122+BV$2*$H123))</f>
        <v>3007.1910293794299</v>
      </c>
      <c r="BW123" s="23">
        <f t="shared" ref="BW123" si="2654">($O123*$Q123*$S123)^(1/3)/(BW118*((1-BW$2)*$H118+BW$2*$H119) + BW120*((1-BW$2)*$H120+BW$2*$H121) + BW122*((1-BW$2)*$H122+BW$2*$H123))</f>
        <v>3522.3886985273307</v>
      </c>
      <c r="BX123" s="23">
        <f t="shared" ref="BX123" si="2655">($O123*$Q123*$S123)^(1/3)/(BX118*((1-BX$2)*$H118+BX$2*$H119) + BX120*((1-BX$2)*$H120+BX$2*$H121) + BX122*((1-BX$2)*$H122+BX$2*$H123))</f>
        <v>3296.0473408871308</v>
      </c>
      <c r="BY123" s="23">
        <f t="shared" ref="BY123" si="2656">($O123*$Q123*$S123)^(1/3)/(BY118*((1-BY$2)*$H118+BY$2*$H119) + BY120*((1-BY$2)*$H120+BY$2*$H121) + BY122*((1-BY$2)*$H122+BY$2*$H123))</f>
        <v>3796.9444430251056</v>
      </c>
      <c r="BZ123" s="23">
        <f t="shared" ref="BZ123" si="2657">($O123*$Q123*$S123)^(1/3)/(BZ118*((1-BZ$2)*$H118+BZ$2*$H119) + BZ120*((1-BZ$2)*$H120+BZ$2*$H121) + BZ122*((1-BZ$2)*$H122+BZ$2*$H123))</f>
        <v>3786.3352200843215</v>
      </c>
      <c r="CA123" s="23">
        <f t="shared" ref="CA123" si="2658">($O123*$Q123*$S123)^(1/3)/(CA118*((1-CA$2)*$H118+CA$2*$H119) + CA120*((1-CA$2)*$H120+CA$2*$H121) + CA122*((1-CA$2)*$H122+CA$2*$H123))</f>
        <v>4158.356439889516</v>
      </c>
      <c r="CB123" s="23">
        <f t="shared" ref="CB123" si="2659">($O123*$Q123*$S123)^(1/3)/(CB118*((1-CB$2)*$H118+CB$2*$H119) + CB120*((1-CB$2)*$H120+CB$2*$H121) + CB122*((1-CB$2)*$H122+CB$2*$H123))</f>
        <v>3268.869406672798</v>
      </c>
      <c r="CC123" s="23">
        <f t="shared" ref="CC123" si="2660">($O123*$Q123*$S123)^(1/3)/(CC118*((1-CC$2)*$H118+CC$2*$H119) + CC120*((1-CC$2)*$H120+CC$2*$H121) + CC122*((1-CC$2)*$H122+CC$2*$H123))</f>
        <v>3329.9179015342597</v>
      </c>
      <c r="CD123" s="23">
        <f t="shared" ref="CD123" si="2661">($O123*$Q123*$S123)^(1/3)/(CD118*((1-CD$2)*$H118+CD$2*$H119) + CD120*((1-CD$2)*$H120+CD$2*$H121) + CD122*((1-CD$2)*$H122+CD$2*$H123))</f>
        <v>3410.0577631835558</v>
      </c>
      <c r="CE123" s="23">
        <f t="shared" ref="CE123" si="2662">($O123*$Q123*$S123)^(1/3)/(CE118*((1-CE$2)*$H118+CE$2*$H119) + CE120*((1-CE$2)*$H120+CE$2*$H121) + CE122*((1-CE$2)*$H122+CE$2*$H123))</f>
        <v>3942.1465393070871</v>
      </c>
      <c r="CF123" s="23">
        <f t="shared" ref="CF123" si="2663">($O123*$Q123*$S123)^(1/3)/(CF118*((1-CF$2)*$H118+CF$2*$H119) + CF120*((1-CF$2)*$H120+CF$2*$H121) + CF122*((1-CF$2)*$H122+CF$2*$H123))</f>
        <v>3652.0101172157879</v>
      </c>
      <c r="CG123" s="23">
        <f t="shared" ref="CG123" si="2664">($O123*$Q123*$S123)^(1/3)/(CG118*((1-CG$2)*$H118+CG$2*$H119) + CG120*((1-CG$2)*$H120+CG$2*$H121) + CG122*((1-CG$2)*$H122+CG$2*$H123))</f>
        <v>4166.9586532561661</v>
      </c>
      <c r="CH123" s="23">
        <f t="shared" ref="CH123" si="2665">($O123*$Q123*$S123)^(1/3)/(CH118*((1-CH$2)*$H118+CH$2*$H119) + CH120*((1-CH$2)*$H120+CH$2*$H121) + CH122*((1-CH$2)*$H122+CH$2*$H123))</f>
        <v>4038.2651967999454</v>
      </c>
      <c r="CI123" s="23">
        <f t="shared" ref="CI123" si="2666">($O123*$Q123*$S123)^(1/3)/(CI118*((1-CI$2)*$H118+CI$2*$H119) + CI120*((1-CI$2)*$H120+CI$2*$H121) + CI122*((1-CI$2)*$H122+CI$2*$H123))</f>
        <v>4312.5924356058213</v>
      </c>
      <c r="CJ123" s="23">
        <f t="shared" ref="CJ123" si="2667">($O123*$Q123*$S123)^(1/3)/(CJ118*((1-CJ$2)*$H118+CJ$2*$H119) + CJ120*((1-CJ$2)*$H120+CJ$2*$H121) + CJ122*((1-CJ$2)*$H122+CJ$2*$H123))</f>
        <v>3841.7640449556593</v>
      </c>
      <c r="CK123" s="23">
        <f t="shared" ref="CK123" si="2668">($O123*$Q123*$S123)^(1/3)/(CK118*((1-CK$2)*$H118+CK$2*$H119) + CK120*((1-CK$2)*$H120+CK$2*$H121) + CK122*((1-CK$2)*$H122+CK$2*$H123))</f>
        <v>3883.6028592642278</v>
      </c>
      <c r="CL123" s="23">
        <f t="shared" ref="CL123" si="2669">($O123*$Q123*$S123)^(1/3)/(CL118*((1-CL$2)*$H118+CL$2*$H119) + CL120*((1-CL$2)*$H120+CL$2*$H121) + CL122*((1-CL$2)*$H122+CL$2*$H123))</f>
        <v>3937.5645853835476</v>
      </c>
      <c r="CM123" s="23">
        <f t="shared" ref="CM123" si="2670">($O123*$Q123*$S123)^(1/3)/(CM118*((1-CM$2)*$H118+CM$2*$H119) + CM120*((1-CM$2)*$H120+CM$2*$H121) + CM122*((1-CM$2)*$H122+CM$2*$H123))</f>
        <v>4475.4832445889506</v>
      </c>
      <c r="CN123" s="23">
        <f t="shared" ref="CN123" si="2671">($O123*$Q123*$S123)^(1/3)/(CN118*((1-CN$2)*$H118+CN$2*$H119) + CN120*((1-CN$2)*$H120+CN$2*$H121) + CN122*((1-CN$2)*$H122+CN$2*$H123))</f>
        <v>4094.1673517984941</v>
      </c>
      <c r="CO123" s="23">
        <f t="shared" ref="CO123" si="2672">($O123*$Q123*$S123)^(1/3)/(CO118*((1-CO$2)*$H118+CO$2*$H119) + CO120*((1-CO$2)*$H120+CO$2*$H121) + CO122*((1-CO$2)*$H122+CO$2*$H123))</f>
        <v>4616.8755790212344</v>
      </c>
      <c r="CP123" s="23">
        <f t="shared" ref="CP123" si="2673">($O123*$Q123*$S123)^(1/3)/(CP118*((1-CP$2)*$H118+CP$2*$H119) + CP120*((1-CP$2)*$H120+CP$2*$H121) + CP122*((1-CP$2)*$H122+CP$2*$H123))</f>
        <v>4326.1099647167284</v>
      </c>
      <c r="CQ123" s="23">
        <f t="shared" ref="CQ123" si="2674">($O123*$Q123*$S123)^(1/3)/(CQ118*((1-CQ$2)*$H118+CQ$2*$H119) + CQ120*((1-CQ$2)*$H120+CQ$2*$H121) + CQ122*((1-CQ$2)*$H122+CQ$2*$H123))</f>
        <v>4478.7105625947834</v>
      </c>
      <c r="CS123" s="2">
        <f t="shared" ref="CS123" si="2675">100*$AF123/AF123</f>
        <v>100</v>
      </c>
      <c r="CT123" s="2">
        <f t="shared" ref="CT123" si="2676">100*$AF123/AG123</f>
        <v>96.129629629629619</v>
      </c>
      <c r="CU123" s="2">
        <f t="shared" ref="CU123" si="2677">100*$AF123/AH123</f>
        <v>91.259259259259267</v>
      </c>
      <c r="CV123" s="2">
        <f t="shared" ref="CV123" si="2678">100*$AF123/AI123</f>
        <v>75.055555555555571</v>
      </c>
      <c r="CW123" s="2">
        <f t="shared" ref="CW123" si="2679">100*$AF123/AJ123</f>
        <v>77.851851851851862</v>
      </c>
      <c r="CX123" s="2">
        <f t="shared" ref="CX123" si="2680">100*$AF123/AK123</f>
        <v>65.611111111111114</v>
      </c>
      <c r="CY123" s="2">
        <f t="shared" ref="CY123" si="2681">100*$AF123/AL123</f>
        <v>59.777777777777786</v>
      </c>
      <c r="CZ123" s="2">
        <f t="shared" ref="CZ123" si="2682">100*$AF123/AM123</f>
        <v>48.907407407407412</v>
      </c>
      <c r="DA123" s="2">
        <f t="shared" ref="DA123" si="2683">100*$AF123/AN123</f>
        <v>92.129629629629648</v>
      </c>
      <c r="DB123" s="2">
        <f t="shared" ref="DB123" si="2684">100*$AF123/AO123</f>
        <v>88.743055555555571</v>
      </c>
      <c r="DC123" s="2">
        <f t="shared" ref="DC123" si="2685">100*$AF123/AP123</f>
        <v>84.481481481481481</v>
      </c>
      <c r="DD123" s="2">
        <f t="shared" ref="DD123" si="2686">100*$AF123/AQ123</f>
        <v>69.840277777777786</v>
      </c>
      <c r="DE123" s="2">
        <f t="shared" ref="DE123" si="2687">100*$AF123/AR123</f>
        <v>72.75</v>
      </c>
      <c r="DF123" s="2">
        <f t="shared" ref="DF123" si="2688">100*$AF123/AS123</f>
        <v>61.576388888888886</v>
      </c>
      <c r="DG123" s="2">
        <f t="shared" ref="DG123" si="2689">100*$AF123/AT123</f>
        <v>56.93518518518519</v>
      </c>
      <c r="DH123" s="2">
        <f t="shared" ref="DH123" si="2690">100*$AF123/AU123</f>
        <v>47.423611111111114</v>
      </c>
      <c r="DI123" s="2">
        <f t="shared" ref="DI123" si="2691">100*$AF123/AV123</f>
        <v>84.259259259259267</v>
      </c>
      <c r="DJ123" s="2">
        <f t="shared" ref="DJ123" si="2692">100*$AF123/AW123</f>
        <v>81.356481481481481</v>
      </c>
      <c r="DK123" s="2">
        <f t="shared" ref="DK123" si="2693">100*$AF123/AX123</f>
        <v>77.703703703703695</v>
      </c>
      <c r="DL123" s="2">
        <f t="shared" ref="DL123" si="2694">100*$AF123/AY123</f>
        <v>64.625</v>
      </c>
      <c r="DM123" s="2">
        <f t="shared" ref="DM123" si="2695">100*$AF123/AZ123</f>
        <v>67.648148148148152</v>
      </c>
      <c r="DN123" s="2">
        <f t="shared" ref="DN123" si="2696">100*$AF123/BA123</f>
        <v>57.541666666666671</v>
      </c>
      <c r="DO123" s="2">
        <f t="shared" ref="DO123" si="2697">100*$AF123/BB123</f>
        <v>54.092592592592595</v>
      </c>
      <c r="DP123" s="2">
        <f t="shared" ref="DP123" si="2698">100*$AF123/BC123</f>
        <v>45.93981481481481</v>
      </c>
      <c r="DQ123" s="2">
        <f t="shared" ref="DQ123" si="2699">100*$AF123/BD123</f>
        <v>76.3888888888889</v>
      </c>
      <c r="DR123" s="2">
        <f t="shared" ref="DR123" si="2700">100*$AF123/BE123</f>
        <v>73.969907407407419</v>
      </c>
      <c r="DS123" s="2">
        <f t="shared" ref="DS123" si="2701">100*$AF123/BF123</f>
        <v>70.925925925925938</v>
      </c>
      <c r="DT123" s="2">
        <f t="shared" ref="DT123" si="2702">100*$AF123/BG123</f>
        <v>59.409722222222236</v>
      </c>
      <c r="DU123" s="2">
        <f t="shared" ref="DU123" si="2703">100*$AF123/BH123</f>
        <v>62.546296296296305</v>
      </c>
      <c r="DV123" s="2">
        <f t="shared" ref="DV123" si="2704">100*$AF123/BI123</f>
        <v>53.506944444444457</v>
      </c>
      <c r="DW123" s="2">
        <f t="shared" ref="DW123" si="2705">100*$AF123/BJ123</f>
        <v>51.25</v>
      </c>
      <c r="DX123" s="2">
        <f t="shared" ref="DX123" si="2706">100*$AF123/BK123</f>
        <v>44.456018518518519</v>
      </c>
      <c r="DY123" s="2">
        <f t="shared" ref="DY123" si="2707">100*$AF123/BL123</f>
        <v>68.518518518518519</v>
      </c>
      <c r="DZ123" s="2">
        <f t="shared" ref="DZ123" si="2708">100*$AF123/BM123</f>
        <v>66.583333333333343</v>
      </c>
      <c r="EA123" s="2">
        <f t="shared" ref="EA123" si="2709">100*$AF123/BN123</f>
        <v>64.148148148148152</v>
      </c>
      <c r="EB123" s="2">
        <f t="shared" ref="EB123" si="2710">100*$AF123/BO123</f>
        <v>54.19444444444445</v>
      </c>
      <c r="EC123" s="2">
        <f t="shared" ref="EC123" si="2711">100*$AF123/BP123</f>
        <v>57.444444444444443</v>
      </c>
      <c r="ED123" s="2">
        <f t="shared" ref="ED123" si="2712">100*$AF123/BQ123</f>
        <v>49.472222222222221</v>
      </c>
      <c r="EE123" s="2">
        <f t="shared" ref="EE123" si="2713">100*$AF123/BR123</f>
        <v>48.407407407407405</v>
      </c>
      <c r="EF123" s="2">
        <f t="shared" ref="EF123" si="2714">100*$AF123/BS123</f>
        <v>42.972222222222221</v>
      </c>
      <c r="EG123" s="2">
        <f t="shared" ref="EG123" si="2715">100*$AF123/BT123</f>
        <v>60.648148148148152</v>
      </c>
      <c r="EH123" s="2">
        <f t="shared" ref="EH123" si="2716">100*$AF123/BU123</f>
        <v>59.19675925925926</v>
      </c>
      <c r="EI123" s="2">
        <f t="shared" ref="EI123" si="2717">100*$AF123/BV123</f>
        <v>57.370370370370374</v>
      </c>
      <c r="EJ123" s="2">
        <f t="shared" ref="EJ123" si="2718">100*$AF123/BW123</f>
        <v>48.979166666666671</v>
      </c>
      <c r="EK123" s="2">
        <f t="shared" ref="EK123" si="2719">100*$AF123/BX123</f>
        <v>52.342592592592588</v>
      </c>
      <c r="EL123" s="2">
        <f t="shared" ref="EL123" si="2720">100*$AF123/BY123</f>
        <v>45.4375</v>
      </c>
      <c r="EM123" s="2">
        <f t="shared" ref="EM123" si="2721">100*$AF123/BZ123</f>
        <v>45.564814814814824</v>
      </c>
      <c r="EN123" s="2">
        <f t="shared" ref="EN123" si="2722">100*$AF123/CA123</f>
        <v>41.488425925925924</v>
      </c>
      <c r="EO123" s="2">
        <f t="shared" ref="EO123" si="2723">100*$AF123/CB123</f>
        <v>52.777777777777779</v>
      </c>
      <c r="EP123" s="2">
        <f t="shared" ref="EP123" si="2724">100*$AF123/CC123</f>
        <v>51.810185185185183</v>
      </c>
      <c r="EQ123" s="2">
        <f t="shared" ref="EQ123" si="2725">100*$AF123/CD123</f>
        <v>50.592592592592595</v>
      </c>
      <c r="ER123" s="2">
        <f t="shared" ref="ER123" si="2726">100*$AF123/CE123</f>
        <v>43.763888888888893</v>
      </c>
      <c r="ES123" s="2">
        <f t="shared" ref="ES123" si="2727">100*$AF123/CF123</f>
        <v>47.24074074074074</v>
      </c>
      <c r="ET123" s="2">
        <f t="shared" ref="ET123" si="2728">100*$AF123/CG123</f>
        <v>41.402777777777786</v>
      </c>
      <c r="EU123" s="2">
        <f t="shared" ref="EU123" si="2729">100*$AF123/CH123</f>
        <v>42.722222222222221</v>
      </c>
      <c r="EV123" s="2">
        <f t="shared" ref="EV123" si="2730">100*$AF123/CI123</f>
        <v>40.004629629629626</v>
      </c>
      <c r="EW123" s="2">
        <f t="shared" ref="EW123" si="2731">100*$AF123/CJ123</f>
        <v>44.907407407407412</v>
      </c>
      <c r="EX123" s="2">
        <f t="shared" ref="EX123" si="2732">100*$AF123/CK123</f>
        <v>44.423611111111107</v>
      </c>
      <c r="EY123" s="2">
        <f t="shared" ref="EY123" si="2733">100*$AF123/CL123</f>
        <v>43.814814814814817</v>
      </c>
      <c r="EZ123" s="2">
        <f t="shared" ref="EZ123" si="2734">100*$AF123/CM123</f>
        <v>38.548611111111114</v>
      </c>
      <c r="FA123" s="2">
        <f t="shared" ref="FA123" si="2735">100*$AF123/CN123</f>
        <v>42.138888888888893</v>
      </c>
      <c r="FB123" s="2">
        <f t="shared" ref="FB123" si="2736">100*$AF123/CO123</f>
        <v>37.368055555555557</v>
      </c>
      <c r="FC123" s="2">
        <f t="shared" ref="FC123" si="2737">100*$AF123/CP123</f>
        <v>39.879629629629626</v>
      </c>
      <c r="FD123" s="2">
        <f t="shared" ref="FD123" si="2738">100*$AF123/CQ123</f>
        <v>38.520833333333336</v>
      </c>
    </row>
    <row r="124" spans="3:160" x14ac:dyDescent="0.4">
      <c r="C124" s="1" t="s">
        <v>30</v>
      </c>
      <c r="D124" s="1" t="s">
        <v>5</v>
      </c>
      <c r="E124" s="1">
        <v>0.312</v>
      </c>
      <c r="F124" s="1">
        <v>0.20300000000000001</v>
      </c>
      <c r="G124" s="1">
        <v>0.109</v>
      </c>
      <c r="H124" s="1">
        <v>5.5E-2</v>
      </c>
      <c r="I124" s="1">
        <v>4781</v>
      </c>
      <c r="J124" s="1">
        <v>4309</v>
      </c>
      <c r="K124" s="1">
        <v>56</v>
      </c>
      <c r="L124" s="1">
        <v>5611</v>
      </c>
      <c r="M124" s="1">
        <v>6281</v>
      </c>
      <c r="N124" s="1">
        <v>74.5</v>
      </c>
      <c r="O124" s="1">
        <v>92</v>
      </c>
      <c r="P124" s="1">
        <v>89.5</v>
      </c>
      <c r="Q124" s="1">
        <v>94</v>
      </c>
      <c r="R124" s="1">
        <v>50.5</v>
      </c>
      <c r="S124" s="1">
        <v>93.5</v>
      </c>
      <c r="T124" s="4">
        <v>0</v>
      </c>
      <c r="U124" s="1">
        <v>1.399</v>
      </c>
      <c r="V124" s="1">
        <v>5.7000000000000002E-2</v>
      </c>
      <c r="W124" s="1">
        <v>4.0199999999999996</v>
      </c>
      <c r="X124" s="1">
        <f t="shared" ref="X124" si="2739">H125</f>
        <v>2.1000000000000001E-2</v>
      </c>
      <c r="Y124" s="1">
        <f t="shared" ref="Y124" si="2740">H126</f>
        <v>5.7000000000000002E-2</v>
      </c>
      <c r="Z124" s="1">
        <f t="shared" ref="Z124" si="2741">H127</f>
        <v>2.1000000000000001E-2</v>
      </c>
      <c r="AA124" s="1">
        <f t="shared" ref="AA124" si="2742">H128</f>
        <v>2.1000000000000001E-2</v>
      </c>
      <c r="AB124" s="1">
        <f t="shared" ref="AB124" si="2743">H129</f>
        <v>2.1000000000000001E-2</v>
      </c>
      <c r="AC124" s="1">
        <f t="shared" si="1193"/>
        <v>4572.2940830985608</v>
      </c>
      <c r="AE124" s="1" t="s">
        <v>96</v>
      </c>
      <c r="AF124" s="1">
        <v>1</v>
      </c>
      <c r="AG124" s="1">
        <v>0.81499999999999995</v>
      </c>
      <c r="AH124" s="1">
        <v>0.64500000000000002</v>
      </c>
      <c r="AI124" s="1">
        <v>0.39500000000000002</v>
      </c>
      <c r="AJ124" s="1">
        <v>0.36</v>
      </c>
      <c r="AK124" s="1">
        <v>0.245</v>
      </c>
      <c r="AL124" s="1">
        <v>0.14499999999999999</v>
      </c>
      <c r="AM124" s="20">
        <v>6.5000000000000002E-2</v>
      </c>
      <c r="AN124" s="1">
        <v>1</v>
      </c>
      <c r="AO124" s="1">
        <v>0.81499999999999995</v>
      </c>
      <c r="AP124" s="1">
        <v>0.64500000000000002</v>
      </c>
      <c r="AQ124" s="1">
        <v>0.39500000000000002</v>
      </c>
      <c r="AR124" s="1">
        <v>0.36</v>
      </c>
      <c r="AS124" s="1">
        <v>0.245</v>
      </c>
      <c r="AT124" s="1">
        <v>0.14499999999999999</v>
      </c>
      <c r="AU124" s="20">
        <v>6.5000000000000002E-2</v>
      </c>
      <c r="AV124" s="1">
        <v>1</v>
      </c>
      <c r="AW124" s="1">
        <v>0.81499999999999995</v>
      </c>
      <c r="AX124" s="1">
        <v>0.64500000000000002</v>
      </c>
      <c r="AY124" s="1">
        <v>0.39500000000000002</v>
      </c>
      <c r="AZ124" s="1">
        <v>0.36</v>
      </c>
      <c r="BA124" s="1">
        <v>0.245</v>
      </c>
      <c r="BB124" s="1">
        <v>0.14499999999999999</v>
      </c>
      <c r="BC124" s="20">
        <v>6.5000000000000002E-2</v>
      </c>
      <c r="BD124" s="1">
        <v>1</v>
      </c>
      <c r="BE124" s="1">
        <v>0.81499999999999995</v>
      </c>
      <c r="BF124" s="1">
        <v>0.64500000000000002</v>
      </c>
      <c r="BG124" s="1">
        <v>0.39500000000000002</v>
      </c>
      <c r="BH124" s="1">
        <v>0.36</v>
      </c>
      <c r="BI124" s="1">
        <v>0.245</v>
      </c>
      <c r="BJ124" s="1">
        <v>0.14499999999999999</v>
      </c>
      <c r="BK124" s="20">
        <v>6.5000000000000002E-2</v>
      </c>
      <c r="BL124" s="1">
        <v>1</v>
      </c>
      <c r="BM124" s="1">
        <v>0.81499999999999995</v>
      </c>
      <c r="BN124" s="1">
        <v>0.64500000000000002</v>
      </c>
      <c r="BO124" s="1">
        <v>0.39500000000000002</v>
      </c>
      <c r="BP124" s="1">
        <v>0.36</v>
      </c>
      <c r="BQ124" s="1">
        <v>0.245</v>
      </c>
      <c r="BR124" s="1">
        <v>0.14499999999999999</v>
      </c>
      <c r="BS124" s="20">
        <v>6.5000000000000002E-2</v>
      </c>
      <c r="BT124" s="1">
        <v>1</v>
      </c>
      <c r="BU124" s="1">
        <v>0.81499999999999995</v>
      </c>
      <c r="BV124" s="1">
        <v>0.64500000000000002</v>
      </c>
      <c r="BW124" s="1">
        <v>0.39500000000000002</v>
      </c>
      <c r="BX124" s="1">
        <v>0.36</v>
      </c>
      <c r="BY124" s="1">
        <v>0.245</v>
      </c>
      <c r="BZ124" s="1">
        <v>0.14499999999999999</v>
      </c>
      <c r="CA124" s="20">
        <v>6.5000000000000002E-2</v>
      </c>
      <c r="CB124" s="1">
        <v>1</v>
      </c>
      <c r="CC124" s="1">
        <v>0.81499999999999995</v>
      </c>
      <c r="CD124" s="1">
        <v>0.64500000000000002</v>
      </c>
      <c r="CE124" s="1">
        <v>0.39500000000000002</v>
      </c>
      <c r="CF124" s="1">
        <v>0.36</v>
      </c>
      <c r="CG124" s="1">
        <v>0.245</v>
      </c>
      <c r="CH124" s="1">
        <v>0.14499999999999999</v>
      </c>
      <c r="CI124" s="20">
        <v>6.5000000000000002E-2</v>
      </c>
      <c r="CJ124" s="1">
        <v>1</v>
      </c>
      <c r="CK124" s="1">
        <v>0.81499999999999995</v>
      </c>
      <c r="CL124" s="1">
        <v>0.64500000000000002</v>
      </c>
      <c r="CM124" s="1">
        <v>0.39500000000000002</v>
      </c>
      <c r="CN124" s="1">
        <v>0.36</v>
      </c>
      <c r="CO124" s="1">
        <v>0.245</v>
      </c>
      <c r="CP124" s="1">
        <v>0.14499999999999999</v>
      </c>
      <c r="CQ124" s="20">
        <v>6.5000000000000002E-2</v>
      </c>
    </row>
    <row r="125" spans="3:160" x14ac:dyDescent="0.4">
      <c r="C125" s="1" t="s">
        <v>30</v>
      </c>
      <c r="D125" s="1" t="s">
        <v>6</v>
      </c>
      <c r="E125" s="1">
        <v>0.26900000000000002</v>
      </c>
      <c r="F125" s="1">
        <v>0.16</v>
      </c>
      <c r="G125" s="1">
        <v>0.109</v>
      </c>
      <c r="H125" s="1">
        <v>2.1000000000000001E-2</v>
      </c>
      <c r="I125" s="1">
        <v>4781</v>
      </c>
      <c r="J125" s="1">
        <v>4309</v>
      </c>
      <c r="K125" s="1">
        <v>56</v>
      </c>
      <c r="L125" s="1">
        <v>5611</v>
      </c>
      <c r="M125" s="1">
        <v>6281</v>
      </c>
      <c r="N125" s="1">
        <v>74.5</v>
      </c>
      <c r="O125" s="1">
        <v>92</v>
      </c>
      <c r="P125" s="1">
        <v>89.5</v>
      </c>
      <c r="Q125" s="1">
        <v>94</v>
      </c>
      <c r="R125" s="1">
        <v>50.5</v>
      </c>
      <c r="S125" s="1">
        <v>93.5</v>
      </c>
      <c r="T125" s="4">
        <v>0</v>
      </c>
      <c r="U125" s="1">
        <v>1.399</v>
      </c>
      <c r="V125" s="1">
        <v>5.7000000000000002E-2</v>
      </c>
      <c r="W125" s="1">
        <v>4.0199999999999996</v>
      </c>
      <c r="X125" s="1">
        <f t="shared" ref="X125" si="2744">H125</f>
        <v>2.1000000000000001E-2</v>
      </c>
      <c r="Y125" s="1">
        <f t="shared" ref="Y125" si="2745">H126</f>
        <v>5.7000000000000002E-2</v>
      </c>
      <c r="Z125" s="1">
        <f t="shared" ref="Z125" si="2746">H127</f>
        <v>2.1000000000000001E-2</v>
      </c>
      <c r="AA125" s="1">
        <f t="shared" ref="AA125" si="2747">H128</f>
        <v>2.1000000000000001E-2</v>
      </c>
      <c r="AB125" s="1">
        <f t="shared" ref="AB125" si="2748">H129</f>
        <v>2.1000000000000001E-2</v>
      </c>
      <c r="AC125" s="1">
        <f t="shared" si="1193"/>
        <v>4572.2940830985608</v>
      </c>
      <c r="CQ125" s="20"/>
    </row>
    <row r="126" spans="3:160" x14ac:dyDescent="0.4">
      <c r="C126" s="1" t="s">
        <v>30</v>
      </c>
      <c r="D126" s="1" t="s">
        <v>7</v>
      </c>
      <c r="E126" s="1">
        <v>0.314</v>
      </c>
      <c r="F126" s="1">
        <v>0.20499999999999999</v>
      </c>
      <c r="G126" s="1">
        <v>0.109</v>
      </c>
      <c r="H126" s="1">
        <v>5.7000000000000002E-2</v>
      </c>
      <c r="I126" s="1">
        <v>4781</v>
      </c>
      <c r="J126" s="1">
        <v>4309</v>
      </c>
      <c r="K126" s="1">
        <v>56</v>
      </c>
      <c r="L126" s="1">
        <v>5611</v>
      </c>
      <c r="M126" s="1">
        <v>6281</v>
      </c>
      <c r="N126" s="1">
        <v>74.5</v>
      </c>
      <c r="O126" s="1">
        <v>92</v>
      </c>
      <c r="P126" s="1">
        <v>89.5</v>
      </c>
      <c r="Q126" s="1">
        <v>94</v>
      </c>
      <c r="R126" s="1">
        <v>50.5</v>
      </c>
      <c r="S126" s="1">
        <v>93.5</v>
      </c>
      <c r="T126" s="4">
        <v>0</v>
      </c>
      <c r="U126" s="1">
        <v>1.399</v>
      </c>
      <c r="V126" s="1">
        <v>5.7000000000000002E-2</v>
      </c>
      <c r="W126" s="1">
        <v>4.0199999999999996</v>
      </c>
      <c r="X126" s="1">
        <f t="shared" ref="X126" si="2749">H125</f>
        <v>2.1000000000000001E-2</v>
      </c>
      <c r="Y126" s="1">
        <f t="shared" ref="Y126" si="2750">H126</f>
        <v>5.7000000000000002E-2</v>
      </c>
      <c r="Z126" s="1">
        <f t="shared" ref="Z126" si="2751">H127</f>
        <v>2.1000000000000001E-2</v>
      </c>
      <c r="AA126" s="1">
        <f t="shared" ref="AA126" si="2752">H128</f>
        <v>2.1000000000000001E-2</v>
      </c>
      <c r="AB126" s="1">
        <f t="shared" ref="AB126" si="2753">H129</f>
        <v>2.1000000000000001E-2</v>
      </c>
      <c r="AC126" s="1">
        <f t="shared" si="1193"/>
        <v>4572.2940830985608</v>
      </c>
      <c r="AE126" s="1" t="s">
        <v>97</v>
      </c>
      <c r="AF126" s="1">
        <v>0</v>
      </c>
      <c r="AG126" s="1">
        <v>0.12</v>
      </c>
      <c r="AH126" s="1">
        <v>0.21</v>
      </c>
      <c r="AI126" s="1">
        <v>0.26</v>
      </c>
      <c r="AJ126" s="1">
        <v>0.28000000000000003</v>
      </c>
      <c r="AK126" s="1">
        <v>0.26</v>
      </c>
      <c r="AL126" s="1">
        <v>0.21</v>
      </c>
      <c r="AM126" s="20">
        <v>0.12</v>
      </c>
      <c r="AN126" s="1">
        <v>0</v>
      </c>
      <c r="AO126" s="1">
        <v>0.12</v>
      </c>
      <c r="AP126" s="1">
        <v>0.21</v>
      </c>
      <c r="AQ126" s="1">
        <v>0.26</v>
      </c>
      <c r="AR126" s="1">
        <v>0.28000000000000003</v>
      </c>
      <c r="AS126" s="1">
        <v>0.26</v>
      </c>
      <c r="AT126" s="1">
        <v>0.21</v>
      </c>
      <c r="AU126" s="20">
        <v>0.12</v>
      </c>
      <c r="AV126" s="1">
        <v>0</v>
      </c>
      <c r="AW126" s="1">
        <v>0.12</v>
      </c>
      <c r="AX126" s="1">
        <v>0.21</v>
      </c>
      <c r="AY126" s="1">
        <v>0.26</v>
      </c>
      <c r="AZ126" s="1">
        <v>0.28000000000000003</v>
      </c>
      <c r="BA126" s="1">
        <v>0.26</v>
      </c>
      <c r="BB126" s="1">
        <v>0.21</v>
      </c>
      <c r="BC126" s="20">
        <v>0.12</v>
      </c>
      <c r="BD126" s="1">
        <v>0</v>
      </c>
      <c r="BE126" s="1">
        <v>0.12</v>
      </c>
      <c r="BF126" s="1">
        <v>0.21</v>
      </c>
      <c r="BG126" s="1">
        <v>0.26</v>
      </c>
      <c r="BH126" s="1">
        <v>0.28000000000000003</v>
      </c>
      <c r="BI126" s="1">
        <v>0.26</v>
      </c>
      <c r="BJ126" s="1">
        <v>0.21</v>
      </c>
      <c r="BK126" s="20">
        <v>0.12</v>
      </c>
      <c r="BL126" s="1">
        <v>0</v>
      </c>
      <c r="BM126" s="1">
        <v>0.12</v>
      </c>
      <c r="BN126" s="1">
        <v>0.21</v>
      </c>
      <c r="BO126" s="1">
        <v>0.26</v>
      </c>
      <c r="BP126" s="1">
        <v>0.28000000000000003</v>
      </c>
      <c r="BQ126" s="1">
        <v>0.26</v>
      </c>
      <c r="BR126" s="1">
        <v>0.21</v>
      </c>
      <c r="BS126" s="20">
        <v>0.12</v>
      </c>
      <c r="BT126" s="1">
        <v>0</v>
      </c>
      <c r="BU126" s="1">
        <v>0.12</v>
      </c>
      <c r="BV126" s="1">
        <v>0.21</v>
      </c>
      <c r="BW126" s="1">
        <v>0.26</v>
      </c>
      <c r="BX126" s="1">
        <v>0.28000000000000003</v>
      </c>
      <c r="BY126" s="1">
        <v>0.26</v>
      </c>
      <c r="BZ126" s="1">
        <v>0.21</v>
      </c>
      <c r="CA126" s="20">
        <v>0.12</v>
      </c>
      <c r="CB126" s="1">
        <v>0</v>
      </c>
      <c r="CC126" s="1">
        <v>0.12</v>
      </c>
      <c r="CD126" s="1">
        <v>0.21</v>
      </c>
      <c r="CE126" s="1">
        <v>0.26</v>
      </c>
      <c r="CF126" s="1">
        <v>0.28000000000000003</v>
      </c>
      <c r="CG126" s="1">
        <v>0.26</v>
      </c>
      <c r="CH126" s="1">
        <v>0.21</v>
      </c>
      <c r="CI126" s="20">
        <v>0.12</v>
      </c>
      <c r="CJ126" s="1">
        <v>0</v>
      </c>
      <c r="CK126" s="1">
        <v>0.12</v>
      </c>
      <c r="CL126" s="1">
        <v>0.21</v>
      </c>
      <c r="CM126" s="1">
        <v>0.26</v>
      </c>
      <c r="CN126" s="1">
        <v>0.28000000000000003</v>
      </c>
      <c r="CO126" s="1">
        <v>0.26</v>
      </c>
      <c r="CP126" s="1">
        <v>0.21</v>
      </c>
      <c r="CQ126" s="20">
        <v>0.12</v>
      </c>
    </row>
    <row r="127" spans="3:160" x14ac:dyDescent="0.4">
      <c r="C127" s="1" t="s">
        <v>30</v>
      </c>
      <c r="D127" s="1" t="s">
        <v>8</v>
      </c>
      <c r="E127" s="1">
        <v>0.27</v>
      </c>
      <c r="F127" s="1">
        <v>0.161</v>
      </c>
      <c r="G127" s="1">
        <v>0.109</v>
      </c>
      <c r="H127" s="1">
        <v>2.1000000000000001E-2</v>
      </c>
      <c r="I127" s="1">
        <v>4781</v>
      </c>
      <c r="J127" s="1">
        <v>4309</v>
      </c>
      <c r="K127" s="1">
        <v>56</v>
      </c>
      <c r="L127" s="1">
        <v>5611</v>
      </c>
      <c r="M127" s="1">
        <v>6281</v>
      </c>
      <c r="N127" s="1">
        <v>74.5</v>
      </c>
      <c r="O127" s="1">
        <v>92</v>
      </c>
      <c r="P127" s="1">
        <v>89.5</v>
      </c>
      <c r="Q127" s="1">
        <v>94</v>
      </c>
      <c r="R127" s="1">
        <v>50.5</v>
      </c>
      <c r="S127" s="1">
        <v>93.5</v>
      </c>
      <c r="T127" s="4">
        <v>0</v>
      </c>
      <c r="U127" s="1">
        <v>1.399</v>
      </c>
      <c r="V127" s="1">
        <v>5.7000000000000002E-2</v>
      </c>
      <c r="W127" s="1">
        <v>4.0199999999999996</v>
      </c>
      <c r="X127" s="1">
        <f t="shared" ref="X127" si="2754">H125</f>
        <v>2.1000000000000001E-2</v>
      </c>
      <c r="Y127" s="1">
        <f t="shared" ref="Y127" si="2755">H126</f>
        <v>5.7000000000000002E-2</v>
      </c>
      <c r="Z127" s="1">
        <f t="shared" ref="Z127" si="2756">H127</f>
        <v>2.1000000000000001E-2</v>
      </c>
      <c r="AA127" s="1">
        <f t="shared" ref="AA127" si="2757">H128</f>
        <v>2.1000000000000001E-2</v>
      </c>
      <c r="AB127" s="1">
        <f t="shared" ref="AB127" si="2758">H129</f>
        <v>2.1000000000000001E-2</v>
      </c>
      <c r="AC127" s="1">
        <f t="shared" si="1193"/>
        <v>4572.2940830985608</v>
      </c>
      <c r="CQ127" s="20"/>
    </row>
    <row r="128" spans="3:160" x14ac:dyDescent="0.4">
      <c r="C128" s="1" t="s">
        <v>30</v>
      </c>
      <c r="D128" s="1" t="s">
        <v>9</v>
      </c>
      <c r="E128" s="1">
        <v>0.26900000000000002</v>
      </c>
      <c r="F128" s="1">
        <v>0.161</v>
      </c>
      <c r="G128" s="1">
        <v>0.109</v>
      </c>
      <c r="H128" s="1">
        <v>2.1000000000000001E-2</v>
      </c>
      <c r="I128" s="1">
        <v>4781</v>
      </c>
      <c r="J128" s="1">
        <v>4309</v>
      </c>
      <c r="K128" s="1">
        <v>56</v>
      </c>
      <c r="L128" s="1">
        <v>5611</v>
      </c>
      <c r="M128" s="1">
        <v>6281</v>
      </c>
      <c r="N128" s="1">
        <v>74.5</v>
      </c>
      <c r="O128" s="1">
        <v>92</v>
      </c>
      <c r="P128" s="1">
        <v>89.5</v>
      </c>
      <c r="Q128" s="1">
        <v>94</v>
      </c>
      <c r="R128" s="1">
        <v>50.5</v>
      </c>
      <c r="S128" s="1">
        <v>93.5</v>
      </c>
      <c r="T128" s="4">
        <v>0</v>
      </c>
      <c r="U128" s="1">
        <v>1.399</v>
      </c>
      <c r="V128" s="1">
        <v>5.7000000000000002E-2</v>
      </c>
      <c r="W128" s="1">
        <v>4.0199999999999996</v>
      </c>
      <c r="X128" s="1">
        <f t="shared" ref="X128" si="2759">H125</f>
        <v>2.1000000000000001E-2</v>
      </c>
      <c r="Y128" s="1">
        <f t="shared" ref="Y128" si="2760">H126</f>
        <v>5.7000000000000002E-2</v>
      </c>
      <c r="Z128" s="1">
        <f t="shared" ref="Z128" si="2761">H127</f>
        <v>2.1000000000000001E-2</v>
      </c>
      <c r="AA128" s="1">
        <f t="shared" ref="AA128" si="2762">H128</f>
        <v>2.1000000000000001E-2</v>
      </c>
      <c r="AB128" s="1">
        <f t="shared" ref="AB128" si="2763">H129</f>
        <v>2.1000000000000001E-2</v>
      </c>
      <c r="AC128" s="1">
        <f t="shared" si="1193"/>
        <v>4572.2940830985608</v>
      </c>
      <c r="AE128" s="1" t="s">
        <v>98</v>
      </c>
      <c r="AF128" s="1">
        <v>0</v>
      </c>
      <c r="AG128" s="1">
        <v>6.5000000000000002E-2</v>
      </c>
      <c r="AH128" s="1">
        <v>0.14499999999999999</v>
      </c>
      <c r="AI128" s="1">
        <v>0.245</v>
      </c>
      <c r="AJ128" s="1">
        <v>0.36</v>
      </c>
      <c r="AK128" s="1">
        <v>0.39500000000000002</v>
      </c>
      <c r="AL128" s="1">
        <v>0.64500000000000002</v>
      </c>
      <c r="AM128" s="20">
        <v>0.81499999999999995</v>
      </c>
      <c r="AN128" s="1">
        <v>0</v>
      </c>
      <c r="AO128" s="1">
        <v>6.5000000000000002E-2</v>
      </c>
      <c r="AP128" s="1">
        <v>0.14499999999999999</v>
      </c>
      <c r="AQ128" s="1">
        <v>0.245</v>
      </c>
      <c r="AR128" s="1">
        <v>0.36</v>
      </c>
      <c r="AS128" s="1">
        <v>0.39500000000000002</v>
      </c>
      <c r="AT128" s="1">
        <v>0.64500000000000002</v>
      </c>
      <c r="AU128" s="20">
        <v>0.81499999999999995</v>
      </c>
      <c r="AV128" s="1">
        <v>0</v>
      </c>
      <c r="AW128" s="1">
        <v>6.5000000000000002E-2</v>
      </c>
      <c r="AX128" s="1">
        <v>0.14499999999999999</v>
      </c>
      <c r="AY128" s="1">
        <v>0.245</v>
      </c>
      <c r="AZ128" s="1">
        <v>0.36</v>
      </c>
      <c r="BA128" s="1">
        <v>0.39500000000000002</v>
      </c>
      <c r="BB128" s="1">
        <v>0.64500000000000002</v>
      </c>
      <c r="BC128" s="20">
        <v>0.81499999999999995</v>
      </c>
      <c r="BD128" s="1">
        <v>0</v>
      </c>
      <c r="BE128" s="1">
        <v>6.5000000000000002E-2</v>
      </c>
      <c r="BF128" s="1">
        <v>0.14499999999999999</v>
      </c>
      <c r="BG128" s="1">
        <v>0.245</v>
      </c>
      <c r="BH128" s="1">
        <v>0.36</v>
      </c>
      <c r="BI128" s="1">
        <v>0.39500000000000002</v>
      </c>
      <c r="BJ128" s="1">
        <v>0.64500000000000002</v>
      </c>
      <c r="BK128" s="20">
        <v>0.81499999999999995</v>
      </c>
      <c r="BL128" s="1">
        <v>0</v>
      </c>
      <c r="BM128" s="1">
        <v>6.5000000000000002E-2</v>
      </c>
      <c r="BN128" s="1">
        <v>0.14499999999999999</v>
      </c>
      <c r="BO128" s="1">
        <v>0.245</v>
      </c>
      <c r="BP128" s="1">
        <v>0.36</v>
      </c>
      <c r="BQ128" s="1">
        <v>0.39500000000000002</v>
      </c>
      <c r="BR128" s="1">
        <v>0.64500000000000002</v>
      </c>
      <c r="BS128" s="20">
        <v>0.81499999999999995</v>
      </c>
      <c r="BT128" s="1">
        <v>0</v>
      </c>
      <c r="BU128" s="1">
        <v>6.5000000000000002E-2</v>
      </c>
      <c r="BV128" s="1">
        <v>0.14499999999999999</v>
      </c>
      <c r="BW128" s="1">
        <v>0.245</v>
      </c>
      <c r="BX128" s="1">
        <v>0.36</v>
      </c>
      <c r="BY128" s="1">
        <v>0.39500000000000002</v>
      </c>
      <c r="BZ128" s="1">
        <v>0.64500000000000002</v>
      </c>
      <c r="CA128" s="20">
        <v>0.81499999999999995</v>
      </c>
      <c r="CB128" s="1">
        <v>0</v>
      </c>
      <c r="CC128" s="1">
        <v>6.5000000000000002E-2</v>
      </c>
      <c r="CD128" s="1">
        <v>0.14499999999999999</v>
      </c>
      <c r="CE128" s="1">
        <v>0.245</v>
      </c>
      <c r="CF128" s="1">
        <v>0.36</v>
      </c>
      <c r="CG128" s="1">
        <v>0.39500000000000002</v>
      </c>
      <c r="CH128" s="1">
        <v>0.64500000000000002</v>
      </c>
      <c r="CI128" s="20">
        <v>0.81499999999999995</v>
      </c>
      <c r="CJ128" s="1">
        <v>0</v>
      </c>
      <c r="CK128" s="1">
        <v>6.5000000000000002E-2</v>
      </c>
      <c r="CL128" s="1">
        <v>0.14499999999999999</v>
      </c>
      <c r="CM128" s="1">
        <v>0.245</v>
      </c>
      <c r="CN128" s="1">
        <v>0.36</v>
      </c>
      <c r="CO128" s="1">
        <v>0.39500000000000002</v>
      </c>
      <c r="CP128" s="1">
        <v>0.64500000000000002</v>
      </c>
      <c r="CQ128" s="20">
        <v>0.81499999999999995</v>
      </c>
    </row>
    <row r="129" spans="3:160" s="2" customFormat="1" x14ac:dyDescent="0.4">
      <c r="C129" s="2" t="s">
        <v>30</v>
      </c>
      <c r="D129" s="2" t="s">
        <v>10</v>
      </c>
      <c r="E129" s="2">
        <v>0.27</v>
      </c>
      <c r="F129" s="2">
        <v>0.161</v>
      </c>
      <c r="G129" s="2">
        <v>0.109</v>
      </c>
      <c r="H129" s="2">
        <v>2.1000000000000001E-2</v>
      </c>
      <c r="I129" s="2">
        <v>4781</v>
      </c>
      <c r="J129" s="2">
        <v>4309</v>
      </c>
      <c r="K129" s="2">
        <v>56</v>
      </c>
      <c r="L129" s="2">
        <v>5611</v>
      </c>
      <c r="M129" s="2">
        <v>6281</v>
      </c>
      <c r="N129" s="2">
        <v>74.5</v>
      </c>
      <c r="O129" s="2">
        <v>92</v>
      </c>
      <c r="P129" s="2">
        <v>89.5</v>
      </c>
      <c r="Q129" s="2">
        <v>94</v>
      </c>
      <c r="R129" s="2">
        <v>50.5</v>
      </c>
      <c r="S129" s="2">
        <v>93.5</v>
      </c>
      <c r="T129" s="6">
        <f t="shared" ref="T129" si="2764">(N124*O124*P124*Q124*R124*S124)/(I124*J124*K124*(F124*H124 + F125*H125 + F126*H126 + F127*H127 + F128*H128 + F129*H129))</f>
        <v>6491.9393936244696</v>
      </c>
      <c r="U129" s="2">
        <v>1.399</v>
      </c>
      <c r="V129" s="2">
        <v>5.7000000000000002E-2</v>
      </c>
      <c r="W129" s="2">
        <v>4.0199999999999996</v>
      </c>
      <c r="X129" s="2">
        <f t="shared" ref="X129" si="2765">H125</f>
        <v>2.1000000000000001E-2</v>
      </c>
      <c r="Y129" s="2">
        <f t="shared" ref="Y129" si="2766">H126</f>
        <v>5.7000000000000002E-2</v>
      </c>
      <c r="Z129" s="2">
        <f t="shared" ref="Z129" si="2767">H127</f>
        <v>2.1000000000000001E-2</v>
      </c>
      <c r="AA129" s="2">
        <f t="shared" ref="AA129" si="2768">H128</f>
        <v>2.1000000000000001E-2</v>
      </c>
      <c r="AB129" s="2">
        <f t="shared" ref="AB129" si="2769">H129</f>
        <v>2.1000000000000001E-2</v>
      </c>
      <c r="AC129" s="1">
        <f t="shared" si="1193"/>
        <v>4572.2940830985608</v>
      </c>
      <c r="AE129" s="2" t="s">
        <v>99</v>
      </c>
      <c r="AF129" s="23">
        <f>($O129*$Q129*$S129)^(1/3)/(AF124*((1-AF$2)*$H124+AF$2*$H125) + AF126*((1-AF$2)*$H126+AF$2*$H127) + AF128*((1-AF$2)*$H128+AF$2*$H129))</f>
        <v>1693.8686925486315</v>
      </c>
      <c r="AG129" s="23">
        <f t="shared" ref="AG129" si="2770">($O129*$Q129*$S129)^(1/3)/(AG124*((1-AG$2)*$H124+AG$2*$H125) + AG126*((1-AG$2)*$H126+AG$2*$H127) + AG128*((1-AG$2)*$H128+AG$2*$H129))</f>
        <v>1756.7938542367481</v>
      </c>
      <c r="AH129" s="23">
        <f t="shared" ref="AH129" si="2771">($O129*$Q129*$S129)^(1/3)/(AH124*((1-AH$2)*$H124+AH$2*$H125) + AH126*((1-AH$2)*$H126+AH$2*$H127) + AH128*((1-AH$2)*$H128+AH$2*$H129))</f>
        <v>1845.1728677000344</v>
      </c>
      <c r="AI129" s="23">
        <f t="shared" ref="AI129" si="2772">($O129*$Q129*$S129)^(1/3)/(AI124*((1-AI$2)*$H124+AI$2*$H125) + AI126*((1-AI$2)*$H126+AI$2*$H127) + AI128*((1-AI$2)*$H128+AI$2*$H129))</f>
        <v>2234.6552672145535</v>
      </c>
      <c r="AJ129" s="23">
        <f t="shared" ref="AJ129" si="2773">($O129*$Q129*$S129)^(1/3)/(AJ124*((1-AJ$2)*$H124+AJ$2*$H125) + AJ126*((1-AJ$2)*$H126+AJ$2*$H127) + AJ128*((1-AJ$2)*$H128+AJ$2*$H129))</f>
        <v>2150.5719780742093</v>
      </c>
      <c r="AK129" s="23">
        <f t="shared" ref="AK129" si="2774">($O129*$Q129*$S129)^(1/3)/(AK124*((1-AK$2)*$H124+AK$2*$H125) + AK126*((1-AK$2)*$H126+AK$2*$H127) + AK128*((1-AK$2)*$H128+AK$2*$H129))</f>
        <v>2546.1267584087113</v>
      </c>
      <c r="AL129" s="23">
        <f t="shared" ref="AL129" si="2775">($O129*$Q129*$S129)^(1/3)/(AL124*((1-AL$2)*$H124+AL$2*$H125) + AL126*((1-AL$2)*$H126+AL$2*$H127) + AL128*((1-AL$2)*$H128+AL$2*$H129))</f>
        <v>2781.8088411518288</v>
      </c>
      <c r="AM129" s="23">
        <f t="shared" ref="AM129" si="2776">($O129*$Q129*$S129)^(1/3)/(AM124*((1-AM$2)*$H124+AM$2*$H125) + AM126*((1-AM$2)*$H126+AM$2*$H127) + AM128*((1-AM$2)*$H128+AM$2*$H129))</f>
        <v>3384.045698880303</v>
      </c>
      <c r="AN129" s="23">
        <f t="shared" ref="AN129" si="2777">($O129*$Q129*$S129)^(1/3)/(AN124*((1-AN$2)*$H124+AN$2*$H125) + AN126*((1-AN$2)*$H126+AN$2*$H127) + AN128*((1-AN$2)*$H128+AN$2*$H129))</f>
        <v>1835.7197653236401</v>
      </c>
      <c r="AO129" s="23">
        <f t="shared" ref="AO129" si="2778">($O129*$Q129*$S129)^(1/3)/(AO124*((1-AO$2)*$H124+AO$2*$H125) + AO126*((1-AO$2)*$H126+AO$2*$H127) + AO128*((1-AO$2)*$H128+AO$2*$H129))</f>
        <v>1900.263187377675</v>
      </c>
      <c r="AP129" s="23">
        <f t="shared" ref="AP129" si="2779">($O129*$Q129*$S129)^(1/3)/(AP124*((1-AP$2)*$H124+AP$2*$H125) + AP126*((1-AP$2)*$H126+AP$2*$H127) + AP128*((1-AP$2)*$H128+AP$2*$H129))</f>
        <v>1990.4981564548723</v>
      </c>
      <c r="AQ129" s="23">
        <f t="shared" ref="AQ129" si="2780">($O129*$Q129*$S129)^(1/3)/(AQ124*((1-AQ$2)*$H124+AQ$2*$H125) + AQ126*((1-AQ$2)*$H126+AQ$2*$H127) + AQ128*((1-AQ$2)*$H128+AQ$2*$H129))</f>
        <v>2398.5525205850668</v>
      </c>
      <c r="AR129" s="23">
        <f t="shared" ref="AR129" si="2781">($O129*$Q129*$S129)^(1/3)/(AR124*((1-AR$2)*$H124+AR$2*$H125) + AR126*((1-AR$2)*$H126+AR$2*$H127) + AR128*((1-AR$2)*$H128+AR$2*$H129))</f>
        <v>2298.6128322273557</v>
      </c>
      <c r="AS129" s="23">
        <f t="shared" ref="AS129" si="2782">($O129*$Q129*$S129)^(1/3)/(AS124*((1-AS$2)*$H124+AS$2*$H125) + AS126*((1-AS$2)*$H126+AS$2*$H127) + AS128*((1-AS$2)*$H128+AS$2*$H129))</f>
        <v>2709.8942832469111</v>
      </c>
      <c r="AT129" s="23">
        <f t="shared" ref="AT129" si="2783">($O129*$Q129*$S129)^(1/3)/(AT124*((1-AT$2)*$H124+AT$2*$H125) + AT126*((1-AT$2)*$H126+AT$2*$H127) + AT128*((1-AT$2)*$H128+AT$2*$H129))</f>
        <v>2917.8335540907401</v>
      </c>
      <c r="AU129" s="23">
        <f t="shared" ref="AU129" si="2784">($O129*$Q129*$S129)^(1/3)/(AU124*((1-AU$2)*$H124+AU$2*$H125) + AU126*((1-AU$2)*$H126+AU$2*$H127) + AU128*((1-AU$2)*$H128+AU$2*$H129))</f>
        <v>3487.4466553806465</v>
      </c>
      <c r="AV129" s="23">
        <f t="shared" ref="AV129" si="2785">($O129*$Q129*$S129)^(1/3)/(AV124*((1-AV$2)*$H124+AV$2*$H125) + AV126*((1-AV$2)*$H126+AV$2*$H127) + AV128*((1-AV$2)*$H128+AV$2*$H129))</f>
        <v>2003.5006040897795</v>
      </c>
      <c r="AW129" s="23">
        <f t="shared" ref="AW129" si="2786">($O129*$Q129*$S129)^(1/3)/(AW124*((1-AW$2)*$H124+AW$2*$H125) + AW126*((1-AW$2)*$H126+AW$2*$H127) + AW128*((1-AW$2)*$H128+AW$2*$H129))</f>
        <v>2069.2493328929922</v>
      </c>
      <c r="AX129" s="23">
        <f t="shared" ref="AX129" si="2787">($O129*$Q129*$S129)^(1/3)/(AX124*((1-AX$2)*$H124+AX$2*$H125) + AX126*((1-AX$2)*$H126+AX$2*$H127) + AX128*((1-AX$2)*$H128+AX$2*$H129))</f>
        <v>2160.6720725963874</v>
      </c>
      <c r="AY129" s="23">
        <f t="shared" ref="AY129" si="2788">($O129*$Q129*$S129)^(1/3)/(AY124*((1-AY$2)*$H124+AY$2*$H125) + AY126*((1-AY$2)*$H126+AY$2*$H127) + AY128*((1-AY$2)*$H128+AY$2*$H129))</f>
        <v>2588.3941957400771</v>
      </c>
      <c r="AZ129" s="23">
        <f t="shared" ref="AZ129" si="2789">($O129*$Q129*$S129)^(1/3)/(AZ124*((1-AZ$2)*$H124+AZ$2*$H125) + AZ126*((1-AZ$2)*$H126+AZ$2*$H127) + AZ128*((1-AZ$2)*$H128+AZ$2*$H129))</f>
        <v>2468.5420797608572</v>
      </c>
      <c r="BA129" s="23">
        <f t="shared" ref="BA129" si="2790">($O129*$Q129*$S129)^(1/3)/(BA124*((1-BA$2)*$H124+BA$2*$H125) + BA126*((1-BA$2)*$H126+BA$2*$H127) + BA128*((1-BA$2)*$H128+BA$2*$H129))</f>
        <v>2896.1771381106623</v>
      </c>
      <c r="BB129" s="23">
        <f t="shared" ref="BB129" si="2791">($O129*$Q129*$S129)^(1/3)/(BB124*((1-BB$2)*$H124+BB$2*$H125) + BB126*((1-BB$2)*$H126+BB$2*$H127) + BB128*((1-BB$2)*$H128+BB$2*$H129))</f>
        <v>3067.8448370848682</v>
      </c>
      <c r="BC129" s="23">
        <f t="shared" ref="BC129" si="2792">($O129*$Q129*$S129)^(1/3)/(BC124*((1-BC$2)*$H124+BC$2*$H125) + BC126*((1-BC$2)*$H126+BC$2*$H127) + BC128*((1-BC$2)*$H128+BC$2*$H129))</f>
        <v>3597.3656951510666</v>
      </c>
      <c r="BD129" s="23">
        <f t="shared" ref="BD129" si="2793">($O129*$Q129*$S129)^(1/3)/(BD124*((1-BD$2)*$H124+BD$2*$H125) + BD126*((1-BD$2)*$H126+BD$2*$H127) + BD128*((1-BD$2)*$H128+BD$2*$H129))</f>
        <v>2205.0361678147865</v>
      </c>
      <c r="BE129" s="23">
        <f t="shared" ref="BE129" si="2794">($O129*$Q129*$S129)^(1/3)/(BE124*((1-BE$2)*$H124+BE$2*$H125) + BE126*((1-BE$2)*$H126+BE$2*$H127) + BE128*((1-BE$2)*$H128+BE$2*$H129))</f>
        <v>2271.2242106396402</v>
      </c>
      <c r="BF129" s="23">
        <f t="shared" ref="BF129" si="2795">($O129*$Q129*$S129)^(1/3)/(BF124*((1-BF$2)*$H124+BF$2*$H125) + BF126*((1-BF$2)*$H126+BF$2*$H127) + BF128*((1-BF$2)*$H128+BF$2*$H129))</f>
        <v>2362.6635749608431</v>
      </c>
      <c r="BG129" s="23">
        <f t="shared" ref="BG129" si="2796">($O129*$Q129*$S129)^(1/3)/(BG124*((1-BG$2)*$H124+BG$2*$H125) + BG126*((1-BG$2)*$H126+BG$2*$H127) + BG128*((1-BG$2)*$H128+BG$2*$H129))</f>
        <v>2810.8701667787968</v>
      </c>
      <c r="BH129" s="23">
        <f t="shared" ref="BH129" si="2797">($O129*$Q129*$S129)^(1/3)/(BH124*((1-BH$2)*$H124+BH$2*$H125) + BH126*((1-BH$2)*$H126+BH$2*$H127) + BH128*((1-BH$2)*$H128+BH$2*$H129))</f>
        <v>2665.6016620936975</v>
      </c>
      <c r="BI129" s="23">
        <f t="shared" ref="BI129" si="2798">($O129*$Q129*$S129)^(1/3)/(BI124*((1-BI$2)*$H124+BI$2*$H125) + BI126*((1-BI$2)*$H126+BI$2*$H127) + BI128*((1-BI$2)*$H128+BI$2*$H129))</f>
        <v>3109.9612965633128</v>
      </c>
      <c r="BJ129" s="23">
        <f t="shared" ref="BJ129" si="2799">($O129*$Q129*$S129)^(1/3)/(BJ124*((1-BJ$2)*$H124+BJ$2*$H125) + BJ126*((1-BJ$2)*$H126+BJ$2*$H127) + BJ128*((1-BJ$2)*$H128+BJ$2*$H129))</f>
        <v>3234.1168354150482</v>
      </c>
      <c r="BK129" s="23">
        <f t="shared" ref="BK129" si="2800">($O129*$Q129*$S129)^(1/3)/(BK124*((1-BK$2)*$H124+BK$2*$H125) + BK126*((1-BK$2)*$H126+BK$2*$H127) + BK128*((1-BK$2)*$H128+BK$2*$H129))</f>
        <v>3714.4391962192772</v>
      </c>
      <c r="BL129" s="23">
        <f t="shared" ref="BL129" si="2801">($O129*$Q129*$S129)^(1/3)/(BL124*((1-BL$2)*$H124+BL$2*$H125) + BL126*((1-BL$2)*$H126+BL$2*$H127) + BL128*((1-BL$2)*$H128+BL$2*$H129))</f>
        <v>2451.6520550045984</v>
      </c>
      <c r="BM129" s="23">
        <f t="shared" ref="BM129" si="2802">($O129*$Q129*$S129)^(1/3)/(BM124*((1-BM$2)*$H124+BM$2*$H125) + BM126*((1-BM$2)*$H126+BM$2*$H127) + BM128*((1-BM$2)*$H128+BM$2*$H129))</f>
        <v>2516.8925595076253</v>
      </c>
      <c r="BN129" s="23">
        <f t="shared" ref="BN129" si="2803">($O129*$Q129*$S129)^(1/3)/(BN124*((1-BN$2)*$H124+BN$2*$H125) + BN126*((1-BN$2)*$H126+BN$2*$H127) + BN128*((1-BN$2)*$H128+BN$2*$H129))</f>
        <v>2606.316354460057</v>
      </c>
      <c r="BO129" s="23">
        <f t="shared" ref="BO129" si="2804">($O129*$Q129*$S129)^(1/3)/(BO124*((1-BO$2)*$H124+BO$2*$H125) + BO126*((1-BO$2)*$H126+BO$2*$H127) + BO128*((1-BO$2)*$H128+BO$2*$H129))</f>
        <v>3075.1866014251441</v>
      </c>
      <c r="BP129" s="23">
        <f t="shared" ref="BP129" si="2805">($O129*$Q129*$S129)^(1/3)/(BP124*((1-BP$2)*$H124+BP$2*$H125) + BP126*((1-BP$2)*$H126+BP$2*$H127) + BP128*((1-BP$2)*$H128+BP$2*$H129))</f>
        <v>2896.8525525551845</v>
      </c>
      <c r="BQ129" s="23">
        <f t="shared" ref="BQ129" si="2806">($O129*$Q129*$S129)^(1/3)/(BQ124*((1-BQ$2)*$H124+BQ$2*$H125) + BQ126*((1-BQ$2)*$H126+BQ$2*$H127) + BQ128*((1-BQ$2)*$H128+BQ$2*$H129))</f>
        <v>3357.8222414912507</v>
      </c>
      <c r="BR129" s="23">
        <f t="shared" ref="BR129" si="2807">($O129*$Q129*$S129)^(1/3)/(BR124*((1-BR$2)*$H124+BR$2*$H125) + BR126*((1-BR$2)*$H126+BR$2*$H127) + BR128*((1-BR$2)*$H128+BR$2*$H129))</f>
        <v>3419.4449656881902</v>
      </c>
      <c r="BS129" s="23">
        <f t="shared" ref="BS129" si="2808">($O129*$Q129*$S129)^(1/3)/(BS124*((1-BS$2)*$H124+BS$2*$H125) + BS126*((1-BS$2)*$H126+BS$2*$H127) + BS128*((1-BS$2)*$H128+BS$2*$H129))</f>
        <v>3839.3891650597466</v>
      </c>
      <c r="BT129" s="23">
        <f t="shared" ref="BT129" si="2809">($O129*$Q129*$S129)^(1/3)/(BT124*((1-BT$2)*$H124+BT$2*$H125) + BT126*((1-BT$2)*$H126+BT$2*$H127) + BT128*((1-BT$2)*$H128+BT$2*$H129))</f>
        <v>2760.3786100792513</v>
      </c>
      <c r="BU129" s="23">
        <f t="shared" ref="BU129" si="2810">($O129*$Q129*$S129)^(1/3)/(BU124*((1-BU$2)*$H124+BU$2*$H125) + BU126*((1-BU$2)*$H126+BU$2*$H127) + BU128*((1-BU$2)*$H128+BU$2*$H129))</f>
        <v>2822.1523901753112</v>
      </c>
      <c r="BV129" s="23">
        <f t="shared" ref="BV129" si="2811">($O129*$Q129*$S129)^(1/3)/(BV124*((1-BV$2)*$H124+BV$2*$H125) + BV126*((1-BV$2)*$H126+BV$2*$H127) + BV128*((1-BV$2)*$H128+BV$2*$H129))</f>
        <v>2906.001578045767</v>
      </c>
      <c r="BW129" s="23">
        <f t="shared" ref="BW129" si="2812">($O129*$Q129*$S129)^(1/3)/(BW124*((1-BW$2)*$H124+BW$2*$H125) + BW126*((1-BW$2)*$H126+BW$2*$H127) + BW128*((1-BW$2)*$H128+BW$2*$H129))</f>
        <v>3394.371839146504</v>
      </c>
      <c r="BX129" s="23">
        <f t="shared" ref="BX129" si="2813">($O129*$Q129*$S129)^(1/3)/(BX124*((1-BX$2)*$H124+BX$2*$H125) + BX126*((1-BX$2)*$H126+BX$2*$H127) + BX128*((1-BX$2)*$H128+BX$2*$H129))</f>
        <v>3172.0387500910701</v>
      </c>
      <c r="BY129" s="23">
        <f t="shared" ref="BY129" si="2814">($O129*$Q129*$S129)^(1/3)/(BY124*((1-BY$2)*$H124+BY$2*$H125) + BY126*((1-BY$2)*$H126+BY$2*$H127) + BY128*((1-BY$2)*$H128+BY$2*$H129))</f>
        <v>3648.6132311225238</v>
      </c>
      <c r="BZ129" s="23">
        <f t="shared" ref="BZ129" si="2815">($O129*$Q129*$S129)^(1/3)/(BZ124*((1-BZ$2)*$H124+BZ$2*$H125) + BZ126*((1-BZ$2)*$H126+BZ$2*$H127) + BZ128*((1-BZ$2)*$H128+BZ$2*$H129))</f>
        <v>3627.3043496442201</v>
      </c>
      <c r="CA129" s="23">
        <f t="shared" ref="CA129" si="2816">($O129*$Q129*$S129)^(1/3)/(CA124*((1-CA$2)*$H124+CA$2*$H125) + CA126*((1-CA$2)*$H126+CA$2*$H127) + CA128*((1-CA$2)*$H128+CA$2*$H129))</f>
        <v>3973.0381402068233</v>
      </c>
      <c r="CB129" s="23">
        <f t="shared" ref="CB129" si="2817">($O129*$Q129*$S129)^(1/3)/(CB124*((1-CB$2)*$H124+CB$2*$H125) + CB126*((1-CB$2)*$H126+CB$2*$H127) + CB128*((1-CB$2)*$H128+CB$2*$H129))</f>
        <v>3158.0602742432116</v>
      </c>
      <c r="CC129" s="23">
        <f t="shared" ref="CC129" si="2818">($O129*$Q129*$S129)^(1/3)/(CC124*((1-CC$2)*$H124+CC$2*$H125) + CC126*((1-CC$2)*$H126+CC$2*$H127) + CC128*((1-CC$2)*$H128+CC$2*$H129))</f>
        <v>3211.6789826829181</v>
      </c>
      <c r="CD129" s="23">
        <f t="shared" ref="CD129" si="2819">($O129*$Q129*$S129)^(1/3)/(CD124*((1-CD$2)*$H124+CD$2*$H125) + CD126*((1-CD$2)*$H126+CD$2*$H127) + CD128*((1-CD$2)*$H128+CD$2*$H129))</f>
        <v>3283.5590127826149</v>
      </c>
      <c r="CE129" s="23">
        <f t="shared" ref="CE129" si="2820">($O129*$Q129*$S129)^(1/3)/(CE124*((1-CE$2)*$H124+CE$2*$H125) + CE126*((1-CE$2)*$H126+CE$2*$H127) + CE128*((1-CE$2)*$H128+CE$2*$H129))</f>
        <v>3787.4897079042485</v>
      </c>
      <c r="CF129" s="23">
        <f t="shared" ref="CF129" si="2821">($O129*$Q129*$S129)^(1/3)/(CF124*((1-CF$2)*$H124+CF$2*$H125) + CF126*((1-CF$2)*$H126+CF$2*$H127) + CF128*((1-CF$2)*$H128+CF$2*$H129))</f>
        <v>3504.995413475347</v>
      </c>
      <c r="CG129" s="23">
        <f t="shared" ref="CG129" si="2822">($O129*$Q129*$S129)^(1/3)/(CG124*((1-CG$2)*$H124+CG$2*$H125) + CG126*((1-CG$2)*$H126+CG$2*$H127) + CG128*((1-CG$2)*$H128+CG$2*$H129))</f>
        <v>3994.5450998038264</v>
      </c>
      <c r="CH129" s="23">
        <f t="shared" ref="CH129" si="2823">($O129*$Q129*$S129)^(1/3)/(CH124*((1-CH$2)*$H124+CH$2*$H125) + CH126*((1-CH$2)*$H126+CH$2*$H127) + CH128*((1-CH$2)*$H128+CH$2*$H129))</f>
        <v>3862.0697726261683</v>
      </c>
      <c r="CI129" s="23">
        <f t="shared" ref="CI129" si="2824">($O129*$Q129*$S129)^(1/3)/(CI124*((1-CI$2)*$H124+CI$2*$H125) + CI126*((1-CI$2)*$H126+CI$2*$H127) + CI128*((1-CI$2)*$H128+CI$2*$H129))</f>
        <v>4116.3273208958244</v>
      </c>
      <c r="CJ129" s="23">
        <f t="shared" ref="CJ129" si="2825">($O129*$Q129*$S129)^(1/3)/(CJ124*((1-CJ$2)*$H124+CJ$2*$H125) + CJ126*((1-CJ$2)*$H126+CJ$2*$H127) + CJ128*((1-CJ$2)*$H128+CJ$2*$H129))</f>
        <v>3689.6149738683062</v>
      </c>
      <c r="CK129" s="23">
        <f t="shared" ref="CK129" si="2826">($O129*$Q129*$S129)^(1/3)/(CK124*((1-CK$2)*$H124+CK$2*$H125) + CK126*((1-CK$2)*$H126+CK$2*$H127) + CK128*((1-CK$2)*$H128+CK$2*$H129))</f>
        <v>3725.9522307723737</v>
      </c>
      <c r="CL129" s="23">
        <f t="shared" ref="CL129" si="2827">($O129*$Q129*$S129)^(1/3)/(CL124*((1-CL$2)*$H124+CL$2*$H125) + CL126*((1-CL$2)*$H126+CL$2*$H127) + CL128*((1-CL$2)*$H128+CL$2*$H129))</f>
        <v>3773.8732326770869</v>
      </c>
      <c r="CM129" s="23">
        <f t="shared" ref="CM129" si="2828">($O129*$Q129*$S129)^(1/3)/(CM124*((1-CM$2)*$H124+CM$2*$H125) + CM126*((1-CM$2)*$H126+CM$2*$H127) + CM128*((1-CM$2)*$H128+CM$2*$H129))</f>
        <v>4283.5923025541579</v>
      </c>
      <c r="CN129" s="23">
        <f t="shared" ref="CN129" si="2829">($O129*$Q129*$S129)^(1/3)/(CN124*((1-CN$2)*$H124+CN$2*$H125) + CN126*((1-CN$2)*$H126+CN$2*$H127) + CN128*((1-CN$2)*$H128+CN$2*$H129))</f>
        <v>3916.0478390153312</v>
      </c>
      <c r="CO129" s="23">
        <f t="shared" ref="CO129" si="2830">($O129*$Q129*$S129)^(1/3)/(CO124*((1-CO$2)*$H124+CO$2*$H125) + CO126*((1-CO$2)*$H126+CO$2*$H127) + CO128*((1-CO$2)*$H128+CO$2*$H129))</f>
        <v>4412.944666477576</v>
      </c>
      <c r="CP129" s="23">
        <f t="shared" ref="CP129" si="2831">($O129*$Q129*$S129)^(1/3)/(CP124*((1-CP$2)*$H124+CP$2*$H125) + CP126*((1-CP$2)*$H126+CP$2*$H127) + CP128*((1-CP$2)*$H128+CP$2*$H129))</f>
        <v>4129.3269694797382</v>
      </c>
      <c r="CQ129" s="23">
        <f t="shared" ref="CQ129" si="2832">($O129*$Q129*$S129)^(1/3)/(CQ124*((1-CQ$2)*$H124+CQ$2*$H125) + CQ126*((1-CQ$2)*$H126+CQ$2*$H127) + CQ128*((1-CQ$2)*$H128+CQ$2*$H129))</f>
        <v>4270.33876537786</v>
      </c>
      <c r="CS129" s="2">
        <f t="shared" ref="CS129" si="2833">100*$AF129/AF129</f>
        <v>100</v>
      </c>
      <c r="CT129" s="2">
        <f t="shared" ref="CT129" si="2834">100*$AF129/AG129</f>
        <v>96.418181818181807</v>
      </c>
      <c r="CU129" s="2">
        <f t="shared" ref="CU129" si="2835">100*$AF129/AH129</f>
        <v>91.8</v>
      </c>
      <c r="CV129" s="2">
        <f t="shared" ref="CV129" si="2836">100*$AF129/AI129</f>
        <v>75.8</v>
      </c>
      <c r="CW129" s="2">
        <f t="shared" ref="CW129" si="2837">100*$AF129/AJ129</f>
        <v>78.763636363636351</v>
      </c>
      <c r="CX129" s="2">
        <f t="shared" ref="CX129" si="2838">100*$AF129/AK129</f>
        <v>66.527272727272717</v>
      </c>
      <c r="CY129" s="2">
        <f t="shared" ref="CY129" si="2839">100*$AF129/AL129</f>
        <v>60.890909090909084</v>
      </c>
      <c r="CZ129" s="2">
        <f t="shared" ref="CZ129" si="2840">100*$AF129/AM129</f>
        <v>50.054545454545448</v>
      </c>
      <c r="DA129" s="2">
        <f t="shared" ref="DA129" si="2841">100*$AF129/AN129</f>
        <v>92.272727272727266</v>
      </c>
      <c r="DB129" s="2">
        <f t="shared" ref="DB129" si="2842">100*$AF129/AO129</f>
        <v>89.138636363636365</v>
      </c>
      <c r="DC129" s="2">
        <f t="shared" ref="DC129" si="2843">100*$AF129/AP129</f>
        <v>85.097727272727283</v>
      </c>
      <c r="DD129" s="2">
        <f t="shared" ref="DD129" si="2844">100*$AF129/AQ129</f>
        <v>70.62045454545455</v>
      </c>
      <c r="DE129" s="2">
        <f t="shared" ref="DE129" si="2845">100*$AF129/AR129</f>
        <v>73.690909090909102</v>
      </c>
      <c r="DF129" s="2">
        <f t="shared" ref="DF129" si="2846">100*$AF129/AS129</f>
        <v>62.506818181818176</v>
      </c>
      <c r="DG129" s="2">
        <f t="shared" ref="DG129" si="2847">100*$AF129/AT129</f>
        <v>58.052272727272737</v>
      </c>
      <c r="DH129" s="2">
        <f t="shared" ref="DH129" si="2848">100*$AF129/AU129</f>
        <v>48.570454545454538</v>
      </c>
      <c r="DI129" s="2">
        <f t="shared" ref="DI129" si="2849">100*$AF129/AV129</f>
        <v>84.545454545454533</v>
      </c>
      <c r="DJ129" s="2">
        <f t="shared" ref="DJ129" si="2850">100*$AF129/AW129</f>
        <v>81.859090909090895</v>
      </c>
      <c r="DK129" s="2">
        <f t="shared" ref="DK129" si="2851">100*$AF129/AX129</f>
        <v>78.395454545454541</v>
      </c>
      <c r="DL129" s="2">
        <f t="shared" ref="DL129" si="2852">100*$AF129/AY129</f>
        <v>65.440909090909102</v>
      </c>
      <c r="DM129" s="2">
        <f t="shared" ref="DM129" si="2853">100*$AF129/AZ129</f>
        <v>68.61818181818181</v>
      </c>
      <c r="DN129" s="2">
        <f t="shared" ref="DN129" si="2854">100*$AF129/BA129</f>
        <v>58.486363636363642</v>
      </c>
      <c r="DO129" s="2">
        <f t="shared" ref="DO129" si="2855">100*$AF129/BB129</f>
        <v>55.213636363636361</v>
      </c>
      <c r="DP129" s="2">
        <f t="shared" ref="DP129" si="2856">100*$AF129/BC129</f>
        <v>47.086363636363629</v>
      </c>
      <c r="DQ129" s="2">
        <f t="shared" ref="DQ129" si="2857">100*$AF129/BD129</f>
        <v>76.818181818181827</v>
      </c>
      <c r="DR129" s="2">
        <f t="shared" ref="DR129" si="2858">100*$AF129/BE129</f>
        <v>74.579545454545453</v>
      </c>
      <c r="DS129" s="2">
        <f t="shared" ref="DS129" si="2859">100*$AF129/BF129</f>
        <v>71.693181818181813</v>
      </c>
      <c r="DT129" s="2">
        <f t="shared" ref="DT129" si="2860">100*$AF129/BG129</f>
        <v>60.261363636363626</v>
      </c>
      <c r="DU129" s="2">
        <f t="shared" ref="DU129" si="2861">100*$AF129/BH129</f>
        <v>63.545454545454547</v>
      </c>
      <c r="DV129" s="2">
        <f t="shared" ref="DV129" si="2862">100*$AF129/BI129</f>
        <v>54.465909090909086</v>
      </c>
      <c r="DW129" s="2">
        <f t="shared" ref="DW129" si="2863">100*$AF129/BJ129</f>
        <v>52.375</v>
      </c>
      <c r="DX129" s="2">
        <f t="shared" ref="DX129" si="2864">100*$AF129/BK129</f>
        <v>45.60227272727272</v>
      </c>
      <c r="DY129" s="2">
        <f t="shared" ref="DY129" si="2865">100*$AF129/BL129</f>
        <v>69.090909090909079</v>
      </c>
      <c r="DZ129" s="2">
        <f t="shared" ref="DZ129" si="2866">100*$AF129/BM129</f>
        <v>67.299999999999983</v>
      </c>
      <c r="EA129" s="2">
        <f t="shared" ref="EA129" si="2867">100*$AF129/BN129</f>
        <v>64.990909090909085</v>
      </c>
      <c r="EB129" s="2">
        <f t="shared" ref="EB129" si="2868">100*$AF129/BO129</f>
        <v>55.081818181818178</v>
      </c>
      <c r="EC129" s="2">
        <f t="shared" ref="EC129" si="2869">100*$AF129/BP129</f>
        <v>58.472727272727269</v>
      </c>
      <c r="ED129" s="2">
        <f t="shared" ref="ED129" si="2870">100*$AF129/BQ129</f>
        <v>50.445454545454538</v>
      </c>
      <c r="EE129" s="2">
        <f t="shared" ref="EE129" si="2871">100*$AF129/BR129</f>
        <v>49.536363636363632</v>
      </c>
      <c r="EF129" s="2">
        <f t="shared" ref="EF129" si="2872">100*$AF129/BS129</f>
        <v>44.11818181818181</v>
      </c>
      <c r="EG129" s="2">
        <f t="shared" ref="EG129" si="2873">100*$AF129/BT129</f>
        <v>61.363636363636367</v>
      </c>
      <c r="EH129" s="2">
        <f t="shared" ref="EH129" si="2874">100*$AF129/BU129</f>
        <v>60.020454545454541</v>
      </c>
      <c r="EI129" s="2">
        <f t="shared" ref="EI129" si="2875">100*$AF129/BV129</f>
        <v>58.288636363636364</v>
      </c>
      <c r="EJ129" s="2">
        <f t="shared" ref="EJ129" si="2876">100*$AF129/BW129</f>
        <v>49.902272727272724</v>
      </c>
      <c r="EK129" s="2">
        <f t="shared" ref="EK129" si="2877">100*$AF129/BX129</f>
        <v>53.4</v>
      </c>
      <c r="EL129" s="2">
        <f t="shared" ref="EL129" si="2878">100*$AF129/BY129</f>
        <v>46.424999999999997</v>
      </c>
      <c r="EM129" s="2">
        <f t="shared" ref="EM129" si="2879">100*$AF129/BZ129</f>
        <v>46.697727272727271</v>
      </c>
      <c r="EN129" s="2">
        <f t="shared" ref="EN129" si="2880">100*$AF129/CA129</f>
        <v>42.634090909090901</v>
      </c>
      <c r="EO129" s="2">
        <f t="shared" ref="EO129" si="2881">100*$AF129/CB129</f>
        <v>53.636363636363633</v>
      </c>
      <c r="EP129" s="2">
        <f t="shared" ref="EP129" si="2882">100*$AF129/CC129</f>
        <v>52.740909090909085</v>
      </c>
      <c r="EQ129" s="2">
        <f t="shared" ref="EQ129" si="2883">100*$AF129/CD129</f>
        <v>51.586363636363629</v>
      </c>
      <c r="ER129" s="2">
        <f t="shared" ref="ER129" si="2884">100*$AF129/CE129</f>
        <v>44.722727272727262</v>
      </c>
      <c r="ES129" s="2">
        <f t="shared" ref="ES129" si="2885">100*$AF129/CF129</f>
        <v>48.327272727272735</v>
      </c>
      <c r="ET129" s="2">
        <f t="shared" ref="ET129" si="2886">100*$AF129/CG129</f>
        <v>42.404545454545449</v>
      </c>
      <c r="EU129" s="2">
        <f t="shared" ref="EU129" si="2887">100*$AF129/CH129</f>
        <v>43.859090909090902</v>
      </c>
      <c r="EV129" s="2">
        <f t="shared" ref="EV129" si="2888">100*$AF129/CI129</f>
        <v>41.149999999999991</v>
      </c>
      <c r="EW129" s="2">
        <f t="shared" ref="EW129" si="2889">100*$AF129/CJ129</f>
        <v>45.909090909090914</v>
      </c>
      <c r="EX129" s="2">
        <f t="shared" ref="EX129" si="2890">100*$AF129/CK129</f>
        <v>45.461363636363636</v>
      </c>
      <c r="EY129" s="2">
        <f t="shared" ref="EY129" si="2891">100*$AF129/CL129</f>
        <v>44.884090909090908</v>
      </c>
      <c r="EZ129" s="2">
        <f t="shared" ref="EZ129" si="2892">100*$AF129/CM129</f>
        <v>39.543181818181814</v>
      </c>
      <c r="FA129" s="2">
        <f t="shared" ref="FA129" si="2893">100*$AF129/CN129</f>
        <v>43.254545454545458</v>
      </c>
      <c r="FB129" s="2">
        <f t="shared" ref="FB129" si="2894">100*$AF129/CO129</f>
        <v>38.384090909090915</v>
      </c>
      <c r="FC129" s="2">
        <f t="shared" ref="FC129" si="2895">100*$AF129/CP129</f>
        <v>41.020454545454541</v>
      </c>
      <c r="FD129" s="2">
        <f t="shared" ref="FD129" si="2896">100*$AF129/CQ129</f>
        <v>39.665909090909089</v>
      </c>
    </row>
    <row r="130" spans="3:160" x14ac:dyDescent="0.4">
      <c r="C130" s="1" t="s">
        <v>31</v>
      </c>
      <c r="D130" s="1" t="s">
        <v>5</v>
      </c>
      <c r="E130" s="1">
        <v>0.312</v>
      </c>
      <c r="F130" s="1">
        <v>0.20300000000000001</v>
      </c>
      <c r="G130" s="1">
        <v>0.109</v>
      </c>
      <c r="H130" s="1">
        <v>5.5E-2</v>
      </c>
      <c r="I130" s="1">
        <v>4723</v>
      </c>
      <c r="J130" s="1">
        <v>4189</v>
      </c>
      <c r="K130" s="1">
        <v>56</v>
      </c>
      <c r="L130" s="1">
        <v>5552</v>
      </c>
      <c r="M130" s="1">
        <v>6161</v>
      </c>
      <c r="N130" s="1">
        <v>74.5</v>
      </c>
      <c r="O130" s="1">
        <v>92</v>
      </c>
      <c r="P130" s="1">
        <v>89.5</v>
      </c>
      <c r="Q130" s="1">
        <v>94</v>
      </c>
      <c r="R130" s="1">
        <v>50.5</v>
      </c>
      <c r="S130" s="1">
        <v>93.5</v>
      </c>
      <c r="T130" s="4">
        <v>0</v>
      </c>
      <c r="U130" s="1">
        <v>1.825</v>
      </c>
      <c r="V130" s="1">
        <v>6.7000000000000004E-2</v>
      </c>
      <c r="W130" s="1">
        <v>4.0199999999999996</v>
      </c>
      <c r="X130" s="1">
        <f t="shared" ref="X130" si="2897">H131</f>
        <v>2.8000000000000001E-2</v>
      </c>
      <c r="Y130" s="1">
        <f t="shared" ref="Y130" si="2898">H132</f>
        <v>4.9000000000000002E-2</v>
      </c>
      <c r="Z130" s="1">
        <f t="shared" ref="Z130" si="2899">H133</f>
        <v>2.8000000000000001E-2</v>
      </c>
      <c r="AA130" s="1">
        <f t="shared" ref="AA130" si="2900">H134</f>
        <v>1.9E-2</v>
      </c>
      <c r="AB130" s="1">
        <f t="shared" ref="AB130" si="2901">H135</f>
        <v>2.8000000000000001E-2</v>
      </c>
      <c r="AC130" s="1">
        <f t="shared" si="1193"/>
        <v>4598.9277102394044</v>
      </c>
      <c r="AE130" s="1" t="s">
        <v>96</v>
      </c>
      <c r="AF130" s="1">
        <v>1</v>
      </c>
      <c r="AG130" s="1">
        <v>0.81499999999999995</v>
      </c>
      <c r="AH130" s="1">
        <v>0.64500000000000002</v>
      </c>
      <c r="AI130" s="1">
        <v>0.39500000000000002</v>
      </c>
      <c r="AJ130" s="1">
        <v>0.36</v>
      </c>
      <c r="AK130" s="1">
        <v>0.245</v>
      </c>
      <c r="AL130" s="1">
        <v>0.14499999999999999</v>
      </c>
      <c r="AM130" s="20">
        <v>6.5000000000000002E-2</v>
      </c>
      <c r="AN130" s="1">
        <v>1</v>
      </c>
      <c r="AO130" s="1">
        <v>0.81499999999999995</v>
      </c>
      <c r="AP130" s="1">
        <v>0.64500000000000002</v>
      </c>
      <c r="AQ130" s="1">
        <v>0.39500000000000002</v>
      </c>
      <c r="AR130" s="1">
        <v>0.36</v>
      </c>
      <c r="AS130" s="1">
        <v>0.245</v>
      </c>
      <c r="AT130" s="1">
        <v>0.14499999999999999</v>
      </c>
      <c r="AU130" s="20">
        <v>6.5000000000000002E-2</v>
      </c>
      <c r="AV130" s="1">
        <v>1</v>
      </c>
      <c r="AW130" s="1">
        <v>0.81499999999999995</v>
      </c>
      <c r="AX130" s="1">
        <v>0.64500000000000002</v>
      </c>
      <c r="AY130" s="1">
        <v>0.39500000000000002</v>
      </c>
      <c r="AZ130" s="1">
        <v>0.36</v>
      </c>
      <c r="BA130" s="1">
        <v>0.245</v>
      </c>
      <c r="BB130" s="1">
        <v>0.14499999999999999</v>
      </c>
      <c r="BC130" s="20">
        <v>6.5000000000000002E-2</v>
      </c>
      <c r="BD130" s="1">
        <v>1</v>
      </c>
      <c r="BE130" s="1">
        <v>0.81499999999999995</v>
      </c>
      <c r="BF130" s="1">
        <v>0.64500000000000002</v>
      </c>
      <c r="BG130" s="1">
        <v>0.39500000000000002</v>
      </c>
      <c r="BH130" s="1">
        <v>0.36</v>
      </c>
      <c r="BI130" s="1">
        <v>0.245</v>
      </c>
      <c r="BJ130" s="1">
        <v>0.14499999999999999</v>
      </c>
      <c r="BK130" s="20">
        <v>6.5000000000000002E-2</v>
      </c>
      <c r="BL130" s="1">
        <v>1</v>
      </c>
      <c r="BM130" s="1">
        <v>0.81499999999999995</v>
      </c>
      <c r="BN130" s="1">
        <v>0.64500000000000002</v>
      </c>
      <c r="BO130" s="1">
        <v>0.39500000000000002</v>
      </c>
      <c r="BP130" s="1">
        <v>0.36</v>
      </c>
      <c r="BQ130" s="1">
        <v>0.245</v>
      </c>
      <c r="BR130" s="1">
        <v>0.14499999999999999</v>
      </c>
      <c r="BS130" s="20">
        <v>6.5000000000000002E-2</v>
      </c>
      <c r="BT130" s="1">
        <v>1</v>
      </c>
      <c r="BU130" s="1">
        <v>0.81499999999999995</v>
      </c>
      <c r="BV130" s="1">
        <v>0.64500000000000002</v>
      </c>
      <c r="BW130" s="1">
        <v>0.39500000000000002</v>
      </c>
      <c r="BX130" s="1">
        <v>0.36</v>
      </c>
      <c r="BY130" s="1">
        <v>0.245</v>
      </c>
      <c r="BZ130" s="1">
        <v>0.14499999999999999</v>
      </c>
      <c r="CA130" s="20">
        <v>6.5000000000000002E-2</v>
      </c>
      <c r="CB130" s="1">
        <v>1</v>
      </c>
      <c r="CC130" s="1">
        <v>0.81499999999999995</v>
      </c>
      <c r="CD130" s="1">
        <v>0.64500000000000002</v>
      </c>
      <c r="CE130" s="1">
        <v>0.39500000000000002</v>
      </c>
      <c r="CF130" s="1">
        <v>0.36</v>
      </c>
      <c r="CG130" s="1">
        <v>0.245</v>
      </c>
      <c r="CH130" s="1">
        <v>0.14499999999999999</v>
      </c>
      <c r="CI130" s="20">
        <v>6.5000000000000002E-2</v>
      </c>
      <c r="CJ130" s="1">
        <v>1</v>
      </c>
      <c r="CK130" s="1">
        <v>0.81499999999999995</v>
      </c>
      <c r="CL130" s="1">
        <v>0.64500000000000002</v>
      </c>
      <c r="CM130" s="1">
        <v>0.39500000000000002</v>
      </c>
      <c r="CN130" s="1">
        <v>0.36</v>
      </c>
      <c r="CO130" s="1">
        <v>0.245</v>
      </c>
      <c r="CP130" s="1">
        <v>0.14499999999999999</v>
      </c>
      <c r="CQ130" s="20">
        <v>6.5000000000000002E-2</v>
      </c>
    </row>
    <row r="131" spans="3:160" x14ac:dyDescent="0.4">
      <c r="C131" s="1" t="s">
        <v>31</v>
      </c>
      <c r="D131" s="1" t="s">
        <v>6</v>
      </c>
      <c r="E131" s="1">
        <v>0.27600000000000002</v>
      </c>
      <c r="F131" s="1">
        <v>0.16700000000000001</v>
      </c>
      <c r="G131" s="1">
        <v>0.109</v>
      </c>
      <c r="H131" s="1">
        <v>2.8000000000000001E-2</v>
      </c>
      <c r="I131" s="1">
        <v>4723</v>
      </c>
      <c r="J131" s="1">
        <v>4189</v>
      </c>
      <c r="K131" s="1">
        <v>56</v>
      </c>
      <c r="L131" s="1">
        <v>5552</v>
      </c>
      <c r="M131" s="1">
        <v>6161</v>
      </c>
      <c r="N131" s="1">
        <v>74.5</v>
      </c>
      <c r="O131" s="1">
        <v>92</v>
      </c>
      <c r="P131" s="1">
        <v>89.5</v>
      </c>
      <c r="Q131" s="1">
        <v>94</v>
      </c>
      <c r="R131" s="1">
        <v>50.5</v>
      </c>
      <c r="S131" s="1">
        <v>93.5</v>
      </c>
      <c r="T131" s="4">
        <v>0</v>
      </c>
      <c r="U131" s="1">
        <v>1.825</v>
      </c>
      <c r="V131" s="1">
        <v>6.7000000000000004E-2</v>
      </c>
      <c r="W131" s="1">
        <v>4.0199999999999996</v>
      </c>
      <c r="X131" s="1">
        <f t="shared" ref="X131" si="2902">H131</f>
        <v>2.8000000000000001E-2</v>
      </c>
      <c r="Y131" s="1">
        <f t="shared" ref="Y131" si="2903">H132</f>
        <v>4.9000000000000002E-2</v>
      </c>
      <c r="Z131" s="1">
        <f t="shared" ref="Z131" si="2904">H133</f>
        <v>2.8000000000000001E-2</v>
      </c>
      <c r="AA131" s="1">
        <f t="shared" ref="AA131" si="2905">H134</f>
        <v>1.9E-2</v>
      </c>
      <c r="AB131" s="1">
        <f t="shared" ref="AB131" si="2906">H135</f>
        <v>2.8000000000000001E-2</v>
      </c>
      <c r="AC131" s="1">
        <f t="shared" si="1193"/>
        <v>4598.9277102394044</v>
      </c>
      <c r="CQ131" s="20"/>
    </row>
    <row r="132" spans="3:160" x14ac:dyDescent="0.4">
      <c r="C132" s="1" t="s">
        <v>31</v>
      </c>
      <c r="D132" s="1" t="s">
        <v>7</v>
      </c>
      <c r="E132" s="1">
        <v>0.30599999999999999</v>
      </c>
      <c r="F132" s="1">
        <v>0.19600000000000001</v>
      </c>
      <c r="G132" s="1">
        <v>0.109</v>
      </c>
      <c r="H132" s="1">
        <v>4.9000000000000002E-2</v>
      </c>
      <c r="I132" s="1">
        <v>4723</v>
      </c>
      <c r="J132" s="1">
        <v>4189</v>
      </c>
      <c r="K132" s="1">
        <v>56</v>
      </c>
      <c r="L132" s="1">
        <v>5552</v>
      </c>
      <c r="M132" s="1">
        <v>6161</v>
      </c>
      <c r="N132" s="1">
        <v>74.5</v>
      </c>
      <c r="O132" s="1">
        <v>92</v>
      </c>
      <c r="P132" s="1">
        <v>89.5</v>
      </c>
      <c r="Q132" s="1">
        <v>94</v>
      </c>
      <c r="R132" s="1">
        <v>50.5</v>
      </c>
      <c r="S132" s="1">
        <v>93.5</v>
      </c>
      <c r="T132" s="4">
        <v>0</v>
      </c>
      <c r="U132" s="1">
        <v>1.825</v>
      </c>
      <c r="V132" s="1">
        <v>6.7000000000000004E-2</v>
      </c>
      <c r="W132" s="1">
        <v>4.0199999999999996</v>
      </c>
      <c r="X132" s="1">
        <f t="shared" ref="X132" si="2907">H131</f>
        <v>2.8000000000000001E-2</v>
      </c>
      <c r="Y132" s="1">
        <f t="shared" ref="Y132" si="2908">H132</f>
        <v>4.9000000000000002E-2</v>
      </c>
      <c r="Z132" s="1">
        <f t="shared" ref="Z132" si="2909">H133</f>
        <v>2.8000000000000001E-2</v>
      </c>
      <c r="AA132" s="1">
        <f t="shared" ref="AA132" si="2910">H134</f>
        <v>1.9E-2</v>
      </c>
      <c r="AB132" s="1">
        <f t="shared" ref="AB132" si="2911">H135</f>
        <v>2.8000000000000001E-2</v>
      </c>
      <c r="AC132" s="1">
        <f t="shared" si="1193"/>
        <v>4598.9277102394044</v>
      </c>
      <c r="AE132" s="1" t="s">
        <v>97</v>
      </c>
      <c r="AF132" s="1">
        <v>0</v>
      </c>
      <c r="AG132" s="1">
        <v>0.12</v>
      </c>
      <c r="AH132" s="1">
        <v>0.21</v>
      </c>
      <c r="AI132" s="1">
        <v>0.26</v>
      </c>
      <c r="AJ132" s="1">
        <v>0.28000000000000003</v>
      </c>
      <c r="AK132" s="1">
        <v>0.26</v>
      </c>
      <c r="AL132" s="1">
        <v>0.21</v>
      </c>
      <c r="AM132" s="20">
        <v>0.12</v>
      </c>
      <c r="AN132" s="1">
        <v>0</v>
      </c>
      <c r="AO132" s="1">
        <v>0.12</v>
      </c>
      <c r="AP132" s="1">
        <v>0.21</v>
      </c>
      <c r="AQ132" s="1">
        <v>0.26</v>
      </c>
      <c r="AR132" s="1">
        <v>0.28000000000000003</v>
      </c>
      <c r="AS132" s="1">
        <v>0.26</v>
      </c>
      <c r="AT132" s="1">
        <v>0.21</v>
      </c>
      <c r="AU132" s="20">
        <v>0.12</v>
      </c>
      <c r="AV132" s="1">
        <v>0</v>
      </c>
      <c r="AW132" s="1">
        <v>0.12</v>
      </c>
      <c r="AX132" s="1">
        <v>0.21</v>
      </c>
      <c r="AY132" s="1">
        <v>0.26</v>
      </c>
      <c r="AZ132" s="1">
        <v>0.28000000000000003</v>
      </c>
      <c r="BA132" s="1">
        <v>0.26</v>
      </c>
      <c r="BB132" s="1">
        <v>0.21</v>
      </c>
      <c r="BC132" s="20">
        <v>0.12</v>
      </c>
      <c r="BD132" s="1">
        <v>0</v>
      </c>
      <c r="BE132" s="1">
        <v>0.12</v>
      </c>
      <c r="BF132" s="1">
        <v>0.21</v>
      </c>
      <c r="BG132" s="1">
        <v>0.26</v>
      </c>
      <c r="BH132" s="1">
        <v>0.28000000000000003</v>
      </c>
      <c r="BI132" s="1">
        <v>0.26</v>
      </c>
      <c r="BJ132" s="1">
        <v>0.21</v>
      </c>
      <c r="BK132" s="20">
        <v>0.12</v>
      </c>
      <c r="BL132" s="1">
        <v>0</v>
      </c>
      <c r="BM132" s="1">
        <v>0.12</v>
      </c>
      <c r="BN132" s="1">
        <v>0.21</v>
      </c>
      <c r="BO132" s="1">
        <v>0.26</v>
      </c>
      <c r="BP132" s="1">
        <v>0.28000000000000003</v>
      </c>
      <c r="BQ132" s="1">
        <v>0.26</v>
      </c>
      <c r="BR132" s="1">
        <v>0.21</v>
      </c>
      <c r="BS132" s="20">
        <v>0.12</v>
      </c>
      <c r="BT132" s="1">
        <v>0</v>
      </c>
      <c r="BU132" s="1">
        <v>0.12</v>
      </c>
      <c r="BV132" s="1">
        <v>0.21</v>
      </c>
      <c r="BW132" s="1">
        <v>0.26</v>
      </c>
      <c r="BX132" s="1">
        <v>0.28000000000000003</v>
      </c>
      <c r="BY132" s="1">
        <v>0.26</v>
      </c>
      <c r="BZ132" s="1">
        <v>0.21</v>
      </c>
      <c r="CA132" s="20">
        <v>0.12</v>
      </c>
      <c r="CB132" s="1">
        <v>0</v>
      </c>
      <c r="CC132" s="1">
        <v>0.12</v>
      </c>
      <c r="CD132" s="1">
        <v>0.21</v>
      </c>
      <c r="CE132" s="1">
        <v>0.26</v>
      </c>
      <c r="CF132" s="1">
        <v>0.28000000000000003</v>
      </c>
      <c r="CG132" s="1">
        <v>0.26</v>
      </c>
      <c r="CH132" s="1">
        <v>0.21</v>
      </c>
      <c r="CI132" s="20">
        <v>0.12</v>
      </c>
      <c r="CJ132" s="1">
        <v>0</v>
      </c>
      <c r="CK132" s="1">
        <v>0.12</v>
      </c>
      <c r="CL132" s="1">
        <v>0.21</v>
      </c>
      <c r="CM132" s="1">
        <v>0.26</v>
      </c>
      <c r="CN132" s="1">
        <v>0.28000000000000003</v>
      </c>
      <c r="CO132" s="1">
        <v>0.26</v>
      </c>
      <c r="CP132" s="1">
        <v>0.21</v>
      </c>
      <c r="CQ132" s="20">
        <v>0.12</v>
      </c>
    </row>
    <row r="133" spans="3:160" x14ac:dyDescent="0.4">
      <c r="C133" s="1" t="s">
        <v>31</v>
      </c>
      <c r="D133" s="1" t="s">
        <v>8</v>
      </c>
      <c r="E133" s="1">
        <v>0.27600000000000002</v>
      </c>
      <c r="F133" s="1">
        <v>0.16700000000000001</v>
      </c>
      <c r="G133" s="1">
        <v>0.109</v>
      </c>
      <c r="H133" s="1">
        <v>2.8000000000000001E-2</v>
      </c>
      <c r="I133" s="1">
        <v>4723</v>
      </c>
      <c r="J133" s="1">
        <v>4189</v>
      </c>
      <c r="K133" s="1">
        <v>56</v>
      </c>
      <c r="L133" s="1">
        <v>5552</v>
      </c>
      <c r="M133" s="1">
        <v>6161</v>
      </c>
      <c r="N133" s="1">
        <v>74.5</v>
      </c>
      <c r="O133" s="1">
        <v>92</v>
      </c>
      <c r="P133" s="1">
        <v>89.5</v>
      </c>
      <c r="Q133" s="1">
        <v>94</v>
      </c>
      <c r="R133" s="1">
        <v>50.5</v>
      </c>
      <c r="S133" s="1">
        <v>93.5</v>
      </c>
      <c r="T133" s="4">
        <v>0</v>
      </c>
      <c r="U133" s="1">
        <v>1.825</v>
      </c>
      <c r="V133" s="1">
        <v>6.7000000000000004E-2</v>
      </c>
      <c r="W133" s="1">
        <v>4.0199999999999996</v>
      </c>
      <c r="X133" s="1">
        <f t="shared" ref="X133" si="2912">H131</f>
        <v>2.8000000000000001E-2</v>
      </c>
      <c r="Y133" s="1">
        <f t="shared" ref="Y133" si="2913">H132</f>
        <v>4.9000000000000002E-2</v>
      </c>
      <c r="Z133" s="1">
        <f t="shared" ref="Z133" si="2914">H133</f>
        <v>2.8000000000000001E-2</v>
      </c>
      <c r="AA133" s="1">
        <f t="shared" ref="AA133" si="2915">H134</f>
        <v>1.9E-2</v>
      </c>
      <c r="AB133" s="1">
        <f t="shared" ref="AB133" si="2916">H135</f>
        <v>2.8000000000000001E-2</v>
      </c>
      <c r="AC133" s="1">
        <f t="shared" ref="AC133:AC196" si="2917">1000000*(O133*Q133*S133)^(1/3)/(I133+0.5*J133+240*K133)</f>
        <v>4598.9277102394044</v>
      </c>
      <c r="CQ133" s="20"/>
    </row>
    <row r="134" spans="3:160" x14ac:dyDescent="0.4">
      <c r="C134" s="1" t="s">
        <v>31</v>
      </c>
      <c r="D134" s="1" t="s">
        <v>9</v>
      </c>
      <c r="E134" s="1">
        <v>0.26600000000000001</v>
      </c>
      <c r="F134" s="1">
        <v>0.158</v>
      </c>
      <c r="G134" s="1">
        <v>0.109</v>
      </c>
      <c r="H134" s="1">
        <v>1.9E-2</v>
      </c>
      <c r="I134" s="1">
        <v>4723</v>
      </c>
      <c r="J134" s="1">
        <v>4189</v>
      </c>
      <c r="K134" s="1">
        <v>56</v>
      </c>
      <c r="L134" s="1">
        <v>5552</v>
      </c>
      <c r="M134" s="1">
        <v>6161</v>
      </c>
      <c r="N134" s="1">
        <v>74.5</v>
      </c>
      <c r="O134" s="1">
        <v>92</v>
      </c>
      <c r="P134" s="1">
        <v>89.5</v>
      </c>
      <c r="Q134" s="1">
        <v>94</v>
      </c>
      <c r="R134" s="1">
        <v>50.5</v>
      </c>
      <c r="S134" s="1">
        <v>93.5</v>
      </c>
      <c r="T134" s="4">
        <v>0</v>
      </c>
      <c r="U134" s="1">
        <v>1.825</v>
      </c>
      <c r="V134" s="1">
        <v>6.7000000000000004E-2</v>
      </c>
      <c r="W134" s="1">
        <v>4.0199999999999996</v>
      </c>
      <c r="X134" s="1">
        <f t="shared" ref="X134" si="2918">H131</f>
        <v>2.8000000000000001E-2</v>
      </c>
      <c r="Y134" s="1">
        <f t="shared" ref="Y134" si="2919">H132</f>
        <v>4.9000000000000002E-2</v>
      </c>
      <c r="Z134" s="1">
        <f t="shared" ref="Z134" si="2920">H133</f>
        <v>2.8000000000000001E-2</v>
      </c>
      <c r="AA134" s="1">
        <f t="shared" ref="AA134" si="2921">H134</f>
        <v>1.9E-2</v>
      </c>
      <c r="AB134" s="1">
        <f t="shared" ref="AB134" si="2922">H135</f>
        <v>2.8000000000000001E-2</v>
      </c>
      <c r="AC134" s="1">
        <f t="shared" si="2917"/>
        <v>4598.9277102394044</v>
      </c>
      <c r="AE134" s="1" t="s">
        <v>98</v>
      </c>
      <c r="AF134" s="1">
        <v>0</v>
      </c>
      <c r="AG134" s="1">
        <v>6.5000000000000002E-2</v>
      </c>
      <c r="AH134" s="1">
        <v>0.14499999999999999</v>
      </c>
      <c r="AI134" s="1">
        <v>0.245</v>
      </c>
      <c r="AJ134" s="1">
        <v>0.36</v>
      </c>
      <c r="AK134" s="1">
        <v>0.39500000000000002</v>
      </c>
      <c r="AL134" s="1">
        <v>0.64500000000000002</v>
      </c>
      <c r="AM134" s="20">
        <v>0.81499999999999995</v>
      </c>
      <c r="AN134" s="1">
        <v>0</v>
      </c>
      <c r="AO134" s="1">
        <v>6.5000000000000002E-2</v>
      </c>
      <c r="AP134" s="1">
        <v>0.14499999999999999</v>
      </c>
      <c r="AQ134" s="1">
        <v>0.245</v>
      </c>
      <c r="AR134" s="1">
        <v>0.36</v>
      </c>
      <c r="AS134" s="1">
        <v>0.39500000000000002</v>
      </c>
      <c r="AT134" s="1">
        <v>0.64500000000000002</v>
      </c>
      <c r="AU134" s="20">
        <v>0.81499999999999995</v>
      </c>
      <c r="AV134" s="1">
        <v>0</v>
      </c>
      <c r="AW134" s="1">
        <v>6.5000000000000002E-2</v>
      </c>
      <c r="AX134" s="1">
        <v>0.14499999999999999</v>
      </c>
      <c r="AY134" s="1">
        <v>0.245</v>
      </c>
      <c r="AZ134" s="1">
        <v>0.36</v>
      </c>
      <c r="BA134" s="1">
        <v>0.39500000000000002</v>
      </c>
      <c r="BB134" s="1">
        <v>0.64500000000000002</v>
      </c>
      <c r="BC134" s="20">
        <v>0.81499999999999995</v>
      </c>
      <c r="BD134" s="1">
        <v>0</v>
      </c>
      <c r="BE134" s="1">
        <v>6.5000000000000002E-2</v>
      </c>
      <c r="BF134" s="1">
        <v>0.14499999999999999</v>
      </c>
      <c r="BG134" s="1">
        <v>0.245</v>
      </c>
      <c r="BH134" s="1">
        <v>0.36</v>
      </c>
      <c r="BI134" s="1">
        <v>0.39500000000000002</v>
      </c>
      <c r="BJ134" s="1">
        <v>0.64500000000000002</v>
      </c>
      <c r="BK134" s="20">
        <v>0.81499999999999995</v>
      </c>
      <c r="BL134" s="1">
        <v>0</v>
      </c>
      <c r="BM134" s="1">
        <v>6.5000000000000002E-2</v>
      </c>
      <c r="BN134" s="1">
        <v>0.14499999999999999</v>
      </c>
      <c r="BO134" s="1">
        <v>0.245</v>
      </c>
      <c r="BP134" s="1">
        <v>0.36</v>
      </c>
      <c r="BQ134" s="1">
        <v>0.39500000000000002</v>
      </c>
      <c r="BR134" s="1">
        <v>0.64500000000000002</v>
      </c>
      <c r="BS134" s="20">
        <v>0.81499999999999995</v>
      </c>
      <c r="BT134" s="1">
        <v>0</v>
      </c>
      <c r="BU134" s="1">
        <v>6.5000000000000002E-2</v>
      </c>
      <c r="BV134" s="1">
        <v>0.14499999999999999</v>
      </c>
      <c r="BW134" s="1">
        <v>0.245</v>
      </c>
      <c r="BX134" s="1">
        <v>0.36</v>
      </c>
      <c r="BY134" s="1">
        <v>0.39500000000000002</v>
      </c>
      <c r="BZ134" s="1">
        <v>0.64500000000000002</v>
      </c>
      <c r="CA134" s="20">
        <v>0.81499999999999995</v>
      </c>
      <c r="CB134" s="1">
        <v>0</v>
      </c>
      <c r="CC134" s="1">
        <v>6.5000000000000002E-2</v>
      </c>
      <c r="CD134" s="1">
        <v>0.14499999999999999</v>
      </c>
      <c r="CE134" s="1">
        <v>0.245</v>
      </c>
      <c r="CF134" s="1">
        <v>0.36</v>
      </c>
      <c r="CG134" s="1">
        <v>0.39500000000000002</v>
      </c>
      <c r="CH134" s="1">
        <v>0.64500000000000002</v>
      </c>
      <c r="CI134" s="20">
        <v>0.81499999999999995</v>
      </c>
      <c r="CJ134" s="1">
        <v>0</v>
      </c>
      <c r="CK134" s="1">
        <v>6.5000000000000002E-2</v>
      </c>
      <c r="CL134" s="1">
        <v>0.14499999999999999</v>
      </c>
      <c r="CM134" s="1">
        <v>0.245</v>
      </c>
      <c r="CN134" s="1">
        <v>0.36</v>
      </c>
      <c r="CO134" s="1">
        <v>0.39500000000000002</v>
      </c>
      <c r="CP134" s="1">
        <v>0.64500000000000002</v>
      </c>
      <c r="CQ134" s="20">
        <v>0.81499999999999995</v>
      </c>
    </row>
    <row r="135" spans="3:160" s="2" customFormat="1" x14ac:dyDescent="0.4">
      <c r="C135" s="2" t="s">
        <v>31</v>
      </c>
      <c r="D135" s="2" t="s">
        <v>10</v>
      </c>
      <c r="E135" s="2">
        <v>0.27600000000000002</v>
      </c>
      <c r="F135" s="2">
        <v>0.16700000000000001</v>
      </c>
      <c r="G135" s="2">
        <v>0.109</v>
      </c>
      <c r="H135" s="2">
        <v>2.8000000000000001E-2</v>
      </c>
      <c r="I135" s="2">
        <v>4723</v>
      </c>
      <c r="J135" s="2">
        <v>4189</v>
      </c>
      <c r="K135" s="2">
        <v>56</v>
      </c>
      <c r="L135" s="2">
        <v>5552</v>
      </c>
      <c r="M135" s="2">
        <v>6161</v>
      </c>
      <c r="N135" s="2">
        <v>74.5</v>
      </c>
      <c r="O135" s="2">
        <v>92</v>
      </c>
      <c r="P135" s="2">
        <v>89.5</v>
      </c>
      <c r="Q135" s="2">
        <v>94</v>
      </c>
      <c r="R135" s="2">
        <v>50.5</v>
      </c>
      <c r="S135" s="2">
        <v>93.5</v>
      </c>
      <c r="T135" s="6">
        <f t="shared" si="2290"/>
        <v>6501.3168827903137</v>
      </c>
      <c r="U135" s="2">
        <v>1.825</v>
      </c>
      <c r="V135" s="2">
        <v>6.7000000000000004E-2</v>
      </c>
      <c r="W135" s="2">
        <v>4.0199999999999996</v>
      </c>
      <c r="X135" s="2">
        <f t="shared" ref="X135" si="2923">H131</f>
        <v>2.8000000000000001E-2</v>
      </c>
      <c r="Y135" s="2">
        <f t="shared" ref="Y135" si="2924">H132</f>
        <v>4.9000000000000002E-2</v>
      </c>
      <c r="Z135" s="2">
        <f t="shared" ref="Z135" si="2925">H133</f>
        <v>2.8000000000000001E-2</v>
      </c>
      <c r="AA135" s="2">
        <f t="shared" ref="AA135" si="2926">H134</f>
        <v>1.9E-2</v>
      </c>
      <c r="AB135" s="2">
        <f t="shared" ref="AB135" si="2927">H135</f>
        <v>2.8000000000000001E-2</v>
      </c>
      <c r="AC135" s="1">
        <f t="shared" si="2917"/>
        <v>4598.9277102394044</v>
      </c>
      <c r="AE135" s="2" t="s">
        <v>99</v>
      </c>
      <c r="AF135" s="23">
        <f>($O135*$Q135*$S135)^(1/3)/(AF130*((1-AF$2)*$H130+AF$2*$H131) + AF132*((1-AF$2)*$H132+AF$2*$H133) + AF134*((1-AF$2)*$H134+AF$2*$H135))</f>
        <v>1693.8686925486315</v>
      </c>
      <c r="AG135" s="23">
        <f t="shared" ref="AG135" si="2928">($O135*$Q135*$S135)^(1/3)/(AG130*((1-AG$2)*$H130+AG$2*$H131) + AG132*((1-AG$2)*$H132+AG$2*$H133) + AG134*((1-AG$2)*$H134+AG$2*$H135))</f>
        <v>1793.6614957677077</v>
      </c>
      <c r="AH135" s="23">
        <f t="shared" ref="AH135" si="2929">($O135*$Q135*$S135)^(1/3)/(AH130*((1-AH$2)*$H130+AH$2*$H131) + AH132*((1-AH$2)*$H132+AH$2*$H133) + AH134*((1-AH$2)*$H134+AH$2*$H135))</f>
        <v>1920.090232691153</v>
      </c>
      <c r="AI135" s="23">
        <f t="shared" ref="AI135" si="2930">($O135*$Q135*$S135)^(1/3)/(AI130*((1-AI$2)*$H130+AI$2*$H131) + AI132*((1-AI$2)*$H132+AI$2*$H133) + AI134*((1-AI$2)*$H134+AI$2*$H135))</f>
        <v>2381.4616076220536</v>
      </c>
      <c r="AJ135" s="23">
        <f t="shared" ref="AJ135" si="2931">($O135*$Q135*$S135)^(1/3)/(AJ130*((1-AJ$2)*$H130+AJ$2*$H131) + AJ132*((1-AJ$2)*$H132+AJ$2*$H133) + AJ134*((1-AJ$2)*$H134+AJ$2*$H135))</f>
        <v>2308.2947990628031</v>
      </c>
      <c r="AK135" s="23">
        <f t="shared" ref="AK135" si="2932">($O135*$Q135*$S135)^(1/3)/(AK130*((1-AK$2)*$H130+AK$2*$H131) + AK132*((1-AK$2)*$H132+AK$2*$H133) + AK134*((1-AK$2)*$H134+AK$2*$H135))</f>
        <v>2762.8344629351941</v>
      </c>
      <c r="AL135" s="23">
        <f t="shared" ref="AL135" si="2933">($O135*$Q135*$S135)^(1/3)/(AL130*((1-AL$2)*$H130+AL$2*$H131) + AL132*((1-AL$2)*$H132+AL$2*$H133) + AL134*((1-AL$2)*$H134+AL$2*$H135))</f>
        <v>3052.5156648156863</v>
      </c>
      <c r="AM135" s="23">
        <f t="shared" ref="AM135" si="2934">($O135*$Q135*$S135)^(1/3)/(AM130*((1-AM$2)*$H130+AM$2*$H131) + AM132*((1-AM$2)*$H132+AM$2*$H133) + AM134*((1-AM$2)*$H134+AM$2*$H135))</f>
        <v>3735.4762666469428</v>
      </c>
      <c r="AN135" s="23">
        <f t="shared" ref="AN135" si="2935">($O135*$Q135*$S135)^(1/3)/(AN130*((1-AN$2)*$H130+AN$2*$H131) + AN132*((1-AN$2)*$H132+AN$2*$H133) + AN134*((1-AN$2)*$H134+AN$2*$H135))</f>
        <v>1804.6058709961208</v>
      </c>
      <c r="AO135" s="23">
        <f t="shared" ref="AO135" si="2936">($O135*$Q135*$S135)^(1/3)/(AO130*((1-AO$2)*$H130+AO$2*$H131) + AO132*((1-AO$2)*$H132+AO$2*$H133) + AO134*((1-AO$2)*$H134+AO$2*$H135))</f>
        <v>1903.3204574324477</v>
      </c>
      <c r="AP135" s="23">
        <f t="shared" ref="AP135" si="2937">($O135*$Q135*$S135)^(1/3)/(AP130*((1-AP$2)*$H130+AP$2*$H131) + AP132*((1-AP$2)*$H132+AP$2*$H133) + AP134*((1-AP$2)*$H134+AP$2*$H135))</f>
        <v>2027.2609746529156</v>
      </c>
      <c r="AQ135" s="23">
        <f t="shared" ref="AQ135" si="2938">($O135*$Q135*$S135)^(1/3)/(AQ130*((1-AQ$2)*$H130+AQ$2*$H131) + AQ132*((1-AQ$2)*$H132+AQ$2*$H133) + AQ134*((1-AQ$2)*$H134+AQ$2*$H135))</f>
        <v>2492.316160785841</v>
      </c>
      <c r="AR135" s="23">
        <f t="shared" ref="AR135" si="2939">($O135*$Q135*$S135)^(1/3)/(AR130*((1-AR$2)*$H130+AR$2*$H131) + AR132*((1-AR$2)*$H132+AR$2*$H133) + AR134*((1-AR$2)*$H134+AR$2*$H135))</f>
        <v>2400.1746255358685</v>
      </c>
      <c r="AS135" s="23">
        <f t="shared" ref="AS135" si="2940">($O135*$Q135*$S135)^(1/3)/(AS130*((1-AS$2)*$H130+AS$2*$H131) + AS132*((1-AS$2)*$H132+AS$2*$H133) + AS134*((1-AS$2)*$H134+AS$2*$H135))</f>
        <v>2852.9406856583901</v>
      </c>
      <c r="AT135" s="23">
        <f t="shared" ref="AT135" si="2941">($O135*$Q135*$S135)^(1/3)/(AT130*((1-AT$2)*$H130+AT$2*$H131) + AT132*((1-AT$2)*$H132+AT$2*$H133) + AT134*((1-AT$2)*$H134+AT$2*$H135))</f>
        <v>3084.3495477627789</v>
      </c>
      <c r="AU135" s="23">
        <f t="shared" ref="AU135" si="2942">($O135*$Q135*$S135)^(1/3)/(AU130*((1-AU$2)*$H130+AU$2*$H131) + AU132*((1-AU$2)*$H132+AU$2*$H133) + AU134*((1-AU$2)*$H134+AU$2*$H135))</f>
        <v>3679.0513610494513</v>
      </c>
      <c r="AV135" s="23">
        <f t="shared" ref="AV135" si="2943">($O135*$Q135*$S135)^(1/3)/(AV130*((1-AV$2)*$H130+AV$2*$H131) + AV132*((1-AV$2)*$H132+AV$2*$H133) + AV134*((1-AV$2)*$H134+AV$2*$H135))</f>
        <v>1930.834779070979</v>
      </c>
      <c r="AW135" s="23">
        <f t="shared" ref="AW135" si="2944">($O135*$Q135*$S135)^(1/3)/(AW130*((1-AW$2)*$H130+AW$2*$H131) + AW132*((1-AW$2)*$H132+AW$2*$H133) + AW134*((1-AW$2)*$H134+AW$2*$H135))</f>
        <v>2027.2609746529158</v>
      </c>
      <c r="AX135" s="23">
        <f t="shared" ref="AX135" si="2945">($O135*$Q135*$S135)^(1/3)/(AX130*((1-AX$2)*$H130+AX$2*$H131) + AX132*((1-AX$2)*$H132+AX$2*$H133) + AX134*((1-AX$2)*$H134+AX$2*$H135))</f>
        <v>2147.1025141777995</v>
      </c>
      <c r="AY135" s="23">
        <f t="shared" ref="AY135" si="2946">($O135*$Q135*$S135)^(1/3)/(AY130*((1-AY$2)*$H130+AY$2*$H131) + AY132*((1-AY$2)*$H132+AY$2*$H133) + AY134*((1-AY$2)*$H134+AY$2*$H135))</f>
        <v>2613.9948959083817</v>
      </c>
      <c r="AZ135" s="23">
        <f t="shared" ref="AZ135" si="2947">($O135*$Q135*$S135)^(1/3)/(AZ130*((1-AZ$2)*$H130+AZ$2*$H131) + AZ132*((1-AZ$2)*$H132+AZ$2*$H133) + AZ134*((1-AZ$2)*$H134+AZ$2*$H135))</f>
        <v>2499.6720711074522</v>
      </c>
      <c r="BA135" s="23">
        <f t="shared" ref="BA135" si="2948">($O135*$Q135*$S135)^(1/3)/(BA130*((1-BA$2)*$H130+BA$2*$H131) + BA132*((1-BA$2)*$H132+BA$2*$H133) + BA134*((1-BA$2)*$H134+BA$2*$H135))</f>
        <v>2949.1224466658668</v>
      </c>
      <c r="BB135" s="23">
        <f t="shared" ref="BB135" si="2949">($O135*$Q135*$S135)^(1/3)/(BB130*((1-BB$2)*$H130+BB$2*$H131) + BB132*((1-BB$2)*$H132+BB$2*$H133) + BB134*((1-BB$2)*$H134+BB$2*$H135))</f>
        <v>3116.8544024815906</v>
      </c>
      <c r="BC135" s="23">
        <f t="shared" ref="BC135" si="2950">($O135*$Q135*$S135)^(1/3)/(BC130*((1-BC$2)*$H130+BC$2*$H131) + BC132*((1-BC$2)*$H132+BC$2*$H133) + BC134*((1-BC$2)*$H134+BC$2*$H135))</f>
        <v>3624.3057027883583</v>
      </c>
      <c r="BD135" s="23">
        <f t="shared" ref="BD135" si="2951">($O135*$Q135*$S135)^(1/3)/(BD130*((1-BD$2)*$H130+BD$2*$H131) + BD132*((1-BD$2)*$H132+BD$2*$H133) + BD134*((1-BD$2)*$H134+BD$2*$H135))</f>
        <v>2076.0507652406627</v>
      </c>
      <c r="BE135" s="23">
        <f t="shared" ref="BE135" si="2952">($O135*$Q135*$S135)^(1/3)/(BE130*((1-BE$2)*$H130+BE$2*$H131) + BE132*((1-BE$2)*$H132+BE$2*$H133) + BE134*((1-BE$2)*$H134+BE$2*$H135))</f>
        <v>2168.4673398935051</v>
      </c>
      <c r="BF135" s="23">
        <f t="shared" ref="BF135" si="2953">($O135*$Q135*$S135)^(1/3)/(BF130*((1-BF$2)*$H130+BF$2*$H131) + BF132*((1-BF$2)*$H132+BF$2*$H133) + BF134*((1-BF$2)*$H134+BF$2*$H135))</f>
        <v>2282.0031375425528</v>
      </c>
      <c r="BG135" s="23">
        <f t="shared" ref="BG135" si="2954">($O135*$Q135*$S135)^(1/3)/(BG130*((1-BG$2)*$H130+BG$2*$H131) + BG132*((1-BG$2)*$H132+BG$2*$H133) + BG134*((1-BG$2)*$H134+BG$2*$H135))</f>
        <v>2748.1645454328832</v>
      </c>
      <c r="BH135" s="23">
        <f t="shared" ref="BH135" si="2955">($O135*$Q135*$S135)^(1/3)/(BH130*((1-BH$2)*$H130+BH$2*$H131) + BH132*((1-BH$2)*$H132+BH$2*$H133) + BH134*((1-BH$2)*$H134+BH$2*$H135))</f>
        <v>2607.7754538887257</v>
      </c>
      <c r="BI135" s="23">
        <f t="shared" ref="BI135" si="2956">($O135*$Q135*$S135)^(1/3)/(BI130*((1-BI$2)*$H130+BI$2*$H131) + BI132*((1-BI$2)*$H132+BI$2*$H133) + BI134*((1-BI$2)*$H134+BI$2*$H135))</f>
        <v>3052.0156622497866</v>
      </c>
      <c r="BJ135" s="23">
        <f t="shared" ref="BJ135" si="2957">($O135*$Q135*$S135)^(1/3)/(BJ130*((1-BJ$2)*$H130+BJ$2*$H131) + BJ132*((1-BJ$2)*$H132+BJ$2*$H133) + BJ134*((1-BJ$2)*$H134+BJ$2*$H135))</f>
        <v>3150.0516683068381</v>
      </c>
      <c r="BK135" s="23">
        <f t="shared" ref="BK135" si="2958">($O135*$Q135*$S135)^(1/3)/(BK130*((1-BK$2)*$H130+BK$2*$H131) + BK132*((1-BK$2)*$H132+BK$2*$H133) + BK134*((1-BK$2)*$H134+BK$2*$H135))</f>
        <v>3571.1654275102919</v>
      </c>
      <c r="BL135" s="23">
        <f t="shared" ref="BL135" si="2959">($O135*$Q135*$S135)^(1/3)/(BL130*((1-BL$2)*$H130+BL$2*$H131) + BL132*((1-BL$2)*$H132+BL$2*$H133) + BL134*((1-BL$2)*$H134+BL$2*$H135))</f>
        <v>2244.8862190403552</v>
      </c>
      <c r="BM135" s="23">
        <f t="shared" ref="BM135" si="2960">($O135*$Q135*$S135)^(1/3)/(BM130*((1-BM$2)*$H130+BM$2*$H131) + BM132*((1-BM$2)*$H132+BM$2*$H133) + BM134*((1-BM$2)*$H134+BM$2*$H135))</f>
        <v>2330.81756542844</v>
      </c>
      <c r="BN135" s="23">
        <f t="shared" ref="BN135" si="2961">($O135*$Q135*$S135)^(1/3)/(BN130*((1-BN$2)*$H130+BN$2*$H131) + BN132*((1-BN$2)*$H132+BN$2*$H133) + BN134*((1-BN$2)*$H134+BN$2*$H135))</f>
        <v>2434.9915862565272</v>
      </c>
      <c r="BO135" s="23">
        <f t="shared" ref="BO135" si="2962">($O135*$Q135*$S135)^(1/3)/(BO130*((1-BO$2)*$H130+BO$2*$H131) + BO132*((1-BO$2)*$H132+BO$2*$H133) + BO134*((1-BO$2)*$H134+BO$2*$H135))</f>
        <v>2896.8525525551845</v>
      </c>
      <c r="BP135" s="23">
        <f t="shared" ref="BP135" si="2963">($O135*$Q135*$S135)^(1/3)/(BP130*((1-BP$2)*$H130+BP$2*$H131) + BP132*((1-BP$2)*$H132+BP$2*$H133) + BP134*((1-BP$2)*$H134+BP$2*$H135))</f>
        <v>2725.6517873076282</v>
      </c>
      <c r="BQ135" s="23">
        <f t="shared" ref="BQ135" si="2964">($O135*$Q135*$S135)^(1/3)/(BQ130*((1-BQ$2)*$H130+BQ$2*$H131) + BQ132*((1-BQ$2)*$H132+BQ$2*$H133) + BQ134*((1-BQ$2)*$H134+BQ$2*$H135))</f>
        <v>3162.3482040113627</v>
      </c>
      <c r="BR135" s="23">
        <f t="shared" ref="BR135" si="2965">($O135*$Q135*$S135)^(1/3)/(BR130*((1-BR$2)*$H130+BR$2*$H131) + BR132*((1-BR$2)*$H132+BR$2*$H133) + BR134*((1-BR$2)*$H134+BR$2*$H135))</f>
        <v>3183.9637077981797</v>
      </c>
      <c r="BS135" s="23">
        <f t="shared" ref="BS135" si="2966">($O135*$Q135*$S135)^(1/3)/(BS130*((1-BS$2)*$H130+BS$2*$H131) + BS132*((1-BS$2)*$H132+BS$2*$H133) + BS134*((1-BS$2)*$H134+BS$2*$H135))</f>
        <v>3519.5609403163862</v>
      </c>
      <c r="BT135" s="23">
        <f t="shared" ref="BT135" si="2967">($O135*$Q135*$S135)^(1/3)/(BT130*((1-BT$2)*$H130+BT$2*$H131) + BT132*((1-BT$2)*$H132+BT$2*$H133) + BT134*((1-BT$2)*$H134+BT$2*$H135))</f>
        <v>2443.6138515455664</v>
      </c>
      <c r="BU135" s="23">
        <f t="shared" ref="BU135" si="2968">($O135*$Q135*$S135)^(1/3)/(BU130*((1-BU$2)*$H130+BU$2*$H131) + BU132*((1-BU$2)*$H132+BU$2*$H133) + BU134*((1-BU$2)*$H134+BU$2*$H135))</f>
        <v>2519.4450162984176</v>
      </c>
      <c r="BV135" s="23">
        <f t="shared" ref="BV135" si="2969">($O135*$Q135*$S135)^(1/3)/(BV130*((1-BV$2)*$H130+BV$2*$H131) + BV132*((1-BV$2)*$H132+BV$2*$H133) + BV134*((1-BV$2)*$H134+BV$2*$H135))</f>
        <v>2609.9671687960422</v>
      </c>
      <c r="BW135" s="23">
        <f t="shared" ref="BW135" si="2970">($O135*$Q135*$S135)^(1/3)/(BW130*((1-BW$2)*$H130+BW$2*$H131) + BW132*((1-BW$2)*$H132+BW$2*$H133) + BW134*((1-BW$2)*$H134+BW$2*$H135))</f>
        <v>3062.5502330760924</v>
      </c>
      <c r="BX135" s="23">
        <f t="shared" ref="BX135" si="2971">($O135*$Q135*$S135)^(1/3)/(BX130*((1-BX$2)*$H130+BX$2*$H131) + BX132*((1-BX$2)*$H132+BX$2*$H133) + BX134*((1-BX$2)*$H134+BX$2*$H135))</f>
        <v>2854.6890789083723</v>
      </c>
      <c r="BY135" s="23">
        <f t="shared" ref="BY135" si="2972">($O135*$Q135*$S135)^(1/3)/(BY130*((1-BY$2)*$H130+BY$2*$H131) + BY132*((1-BY$2)*$H132+BY$2*$H133) + BY134*((1-BY$2)*$H134+BY$2*$H135))</f>
        <v>3280.9571435173352</v>
      </c>
      <c r="BZ135" s="23">
        <f t="shared" ref="BZ135" si="2973">($O135*$Q135*$S135)^(1/3)/(BZ130*((1-BZ$2)*$H130+BZ$2*$H131) + BZ132*((1-BZ$2)*$H132+BZ$2*$H133) + BZ134*((1-BZ$2)*$H134+BZ$2*$H135))</f>
        <v>3218.6138569761524</v>
      </c>
      <c r="CA135" s="23">
        <f t="shared" ref="CA135" si="2974">($O135*$Q135*$S135)^(1/3)/(CA130*((1-CA$2)*$H130+CA$2*$H131) + CA132*((1-CA$2)*$H132+CA$2*$H133) + CA134*((1-CA$2)*$H134+CA$2*$H135))</f>
        <v>3469.4266116813978</v>
      </c>
      <c r="CB135" s="23">
        <f t="shared" ref="CB135" si="2975">($O135*$Q135*$S135)^(1/3)/(CB130*((1-CB$2)*$H130+CB$2*$H131) + CB132*((1-CB$2)*$H132+CB$2*$H133) + CB134*((1-CB$2)*$H134+CB$2*$H135))</f>
        <v>2680.9432543935172</v>
      </c>
      <c r="CC135" s="23">
        <f t="shared" ref="CC135" si="2976">($O135*$Q135*$S135)^(1/3)/(CC130*((1-CC$2)*$H130+CC$2*$H131) + CC132*((1-CC$2)*$H132+CC$2*$H133) + CC134*((1-CC$2)*$H134+CC$2*$H135))</f>
        <v>2741.2911016676399</v>
      </c>
      <c r="CD135" s="23">
        <f t="shared" ref="CD135" si="2977">($O135*$Q135*$S135)^(1/3)/(CD130*((1-CD$2)*$H130+CD$2*$H131) + CD132*((1-CD$2)*$H132+CD$2*$H133) + CD134*((1-CD$2)*$H134+CD$2*$H135))</f>
        <v>2812.0367669838438</v>
      </c>
      <c r="CE135" s="23">
        <f t="shared" ref="CE135" si="2978">($O135*$Q135*$S135)^(1/3)/(CE130*((1-CE$2)*$H130+CE$2*$H131) + CE132*((1-CE$2)*$H132+CE$2*$H133) + CE134*((1-CE$2)*$H134+CE$2*$H135))</f>
        <v>3248.3534898945163</v>
      </c>
      <c r="CF135" s="23">
        <f t="shared" ref="CF135" si="2979">($O135*$Q135*$S135)^(1/3)/(CF130*((1-CF$2)*$H130+CF$2*$H131) + CF132*((1-CF$2)*$H132+CF$2*$H133) + CF134*((1-CF$2)*$H134+CF$2*$H135))</f>
        <v>2996.5512412407443</v>
      </c>
      <c r="CG135" s="23">
        <f t="shared" ref="CG135" si="2980">($O135*$Q135*$S135)^(1/3)/(CG130*((1-CG$2)*$H130+CG$2*$H131) + CG132*((1-CG$2)*$H132+CG$2*$H133) + CG134*((1-CG$2)*$H134+CG$2*$H135))</f>
        <v>3408.8100289123577</v>
      </c>
      <c r="CH135" s="23">
        <f t="shared" ref="CH135" si="2981">($O135*$Q135*$S135)^(1/3)/(CH130*((1-CH$2)*$H130+CH$2*$H131) + CH132*((1-CH$2)*$H132+CH$2*$H133) + CH134*((1-CH$2)*$H134+CH$2*$H135))</f>
        <v>3254.026478874423</v>
      </c>
      <c r="CI135" s="23">
        <f t="shared" ref="CI135" si="2982">($O135*$Q135*$S135)^(1/3)/(CI130*((1-CI$2)*$H130+CI$2*$H131) + CI132*((1-CI$2)*$H132+CI$2*$H133) + CI134*((1-CI$2)*$H134+CI$2*$H135))</f>
        <v>3420.7004989966854</v>
      </c>
      <c r="CJ135" s="23">
        <f t="shared" ref="CJ135" si="2983">($O135*$Q135*$S135)^(1/3)/(CJ130*((1-CJ$2)*$H130+CJ$2*$H131) + CJ132*((1-CJ$2)*$H132+CJ$2*$H133) + CJ134*((1-CJ$2)*$H134+CJ$2*$H135))</f>
        <v>2969.3315725952107</v>
      </c>
      <c r="CK135" s="23">
        <f t="shared" ref="CK135" si="2984">($O135*$Q135*$S135)^(1/3)/(CK130*((1-CK$2)*$H130+CK$2*$H131) + CK132*((1-CK$2)*$H132+CK$2*$H133) + CK134*((1-CK$2)*$H134+CK$2*$H135))</f>
        <v>3005.9781589150516</v>
      </c>
      <c r="CL135" s="23">
        <f t="shared" ref="CL135" si="2985">($O135*$Q135*$S135)^(1/3)/(CL130*((1-CL$2)*$H130+CL$2*$H131) + CL132*((1-CL$2)*$H132+CL$2*$H133) + CL134*((1-CL$2)*$H134+CL$2*$H135))</f>
        <v>3048.0215308416405</v>
      </c>
      <c r="CM135" s="23">
        <f t="shared" ref="CM135" si="2986">($O135*$Q135*$S135)^(1/3)/(CM130*((1-CM$2)*$H130+CM$2*$H131) + CM132*((1-CM$2)*$H132+CM$2*$H133) + CM134*((1-CM$2)*$H134+CM$2*$H135))</f>
        <v>3458.1580582841402</v>
      </c>
      <c r="CN135" s="23">
        <f t="shared" ref="CN135" si="2987">($O135*$Q135*$S135)^(1/3)/(CN130*((1-CN$2)*$H130+CN$2*$H131) + CN132*((1-CN$2)*$H132+CN$2*$H133) + CN134*((1-CN$2)*$H134+CN$2*$H135))</f>
        <v>3153.2502315171687</v>
      </c>
      <c r="CO135" s="23">
        <f t="shared" ref="CO135" si="2988">($O135*$Q135*$S135)^(1/3)/(CO130*((1-CO$2)*$H130+CO$2*$H131) + CO132*((1-CO$2)*$H132+CO$2*$H133) + CO134*((1-CO$2)*$H134+CO$2*$H135))</f>
        <v>3547.0313379088043</v>
      </c>
      <c r="CP135" s="23">
        <f t="shared" ref="CP135" si="2989">($O135*$Q135*$S135)^(1/3)/(CP130*((1-CP$2)*$H130+CP$2*$H131) + CP132*((1-CP$2)*$H132+CP$2*$H133) + CP134*((1-CP$2)*$H134+CP$2*$H135))</f>
        <v>3290.2270206665985</v>
      </c>
      <c r="CQ135" s="23">
        <f t="shared" ref="CQ135" si="2990">($O135*$Q135*$S135)^(1/3)/(CQ130*((1-CQ$2)*$H130+CQ$2*$H131) + CQ132*((1-CQ$2)*$H132+CQ$2*$H133) + CQ134*((1-CQ$2)*$H134+CQ$2*$H135))</f>
        <v>3373.3240912528195</v>
      </c>
      <c r="CS135" s="2">
        <f t="shared" ref="CS135" si="2991">100*$AF135/AF135</f>
        <v>100</v>
      </c>
      <c r="CT135" s="2">
        <f t="shared" ref="CT135" si="2992">100*$AF135/AG135</f>
        <v>94.436363636363637</v>
      </c>
      <c r="CU135" s="2">
        <f t="shared" ref="CU135" si="2993">100*$AF135/AH135</f>
        <v>88.218181818181804</v>
      </c>
      <c r="CV135" s="2">
        <f t="shared" ref="CV135" si="2994">100*$AF135/AI135</f>
        <v>71.127272727272725</v>
      </c>
      <c r="CW135" s="2">
        <f t="shared" ref="CW135" si="2995">100*$AF135/AJ135</f>
        <v>73.381818181818176</v>
      </c>
      <c r="CX135" s="2">
        <f t="shared" ref="CX135" si="2996">100*$AF135/AK135</f>
        <v>61.309090909090898</v>
      </c>
      <c r="CY135" s="2">
        <f t="shared" ref="CY135" si="2997">100*$AF135/AL135</f>
        <v>55.490909090909085</v>
      </c>
      <c r="CZ135" s="2">
        <f t="shared" ref="CZ135" si="2998">100*$AF135/AM135</f>
        <v>45.345454545454537</v>
      </c>
      <c r="DA135" s="2">
        <f t="shared" ref="DA135" si="2999">100*$AF135/AN135</f>
        <v>93.86363636363636</v>
      </c>
      <c r="DB135" s="2">
        <f t="shared" ref="DB135" si="3000">100*$AF135/AO135</f>
        <v>88.99545454545455</v>
      </c>
      <c r="DC135" s="2">
        <f t="shared" ref="DC135" si="3001">100*$AF135/AP135</f>
        <v>83.554545454545448</v>
      </c>
      <c r="DD135" s="2">
        <f t="shared" ref="DD135" si="3002">100*$AF135/AQ135</f>
        <v>67.963636363636354</v>
      </c>
      <c r="DE135" s="2">
        <f t="shared" ref="DE135" si="3003">100*$AF135/AR135</f>
        <v>70.572727272727278</v>
      </c>
      <c r="DF135" s="2">
        <f t="shared" ref="DF135" si="3004">100*$AF135/AS135</f>
        <v>59.372727272727275</v>
      </c>
      <c r="DG135" s="2">
        <f t="shared" ref="DG135" si="3005">100*$AF135/AT135</f>
        <v>54.918181818181814</v>
      </c>
      <c r="DH135" s="2">
        <f t="shared" ref="DH135" si="3006">100*$AF135/AU135</f>
        <v>46.040909090909089</v>
      </c>
      <c r="DI135" s="2">
        <f t="shared" ref="DI135" si="3007">100*$AF135/AV135</f>
        <v>87.72727272727272</v>
      </c>
      <c r="DJ135" s="2">
        <f t="shared" ref="DJ135" si="3008">100*$AF135/AW135</f>
        <v>83.554545454545448</v>
      </c>
      <c r="DK135" s="2">
        <f t="shared" ref="DK135" si="3009">100*$AF135/AX135</f>
        <v>78.890909090909105</v>
      </c>
      <c r="DL135" s="2">
        <f t="shared" ref="DL135" si="3010">100*$AF135/AY135</f>
        <v>64.800000000000011</v>
      </c>
      <c r="DM135" s="2">
        <f t="shared" ref="DM135" si="3011">100*$AF135/AZ135</f>
        <v>67.763636363636351</v>
      </c>
      <c r="DN135" s="2">
        <f t="shared" ref="DN135" si="3012">100*$AF135/BA135</f>
        <v>57.436363636363637</v>
      </c>
      <c r="DO135" s="2">
        <f t="shared" ref="DO135" si="3013">100*$AF135/BB135</f>
        <v>54.345454545454544</v>
      </c>
      <c r="DP135" s="2">
        <f t="shared" ref="DP135" si="3014">100*$AF135/BC135</f>
        <v>46.736363636363627</v>
      </c>
      <c r="DQ135" s="2">
        <f t="shared" ref="DQ135" si="3015">100*$AF135/BD135</f>
        <v>81.590909090909079</v>
      </c>
      <c r="DR135" s="2">
        <f t="shared" ref="DR135" si="3016">100*$AF135/BE135</f>
        <v>78.113636363636374</v>
      </c>
      <c r="DS135" s="2">
        <f t="shared" ref="DS135" si="3017">100*$AF135/BF135</f>
        <v>74.227272727272734</v>
      </c>
      <c r="DT135" s="2">
        <f t="shared" ref="DT135" si="3018">100*$AF135/BG135</f>
        <v>61.636363636363633</v>
      </c>
      <c r="DU135" s="2">
        <f t="shared" ref="DU135" si="3019">100*$AF135/BH135</f>
        <v>64.954545454545467</v>
      </c>
      <c r="DV135" s="2">
        <f t="shared" ref="DV135" si="3020">100*$AF135/BI135</f>
        <v>55.5</v>
      </c>
      <c r="DW135" s="2">
        <f t="shared" ref="DW135" si="3021">100*$AF135/BJ135</f>
        <v>53.772727272727273</v>
      </c>
      <c r="DX135" s="2">
        <f t="shared" ref="DX135" si="3022">100*$AF135/BK135</f>
        <v>47.43181818181818</v>
      </c>
      <c r="DY135" s="2">
        <f t="shared" ref="DY135" si="3023">100*$AF135/BL135</f>
        <v>75.454545454545453</v>
      </c>
      <c r="DZ135" s="2">
        <f t="shared" ref="DZ135" si="3024">100*$AF135/BM135</f>
        <v>72.672727272727258</v>
      </c>
      <c r="EA135" s="2">
        <f t="shared" ref="EA135" si="3025">100*$AF135/BN135</f>
        <v>69.563636363636363</v>
      </c>
      <c r="EB135" s="2">
        <f t="shared" ref="EB135" si="3026">100*$AF135/BO135</f>
        <v>58.472727272727269</v>
      </c>
      <c r="EC135" s="2">
        <f t="shared" ref="EC135" si="3027">100*$AF135/BP135</f>
        <v>62.145454545454548</v>
      </c>
      <c r="ED135" s="2">
        <f t="shared" ref="ED135" si="3028">100*$AF135/BQ135</f>
        <v>53.563636363636355</v>
      </c>
      <c r="EE135" s="2">
        <f t="shared" ref="EE135" si="3029">100*$AF135/BR135</f>
        <v>53.199999999999996</v>
      </c>
      <c r="EF135" s="2">
        <f t="shared" ref="EF135" si="3030">100*$AF135/BS135</f>
        <v>48.127272727272725</v>
      </c>
      <c r="EG135" s="2">
        <f t="shared" ref="EG135" si="3031">100*$AF135/BT135</f>
        <v>69.318181818181827</v>
      </c>
      <c r="EH135" s="2">
        <f t="shared" ref="EH135" si="3032">100*$AF135/BU135</f>
        <v>67.231818181818184</v>
      </c>
      <c r="EI135" s="2">
        <f t="shared" ref="EI135" si="3033">100*$AF135/BV135</f>
        <v>64.900000000000006</v>
      </c>
      <c r="EJ135" s="2">
        <f t="shared" ref="EJ135" si="3034">100*$AF135/BW135</f>
        <v>55.309090909090912</v>
      </c>
      <c r="EK135" s="2">
        <f t="shared" ref="EK135" si="3035">100*$AF135/BX135</f>
        <v>59.336363636363636</v>
      </c>
      <c r="EL135" s="2">
        <f t="shared" ref="EL135" si="3036">100*$AF135/BY135</f>
        <v>51.627272727272725</v>
      </c>
      <c r="EM135" s="2">
        <f t="shared" ref="EM135" si="3037">100*$AF135/BZ135</f>
        <v>52.627272727272725</v>
      </c>
      <c r="EN135" s="2">
        <f t="shared" ref="EN135" si="3038">100*$AF135/CA135</f>
        <v>48.822727272727271</v>
      </c>
      <c r="EO135" s="2">
        <f t="shared" ref="EO135" si="3039">100*$AF135/CB135</f>
        <v>63.181818181818187</v>
      </c>
      <c r="EP135" s="2">
        <f t="shared" ref="EP135" si="3040">100*$AF135/CC135</f>
        <v>61.790909090909089</v>
      </c>
      <c r="EQ135" s="2">
        <f t="shared" ref="EQ135" si="3041">100*$AF135/CD135</f>
        <v>60.236363636363627</v>
      </c>
      <c r="ER135" s="2">
        <f t="shared" ref="ER135" si="3042">100*$AF135/CE135</f>
        <v>52.145454545454548</v>
      </c>
      <c r="ES135" s="2">
        <f t="shared" ref="ES135" si="3043">100*$AF135/CF135</f>
        <v>56.527272727272724</v>
      </c>
      <c r="ET135" s="2">
        <f t="shared" ref="ET135" si="3044">100*$AF135/CG135</f>
        <v>49.690909090909088</v>
      </c>
      <c r="EU135" s="2">
        <f t="shared" ref="EU135" si="3045">100*$AF135/CH135</f>
        <v>52.054545454545455</v>
      </c>
      <c r="EV135" s="2">
        <f t="shared" ref="EV135" si="3046">100*$AF135/CI135</f>
        <v>49.518181818181823</v>
      </c>
      <c r="EW135" s="2">
        <f t="shared" ref="EW135" si="3047">100*$AF135/CJ135</f>
        <v>57.045454545454547</v>
      </c>
      <c r="EX135" s="2">
        <f t="shared" ref="EX135" si="3048">100*$AF135/CK135</f>
        <v>56.349999999999994</v>
      </c>
      <c r="EY135" s="2">
        <f t="shared" ref="EY135" si="3049">100*$AF135/CL135</f>
        <v>55.572727272727271</v>
      </c>
      <c r="EZ135" s="2">
        <f t="shared" ref="EZ135" si="3050">100*$AF135/CM135</f>
        <v>48.981818181818177</v>
      </c>
      <c r="FA135" s="2">
        <f t="shared" ref="FA135" si="3051">100*$AF135/CN135</f>
        <v>53.718181818181812</v>
      </c>
      <c r="FB135" s="2">
        <f t="shared" ref="FB135" si="3052">100*$AF135/CO135</f>
        <v>47.75454545454545</v>
      </c>
      <c r="FC135" s="2">
        <f t="shared" ref="FC135" si="3053">100*$AF135/CP135</f>
        <v>51.481818181818177</v>
      </c>
      <c r="FD135" s="2">
        <f t="shared" ref="FD135" si="3054">100*$AF135/CQ135</f>
        <v>50.213636363636361</v>
      </c>
    </row>
    <row r="136" spans="3:160" x14ac:dyDescent="0.4">
      <c r="C136" s="1" t="s">
        <v>32</v>
      </c>
      <c r="D136" s="1" t="s">
        <v>5</v>
      </c>
      <c r="E136" s="1">
        <v>0.312</v>
      </c>
      <c r="F136" s="1">
        <v>0.20300000000000001</v>
      </c>
      <c r="G136" s="1">
        <v>0.109</v>
      </c>
      <c r="H136" s="1">
        <v>5.5E-2</v>
      </c>
      <c r="I136" s="1">
        <v>4832</v>
      </c>
      <c r="J136" s="1">
        <v>4189</v>
      </c>
      <c r="K136" s="1">
        <v>56</v>
      </c>
      <c r="L136" s="1">
        <v>5668</v>
      </c>
      <c r="M136" s="1">
        <v>6161</v>
      </c>
      <c r="N136" s="1">
        <v>74.5</v>
      </c>
      <c r="O136" s="1">
        <v>92</v>
      </c>
      <c r="P136" s="1">
        <v>89.5</v>
      </c>
      <c r="Q136" s="1">
        <v>94</v>
      </c>
      <c r="R136" s="1">
        <v>50.5</v>
      </c>
      <c r="S136" s="1">
        <v>93.5</v>
      </c>
      <c r="T136" s="4">
        <v>0</v>
      </c>
      <c r="U136" s="1">
        <v>1.208</v>
      </c>
      <c r="V136" s="1">
        <v>0.06</v>
      </c>
      <c r="W136" s="1">
        <v>4.0199999999999996</v>
      </c>
      <c r="X136" s="1">
        <f t="shared" ref="X136" si="3055">H137</f>
        <v>2.1000000000000001E-2</v>
      </c>
      <c r="Y136" s="1">
        <f t="shared" ref="Y136" si="3056">H138</f>
        <v>4.9000000000000002E-2</v>
      </c>
      <c r="Z136" s="1">
        <f t="shared" ref="Z136" si="3057">H139</f>
        <v>2.1000000000000001E-2</v>
      </c>
      <c r="AA136" s="1">
        <f t="shared" ref="AA136" si="3058">H140</f>
        <v>1.9E-2</v>
      </c>
      <c r="AB136" s="1">
        <f t="shared" ref="AB136" si="3059">H141</f>
        <v>2.1000000000000001E-2</v>
      </c>
      <c r="AC136" s="1">
        <f t="shared" si="2917"/>
        <v>4574.3145896533397</v>
      </c>
      <c r="AE136" s="1" t="s">
        <v>96</v>
      </c>
      <c r="AF136" s="1">
        <v>1</v>
      </c>
      <c r="AG136" s="1">
        <v>0.81499999999999995</v>
      </c>
      <c r="AH136" s="1">
        <v>0.64500000000000002</v>
      </c>
      <c r="AI136" s="1">
        <v>0.39500000000000002</v>
      </c>
      <c r="AJ136" s="1">
        <v>0.36</v>
      </c>
      <c r="AK136" s="1">
        <v>0.245</v>
      </c>
      <c r="AL136" s="1">
        <v>0.14499999999999999</v>
      </c>
      <c r="AM136" s="20">
        <v>6.5000000000000002E-2</v>
      </c>
      <c r="AN136" s="1">
        <v>1</v>
      </c>
      <c r="AO136" s="1">
        <v>0.81499999999999995</v>
      </c>
      <c r="AP136" s="1">
        <v>0.64500000000000002</v>
      </c>
      <c r="AQ136" s="1">
        <v>0.39500000000000002</v>
      </c>
      <c r="AR136" s="1">
        <v>0.36</v>
      </c>
      <c r="AS136" s="1">
        <v>0.245</v>
      </c>
      <c r="AT136" s="1">
        <v>0.14499999999999999</v>
      </c>
      <c r="AU136" s="20">
        <v>6.5000000000000002E-2</v>
      </c>
      <c r="AV136" s="1">
        <v>1</v>
      </c>
      <c r="AW136" s="1">
        <v>0.81499999999999995</v>
      </c>
      <c r="AX136" s="1">
        <v>0.64500000000000002</v>
      </c>
      <c r="AY136" s="1">
        <v>0.39500000000000002</v>
      </c>
      <c r="AZ136" s="1">
        <v>0.36</v>
      </c>
      <c r="BA136" s="1">
        <v>0.245</v>
      </c>
      <c r="BB136" s="1">
        <v>0.14499999999999999</v>
      </c>
      <c r="BC136" s="20">
        <v>6.5000000000000002E-2</v>
      </c>
      <c r="BD136" s="1">
        <v>1</v>
      </c>
      <c r="BE136" s="1">
        <v>0.81499999999999995</v>
      </c>
      <c r="BF136" s="1">
        <v>0.64500000000000002</v>
      </c>
      <c r="BG136" s="1">
        <v>0.39500000000000002</v>
      </c>
      <c r="BH136" s="1">
        <v>0.36</v>
      </c>
      <c r="BI136" s="1">
        <v>0.245</v>
      </c>
      <c r="BJ136" s="1">
        <v>0.14499999999999999</v>
      </c>
      <c r="BK136" s="20">
        <v>6.5000000000000002E-2</v>
      </c>
      <c r="BL136" s="1">
        <v>1</v>
      </c>
      <c r="BM136" s="1">
        <v>0.81499999999999995</v>
      </c>
      <c r="BN136" s="1">
        <v>0.64500000000000002</v>
      </c>
      <c r="BO136" s="1">
        <v>0.39500000000000002</v>
      </c>
      <c r="BP136" s="1">
        <v>0.36</v>
      </c>
      <c r="BQ136" s="1">
        <v>0.245</v>
      </c>
      <c r="BR136" s="1">
        <v>0.14499999999999999</v>
      </c>
      <c r="BS136" s="20">
        <v>6.5000000000000002E-2</v>
      </c>
      <c r="BT136" s="1">
        <v>1</v>
      </c>
      <c r="BU136" s="1">
        <v>0.81499999999999995</v>
      </c>
      <c r="BV136" s="1">
        <v>0.64500000000000002</v>
      </c>
      <c r="BW136" s="1">
        <v>0.39500000000000002</v>
      </c>
      <c r="BX136" s="1">
        <v>0.36</v>
      </c>
      <c r="BY136" s="1">
        <v>0.245</v>
      </c>
      <c r="BZ136" s="1">
        <v>0.14499999999999999</v>
      </c>
      <c r="CA136" s="20">
        <v>6.5000000000000002E-2</v>
      </c>
      <c r="CB136" s="1">
        <v>1</v>
      </c>
      <c r="CC136" s="1">
        <v>0.81499999999999995</v>
      </c>
      <c r="CD136" s="1">
        <v>0.64500000000000002</v>
      </c>
      <c r="CE136" s="1">
        <v>0.39500000000000002</v>
      </c>
      <c r="CF136" s="1">
        <v>0.36</v>
      </c>
      <c r="CG136" s="1">
        <v>0.245</v>
      </c>
      <c r="CH136" s="1">
        <v>0.14499999999999999</v>
      </c>
      <c r="CI136" s="20">
        <v>6.5000000000000002E-2</v>
      </c>
      <c r="CJ136" s="1">
        <v>1</v>
      </c>
      <c r="CK136" s="1">
        <v>0.81499999999999995</v>
      </c>
      <c r="CL136" s="1">
        <v>0.64500000000000002</v>
      </c>
      <c r="CM136" s="1">
        <v>0.39500000000000002</v>
      </c>
      <c r="CN136" s="1">
        <v>0.36</v>
      </c>
      <c r="CO136" s="1">
        <v>0.245</v>
      </c>
      <c r="CP136" s="1">
        <v>0.14499999999999999</v>
      </c>
      <c r="CQ136" s="20">
        <v>6.5000000000000002E-2</v>
      </c>
    </row>
    <row r="137" spans="3:160" x14ac:dyDescent="0.4">
      <c r="C137" s="1" t="s">
        <v>32</v>
      </c>
      <c r="D137" s="1" t="s">
        <v>6</v>
      </c>
      <c r="E137" s="1">
        <v>0.26900000000000002</v>
      </c>
      <c r="F137" s="1">
        <v>0.16</v>
      </c>
      <c r="G137" s="1">
        <v>0.109</v>
      </c>
      <c r="H137" s="1">
        <v>2.1000000000000001E-2</v>
      </c>
      <c r="I137" s="1">
        <v>4832</v>
      </c>
      <c r="J137" s="1">
        <v>4189</v>
      </c>
      <c r="K137" s="1">
        <v>56</v>
      </c>
      <c r="L137" s="1">
        <v>5668</v>
      </c>
      <c r="M137" s="1">
        <v>6161</v>
      </c>
      <c r="N137" s="1">
        <v>74.5</v>
      </c>
      <c r="O137" s="1">
        <v>92</v>
      </c>
      <c r="P137" s="1">
        <v>89.5</v>
      </c>
      <c r="Q137" s="1">
        <v>94</v>
      </c>
      <c r="R137" s="1">
        <v>50.5</v>
      </c>
      <c r="S137" s="1">
        <v>93.5</v>
      </c>
      <c r="T137" s="4">
        <v>0</v>
      </c>
      <c r="U137" s="1">
        <v>1.208</v>
      </c>
      <c r="V137" s="1">
        <v>0.06</v>
      </c>
      <c r="W137" s="1">
        <v>4.0199999999999996</v>
      </c>
      <c r="X137" s="1">
        <f t="shared" ref="X137" si="3060">H137</f>
        <v>2.1000000000000001E-2</v>
      </c>
      <c r="Y137" s="1">
        <f t="shared" ref="Y137" si="3061">H138</f>
        <v>4.9000000000000002E-2</v>
      </c>
      <c r="Z137" s="1">
        <f t="shared" ref="Z137" si="3062">H139</f>
        <v>2.1000000000000001E-2</v>
      </c>
      <c r="AA137" s="1">
        <f t="shared" ref="AA137" si="3063">H140</f>
        <v>1.9E-2</v>
      </c>
      <c r="AB137" s="1">
        <f t="shared" ref="AB137" si="3064">H141</f>
        <v>2.1000000000000001E-2</v>
      </c>
      <c r="AC137" s="1">
        <f t="shared" si="2917"/>
        <v>4574.3145896533397</v>
      </c>
      <c r="CQ137" s="20"/>
    </row>
    <row r="138" spans="3:160" x14ac:dyDescent="0.4">
      <c r="C138" s="1" t="s">
        <v>32</v>
      </c>
      <c r="D138" s="1" t="s">
        <v>7</v>
      </c>
      <c r="E138" s="1">
        <v>0.30599999999999999</v>
      </c>
      <c r="F138" s="1">
        <v>0.19700000000000001</v>
      </c>
      <c r="G138" s="1">
        <v>0.109</v>
      </c>
      <c r="H138" s="1">
        <v>4.9000000000000002E-2</v>
      </c>
      <c r="I138" s="1">
        <v>4832</v>
      </c>
      <c r="J138" s="1">
        <v>4189</v>
      </c>
      <c r="K138" s="1">
        <v>56</v>
      </c>
      <c r="L138" s="1">
        <v>5668</v>
      </c>
      <c r="M138" s="1">
        <v>6161</v>
      </c>
      <c r="N138" s="1">
        <v>74.5</v>
      </c>
      <c r="O138" s="1">
        <v>92</v>
      </c>
      <c r="P138" s="1">
        <v>89.5</v>
      </c>
      <c r="Q138" s="1">
        <v>94</v>
      </c>
      <c r="R138" s="1">
        <v>50.5</v>
      </c>
      <c r="S138" s="1">
        <v>93.5</v>
      </c>
      <c r="T138" s="4">
        <v>0</v>
      </c>
      <c r="U138" s="1">
        <v>1.208</v>
      </c>
      <c r="V138" s="1">
        <v>0.06</v>
      </c>
      <c r="W138" s="1">
        <v>4.0199999999999996</v>
      </c>
      <c r="X138" s="1">
        <f t="shared" ref="X138" si="3065">H137</f>
        <v>2.1000000000000001E-2</v>
      </c>
      <c r="Y138" s="1">
        <f t="shared" ref="Y138" si="3066">H138</f>
        <v>4.9000000000000002E-2</v>
      </c>
      <c r="Z138" s="1">
        <f t="shared" ref="Z138" si="3067">H139</f>
        <v>2.1000000000000001E-2</v>
      </c>
      <c r="AA138" s="1">
        <f t="shared" ref="AA138" si="3068">H140</f>
        <v>1.9E-2</v>
      </c>
      <c r="AB138" s="1">
        <f t="shared" ref="AB138" si="3069">H141</f>
        <v>2.1000000000000001E-2</v>
      </c>
      <c r="AC138" s="1">
        <f t="shared" si="2917"/>
        <v>4574.3145896533397</v>
      </c>
      <c r="AE138" s="1" t="s">
        <v>97</v>
      </c>
      <c r="AF138" s="1">
        <v>0</v>
      </c>
      <c r="AG138" s="1">
        <v>0.12</v>
      </c>
      <c r="AH138" s="1">
        <v>0.21</v>
      </c>
      <c r="AI138" s="1">
        <v>0.26</v>
      </c>
      <c r="AJ138" s="1">
        <v>0.28000000000000003</v>
      </c>
      <c r="AK138" s="1">
        <v>0.26</v>
      </c>
      <c r="AL138" s="1">
        <v>0.21</v>
      </c>
      <c r="AM138" s="20">
        <v>0.12</v>
      </c>
      <c r="AN138" s="1">
        <v>0</v>
      </c>
      <c r="AO138" s="1">
        <v>0.12</v>
      </c>
      <c r="AP138" s="1">
        <v>0.21</v>
      </c>
      <c r="AQ138" s="1">
        <v>0.26</v>
      </c>
      <c r="AR138" s="1">
        <v>0.28000000000000003</v>
      </c>
      <c r="AS138" s="1">
        <v>0.26</v>
      </c>
      <c r="AT138" s="1">
        <v>0.21</v>
      </c>
      <c r="AU138" s="20">
        <v>0.12</v>
      </c>
      <c r="AV138" s="1">
        <v>0</v>
      </c>
      <c r="AW138" s="1">
        <v>0.12</v>
      </c>
      <c r="AX138" s="1">
        <v>0.21</v>
      </c>
      <c r="AY138" s="1">
        <v>0.26</v>
      </c>
      <c r="AZ138" s="1">
        <v>0.28000000000000003</v>
      </c>
      <c r="BA138" s="1">
        <v>0.26</v>
      </c>
      <c r="BB138" s="1">
        <v>0.21</v>
      </c>
      <c r="BC138" s="20">
        <v>0.12</v>
      </c>
      <c r="BD138" s="1">
        <v>0</v>
      </c>
      <c r="BE138" s="1">
        <v>0.12</v>
      </c>
      <c r="BF138" s="1">
        <v>0.21</v>
      </c>
      <c r="BG138" s="1">
        <v>0.26</v>
      </c>
      <c r="BH138" s="1">
        <v>0.28000000000000003</v>
      </c>
      <c r="BI138" s="1">
        <v>0.26</v>
      </c>
      <c r="BJ138" s="1">
        <v>0.21</v>
      </c>
      <c r="BK138" s="20">
        <v>0.12</v>
      </c>
      <c r="BL138" s="1">
        <v>0</v>
      </c>
      <c r="BM138" s="1">
        <v>0.12</v>
      </c>
      <c r="BN138" s="1">
        <v>0.21</v>
      </c>
      <c r="BO138" s="1">
        <v>0.26</v>
      </c>
      <c r="BP138" s="1">
        <v>0.28000000000000003</v>
      </c>
      <c r="BQ138" s="1">
        <v>0.26</v>
      </c>
      <c r="BR138" s="1">
        <v>0.21</v>
      </c>
      <c r="BS138" s="20">
        <v>0.12</v>
      </c>
      <c r="BT138" s="1">
        <v>0</v>
      </c>
      <c r="BU138" s="1">
        <v>0.12</v>
      </c>
      <c r="BV138" s="1">
        <v>0.21</v>
      </c>
      <c r="BW138" s="1">
        <v>0.26</v>
      </c>
      <c r="BX138" s="1">
        <v>0.28000000000000003</v>
      </c>
      <c r="BY138" s="1">
        <v>0.26</v>
      </c>
      <c r="BZ138" s="1">
        <v>0.21</v>
      </c>
      <c r="CA138" s="20">
        <v>0.12</v>
      </c>
      <c r="CB138" s="1">
        <v>0</v>
      </c>
      <c r="CC138" s="1">
        <v>0.12</v>
      </c>
      <c r="CD138" s="1">
        <v>0.21</v>
      </c>
      <c r="CE138" s="1">
        <v>0.26</v>
      </c>
      <c r="CF138" s="1">
        <v>0.28000000000000003</v>
      </c>
      <c r="CG138" s="1">
        <v>0.26</v>
      </c>
      <c r="CH138" s="1">
        <v>0.21</v>
      </c>
      <c r="CI138" s="20">
        <v>0.12</v>
      </c>
      <c r="CJ138" s="1">
        <v>0</v>
      </c>
      <c r="CK138" s="1">
        <v>0.12</v>
      </c>
      <c r="CL138" s="1">
        <v>0.21</v>
      </c>
      <c r="CM138" s="1">
        <v>0.26</v>
      </c>
      <c r="CN138" s="1">
        <v>0.28000000000000003</v>
      </c>
      <c r="CO138" s="1">
        <v>0.26</v>
      </c>
      <c r="CP138" s="1">
        <v>0.21</v>
      </c>
      <c r="CQ138" s="20">
        <v>0.12</v>
      </c>
    </row>
    <row r="139" spans="3:160" x14ac:dyDescent="0.4">
      <c r="C139" s="1" t="s">
        <v>32</v>
      </c>
      <c r="D139" s="1" t="s">
        <v>8</v>
      </c>
      <c r="E139" s="1">
        <v>0.26900000000000002</v>
      </c>
      <c r="F139" s="1">
        <v>0.161</v>
      </c>
      <c r="G139" s="1">
        <v>0.109</v>
      </c>
      <c r="H139" s="1">
        <v>2.1000000000000001E-2</v>
      </c>
      <c r="I139" s="1">
        <v>4832</v>
      </c>
      <c r="J139" s="1">
        <v>4189</v>
      </c>
      <c r="K139" s="1">
        <v>56</v>
      </c>
      <c r="L139" s="1">
        <v>5668</v>
      </c>
      <c r="M139" s="1">
        <v>6161</v>
      </c>
      <c r="N139" s="1">
        <v>74.5</v>
      </c>
      <c r="O139" s="1">
        <v>92</v>
      </c>
      <c r="P139" s="1">
        <v>89.5</v>
      </c>
      <c r="Q139" s="1">
        <v>94</v>
      </c>
      <c r="R139" s="1">
        <v>50.5</v>
      </c>
      <c r="S139" s="1">
        <v>93.5</v>
      </c>
      <c r="T139" s="4">
        <v>0</v>
      </c>
      <c r="U139" s="1">
        <v>1.208</v>
      </c>
      <c r="V139" s="1">
        <v>0.06</v>
      </c>
      <c r="W139" s="1">
        <v>4.0199999999999996</v>
      </c>
      <c r="X139" s="1">
        <f t="shared" ref="X139" si="3070">H137</f>
        <v>2.1000000000000001E-2</v>
      </c>
      <c r="Y139" s="1">
        <f t="shared" ref="Y139" si="3071">H138</f>
        <v>4.9000000000000002E-2</v>
      </c>
      <c r="Z139" s="1">
        <f t="shared" ref="Z139" si="3072">H139</f>
        <v>2.1000000000000001E-2</v>
      </c>
      <c r="AA139" s="1">
        <f t="shared" ref="AA139" si="3073">H140</f>
        <v>1.9E-2</v>
      </c>
      <c r="AB139" s="1">
        <f t="shared" ref="AB139" si="3074">H141</f>
        <v>2.1000000000000001E-2</v>
      </c>
      <c r="AC139" s="1">
        <f t="shared" si="2917"/>
        <v>4574.3145896533397</v>
      </c>
      <c r="CQ139" s="20"/>
    </row>
    <row r="140" spans="3:160" x14ac:dyDescent="0.4">
      <c r="C140" s="1" t="s">
        <v>32</v>
      </c>
      <c r="D140" s="1" t="s">
        <v>9</v>
      </c>
      <c r="E140" s="1">
        <v>0.26600000000000001</v>
      </c>
      <c r="F140" s="1">
        <v>0.158</v>
      </c>
      <c r="G140" s="1">
        <v>0.109</v>
      </c>
      <c r="H140" s="1">
        <v>1.9E-2</v>
      </c>
      <c r="I140" s="1">
        <v>4832</v>
      </c>
      <c r="J140" s="1">
        <v>4189</v>
      </c>
      <c r="K140" s="1">
        <v>56</v>
      </c>
      <c r="L140" s="1">
        <v>5668</v>
      </c>
      <c r="M140" s="1">
        <v>6161</v>
      </c>
      <c r="N140" s="1">
        <v>74.5</v>
      </c>
      <c r="O140" s="1">
        <v>92</v>
      </c>
      <c r="P140" s="1">
        <v>89.5</v>
      </c>
      <c r="Q140" s="1">
        <v>94</v>
      </c>
      <c r="R140" s="1">
        <v>50.5</v>
      </c>
      <c r="S140" s="1">
        <v>93.5</v>
      </c>
      <c r="T140" s="4">
        <v>0</v>
      </c>
      <c r="U140" s="1">
        <v>1.208</v>
      </c>
      <c r="V140" s="1">
        <v>0.06</v>
      </c>
      <c r="W140" s="1">
        <v>4.0199999999999996</v>
      </c>
      <c r="X140" s="1">
        <f t="shared" ref="X140" si="3075">H137</f>
        <v>2.1000000000000001E-2</v>
      </c>
      <c r="Y140" s="1">
        <f t="shared" ref="Y140" si="3076">H138</f>
        <v>4.9000000000000002E-2</v>
      </c>
      <c r="Z140" s="1">
        <f t="shared" ref="Z140" si="3077">H139</f>
        <v>2.1000000000000001E-2</v>
      </c>
      <c r="AA140" s="1">
        <f t="shared" ref="AA140" si="3078">H140</f>
        <v>1.9E-2</v>
      </c>
      <c r="AB140" s="1">
        <f t="shared" ref="AB140" si="3079">H141</f>
        <v>2.1000000000000001E-2</v>
      </c>
      <c r="AC140" s="1">
        <f t="shared" si="2917"/>
        <v>4574.3145896533397</v>
      </c>
      <c r="AE140" s="1" t="s">
        <v>98</v>
      </c>
      <c r="AF140" s="1">
        <v>0</v>
      </c>
      <c r="AG140" s="1">
        <v>6.5000000000000002E-2</v>
      </c>
      <c r="AH140" s="1">
        <v>0.14499999999999999</v>
      </c>
      <c r="AI140" s="1">
        <v>0.245</v>
      </c>
      <c r="AJ140" s="1">
        <v>0.36</v>
      </c>
      <c r="AK140" s="1">
        <v>0.39500000000000002</v>
      </c>
      <c r="AL140" s="1">
        <v>0.64500000000000002</v>
      </c>
      <c r="AM140" s="20">
        <v>0.81499999999999995</v>
      </c>
      <c r="AN140" s="1">
        <v>0</v>
      </c>
      <c r="AO140" s="1">
        <v>6.5000000000000002E-2</v>
      </c>
      <c r="AP140" s="1">
        <v>0.14499999999999999</v>
      </c>
      <c r="AQ140" s="1">
        <v>0.245</v>
      </c>
      <c r="AR140" s="1">
        <v>0.36</v>
      </c>
      <c r="AS140" s="1">
        <v>0.39500000000000002</v>
      </c>
      <c r="AT140" s="1">
        <v>0.64500000000000002</v>
      </c>
      <c r="AU140" s="20">
        <v>0.81499999999999995</v>
      </c>
      <c r="AV140" s="1">
        <v>0</v>
      </c>
      <c r="AW140" s="1">
        <v>6.5000000000000002E-2</v>
      </c>
      <c r="AX140" s="1">
        <v>0.14499999999999999</v>
      </c>
      <c r="AY140" s="1">
        <v>0.245</v>
      </c>
      <c r="AZ140" s="1">
        <v>0.36</v>
      </c>
      <c r="BA140" s="1">
        <v>0.39500000000000002</v>
      </c>
      <c r="BB140" s="1">
        <v>0.64500000000000002</v>
      </c>
      <c r="BC140" s="20">
        <v>0.81499999999999995</v>
      </c>
      <c r="BD140" s="1">
        <v>0</v>
      </c>
      <c r="BE140" s="1">
        <v>6.5000000000000002E-2</v>
      </c>
      <c r="BF140" s="1">
        <v>0.14499999999999999</v>
      </c>
      <c r="BG140" s="1">
        <v>0.245</v>
      </c>
      <c r="BH140" s="1">
        <v>0.36</v>
      </c>
      <c r="BI140" s="1">
        <v>0.39500000000000002</v>
      </c>
      <c r="BJ140" s="1">
        <v>0.64500000000000002</v>
      </c>
      <c r="BK140" s="20">
        <v>0.81499999999999995</v>
      </c>
      <c r="BL140" s="1">
        <v>0</v>
      </c>
      <c r="BM140" s="1">
        <v>6.5000000000000002E-2</v>
      </c>
      <c r="BN140" s="1">
        <v>0.14499999999999999</v>
      </c>
      <c r="BO140" s="1">
        <v>0.245</v>
      </c>
      <c r="BP140" s="1">
        <v>0.36</v>
      </c>
      <c r="BQ140" s="1">
        <v>0.39500000000000002</v>
      </c>
      <c r="BR140" s="1">
        <v>0.64500000000000002</v>
      </c>
      <c r="BS140" s="20">
        <v>0.81499999999999995</v>
      </c>
      <c r="BT140" s="1">
        <v>0</v>
      </c>
      <c r="BU140" s="1">
        <v>6.5000000000000002E-2</v>
      </c>
      <c r="BV140" s="1">
        <v>0.14499999999999999</v>
      </c>
      <c r="BW140" s="1">
        <v>0.245</v>
      </c>
      <c r="BX140" s="1">
        <v>0.36</v>
      </c>
      <c r="BY140" s="1">
        <v>0.39500000000000002</v>
      </c>
      <c r="BZ140" s="1">
        <v>0.64500000000000002</v>
      </c>
      <c r="CA140" s="20">
        <v>0.81499999999999995</v>
      </c>
      <c r="CB140" s="1">
        <v>0</v>
      </c>
      <c r="CC140" s="1">
        <v>6.5000000000000002E-2</v>
      </c>
      <c r="CD140" s="1">
        <v>0.14499999999999999</v>
      </c>
      <c r="CE140" s="1">
        <v>0.245</v>
      </c>
      <c r="CF140" s="1">
        <v>0.36</v>
      </c>
      <c r="CG140" s="1">
        <v>0.39500000000000002</v>
      </c>
      <c r="CH140" s="1">
        <v>0.64500000000000002</v>
      </c>
      <c r="CI140" s="20">
        <v>0.81499999999999995</v>
      </c>
      <c r="CJ140" s="1">
        <v>0</v>
      </c>
      <c r="CK140" s="1">
        <v>6.5000000000000002E-2</v>
      </c>
      <c r="CL140" s="1">
        <v>0.14499999999999999</v>
      </c>
      <c r="CM140" s="1">
        <v>0.245</v>
      </c>
      <c r="CN140" s="1">
        <v>0.36</v>
      </c>
      <c r="CO140" s="1">
        <v>0.39500000000000002</v>
      </c>
      <c r="CP140" s="1">
        <v>0.64500000000000002</v>
      </c>
      <c r="CQ140" s="20">
        <v>0.81499999999999995</v>
      </c>
    </row>
    <row r="141" spans="3:160" s="2" customFormat="1" x14ac:dyDescent="0.4">
      <c r="C141" s="2" t="s">
        <v>32</v>
      </c>
      <c r="D141" s="2" t="s">
        <v>10</v>
      </c>
      <c r="E141" s="2">
        <v>0.26900000000000002</v>
      </c>
      <c r="F141" s="2">
        <v>0.161</v>
      </c>
      <c r="G141" s="2">
        <v>0.109</v>
      </c>
      <c r="H141" s="2">
        <v>2.1000000000000001E-2</v>
      </c>
      <c r="I141" s="2">
        <v>4832</v>
      </c>
      <c r="J141" s="2">
        <v>4189</v>
      </c>
      <c r="K141" s="2">
        <v>56</v>
      </c>
      <c r="L141" s="2">
        <v>5668</v>
      </c>
      <c r="M141" s="2">
        <v>6161</v>
      </c>
      <c r="N141" s="2">
        <v>74.5</v>
      </c>
      <c r="O141" s="2">
        <v>92</v>
      </c>
      <c r="P141" s="2">
        <v>89.5</v>
      </c>
      <c r="Q141" s="2">
        <v>94</v>
      </c>
      <c r="R141" s="2">
        <v>50.5</v>
      </c>
      <c r="S141" s="2">
        <v>93.5</v>
      </c>
      <c r="T141" s="6">
        <f t="shared" si="2448"/>
        <v>7076.7725246851005</v>
      </c>
      <c r="U141" s="2">
        <v>1.208</v>
      </c>
      <c r="V141" s="2">
        <v>0.06</v>
      </c>
      <c r="W141" s="2">
        <v>4.0199999999999996</v>
      </c>
      <c r="X141" s="2">
        <f t="shared" ref="X141" si="3080">H137</f>
        <v>2.1000000000000001E-2</v>
      </c>
      <c r="Y141" s="2">
        <f t="shared" ref="Y141" si="3081">H138</f>
        <v>4.9000000000000002E-2</v>
      </c>
      <c r="Z141" s="2">
        <f t="shared" ref="Z141" si="3082">H139</f>
        <v>2.1000000000000001E-2</v>
      </c>
      <c r="AA141" s="2">
        <f t="shared" ref="AA141" si="3083">H140</f>
        <v>1.9E-2</v>
      </c>
      <c r="AB141" s="2">
        <f t="shared" ref="AB141" si="3084">H141</f>
        <v>2.1000000000000001E-2</v>
      </c>
      <c r="AC141" s="1">
        <f t="shared" si="2917"/>
        <v>4574.3145896533397</v>
      </c>
      <c r="AE141" s="2" t="s">
        <v>99</v>
      </c>
      <c r="AF141" s="23">
        <f>($O141*$Q141*$S141)^(1/3)/(AF136*((1-AF$2)*$H136+AF$2*$H137) + AF138*((1-AF$2)*$H138+AF$2*$H139) + AF140*((1-AF$2)*$H140+AF$2*$H141))</f>
        <v>1693.8686925486315</v>
      </c>
      <c r="AG141" s="23">
        <f t="shared" ref="AG141" si="3085">($O141*$Q141*$S141)^(1/3)/(AG136*((1-AG$2)*$H136+AG$2*$H137) + AG138*((1-AG$2)*$H138+AG$2*$H139) + AG140*((1-AG$2)*$H140+AG$2*$H141))</f>
        <v>1793.6614957677077</v>
      </c>
      <c r="AH141" s="23">
        <f t="shared" ref="AH141" si="3086">($O141*$Q141*$S141)^(1/3)/(AH136*((1-AH$2)*$H136+AH$2*$H137) + AH138*((1-AH$2)*$H138+AH$2*$H139) + AH140*((1-AH$2)*$H140+AH$2*$H141))</f>
        <v>1920.090232691153</v>
      </c>
      <c r="AI141" s="23">
        <f t="shared" ref="AI141" si="3087">($O141*$Q141*$S141)^(1/3)/(AI136*((1-AI$2)*$H136+AI$2*$H137) + AI138*((1-AI$2)*$H138+AI$2*$H139) + AI140*((1-AI$2)*$H140+AI$2*$H141))</f>
        <v>2381.4616076220536</v>
      </c>
      <c r="AJ141" s="23">
        <f t="shared" ref="AJ141" si="3088">($O141*$Q141*$S141)^(1/3)/(AJ136*((1-AJ$2)*$H136+AJ$2*$H137) + AJ138*((1-AJ$2)*$H138+AJ$2*$H139) + AJ140*((1-AJ$2)*$H140+AJ$2*$H141))</f>
        <v>2308.2947990628031</v>
      </c>
      <c r="AK141" s="23">
        <f t="shared" ref="AK141" si="3089">($O141*$Q141*$S141)^(1/3)/(AK136*((1-AK$2)*$H136+AK$2*$H137) + AK138*((1-AK$2)*$H138+AK$2*$H139) + AK140*((1-AK$2)*$H140+AK$2*$H141))</f>
        <v>2762.8344629351941</v>
      </c>
      <c r="AL141" s="23">
        <f t="shared" ref="AL141" si="3090">($O141*$Q141*$S141)^(1/3)/(AL136*((1-AL$2)*$H136+AL$2*$H137) + AL138*((1-AL$2)*$H138+AL$2*$H139) + AL140*((1-AL$2)*$H140+AL$2*$H141))</f>
        <v>3052.5156648156863</v>
      </c>
      <c r="AM141" s="23">
        <f t="shared" ref="AM141" si="3091">($O141*$Q141*$S141)^(1/3)/(AM136*((1-AM$2)*$H136+AM$2*$H137) + AM138*((1-AM$2)*$H138+AM$2*$H139) + AM140*((1-AM$2)*$H140+AM$2*$H141))</f>
        <v>3735.4762666469428</v>
      </c>
      <c r="AN141" s="23">
        <f t="shared" ref="AN141" si="3092">($O141*$Q141*$S141)^(1/3)/(AN136*((1-AN$2)*$H136+AN$2*$H137) + AN138*((1-AN$2)*$H138+AN$2*$H139) + AN140*((1-AN$2)*$H140+AN$2*$H141))</f>
        <v>1835.7197653236401</v>
      </c>
      <c r="AO141" s="23">
        <f t="shared" ref="AO141" si="3093">($O141*$Q141*$S141)^(1/3)/(AO136*((1-AO$2)*$H136+AO$2*$H137) + AO138*((1-AO$2)*$H138+AO$2*$H139) + AO140*((1-AO$2)*$H140+AO$2*$H141))</f>
        <v>1937.9640769707157</v>
      </c>
      <c r="AP141" s="23">
        <f t="shared" ref="AP141" si="3094">($O141*$Q141*$S141)^(1/3)/(AP136*((1-AP$2)*$H136+AP$2*$H137) + AP138*((1-AP$2)*$H138+AP$2*$H139) + AP140*((1-AP$2)*$H140+AP$2*$H141))</f>
        <v>2066.6099842540975</v>
      </c>
      <c r="AQ141" s="23">
        <f t="shared" ref="AQ141" si="3095">($O141*$Q141*$S141)^(1/3)/(AQ136*((1-AQ$2)*$H136+AQ$2*$H137) + AQ138*((1-AQ$2)*$H138+AQ$2*$H139) + AQ140*((1-AQ$2)*$H140+AQ$2*$H141))</f>
        <v>2545.9528070007445</v>
      </c>
      <c r="AR141" s="23">
        <f t="shared" ref="AR141" si="3096">($O141*$Q141*$S141)^(1/3)/(AR136*((1-AR$2)*$H136+AR$2*$H137) + AR138*((1-AR$2)*$H138+AR$2*$H139) + AR140*((1-AR$2)*$H140+AR$2*$H141))</f>
        <v>2455.529206383098</v>
      </c>
      <c r="AS141" s="23">
        <f t="shared" ref="AS141" si="3097">($O141*$Q141*$S141)^(1/3)/(AS136*((1-AS$2)*$H136+AS$2*$H137) + AS138*((1-AS$2)*$H138+AS$2*$H139) + AS140*((1-AS$2)*$H140+AS$2*$H141))</f>
        <v>2923.4416910700475</v>
      </c>
      <c r="AT141" s="23">
        <f t="shared" ref="AT141" si="3098">($O141*$Q141*$S141)^(1/3)/(AT136*((1-AT$2)*$H136+AT$2*$H137) + AT138*((1-AT$2)*$H138+AT$2*$H139) + AT140*((1-AT$2)*$H140+AT$2*$H141))</f>
        <v>3176.3647490683511</v>
      </c>
      <c r="AU141" s="23">
        <f t="shared" ref="AU141" si="3099">($O141*$Q141*$S141)^(1/3)/(AU136*((1-AU$2)*$H136+AU$2*$H137) + AU138*((1-AU$2)*$H138+AU$2*$H139) + AU140*((1-AU$2)*$H140+AU$2*$H141))</f>
        <v>3810.7282172072705</v>
      </c>
      <c r="AV141" s="23">
        <f t="shared" ref="AV141" si="3100">($O141*$Q141*$S141)^(1/3)/(AV136*((1-AV$2)*$H136+AV$2*$H137) + AV138*((1-AV$2)*$H138+AV$2*$H139) + AV140*((1-AV$2)*$H140+AV$2*$H141))</f>
        <v>2003.5006040897795</v>
      </c>
      <c r="AW141" s="23">
        <f t="shared" ref="AW141" si="3101">($O141*$Q141*$S141)^(1/3)/(AW136*((1-AW$2)*$H136+AW$2*$H137) + AW138*((1-AW$2)*$H138+AW$2*$H139) + AW140*((1-AW$2)*$H140+AW$2*$H141))</f>
        <v>2107.5167535386208</v>
      </c>
      <c r="AX141" s="23">
        <f t="shared" ref="AX141" si="3102">($O141*$Q141*$S141)^(1/3)/(AX136*((1-AX$2)*$H136+AX$2*$H137) + AX138*((1-AX$2)*$H138+AX$2*$H139) + AX140*((1-AX$2)*$H140+AX$2*$H141))</f>
        <v>2237.3385708495375</v>
      </c>
      <c r="AY141" s="23">
        <f t="shared" ref="AY141" si="3103">($O141*$Q141*$S141)^(1/3)/(AY136*((1-AY$2)*$H136+AY$2*$H137) + AY138*((1-AY$2)*$H138+AY$2*$H139) + AY140*((1-AY$2)*$H140+AY$2*$H141))</f>
        <v>2734.8533124959563</v>
      </c>
      <c r="AZ141" s="23">
        <f t="shared" ref="AZ141" si="3104">($O141*$Q141*$S141)^(1/3)/(AZ136*((1-AZ$2)*$H136+AZ$2*$H137) + AZ138*((1-AZ$2)*$H138+AZ$2*$H139) + AZ140*((1-AZ$2)*$H140+AZ$2*$H141))</f>
        <v>2622.825959745911</v>
      </c>
      <c r="BA141" s="23">
        <f t="shared" ref="BA141" si="3105">($O141*$Q141*$S141)^(1/3)/(BA136*((1-BA$2)*$H136+BA$2*$H137) + BA138*((1-BA$2)*$H138+BA$2*$H139) + BA140*((1-BA$2)*$H140+BA$2*$H141))</f>
        <v>3103.8739993394884</v>
      </c>
      <c r="BB141" s="23">
        <f t="shared" ref="BB141" si="3106">($O141*$Q141*$S141)^(1/3)/(BB136*((1-BB$2)*$H136+BB$2*$H137) + BB138*((1-BB$2)*$H138+BB$2*$H139) + BB140*((1-BB$2)*$H140+BB$2*$H141))</f>
        <v>3310.6886314916396</v>
      </c>
      <c r="BC141" s="23">
        <f t="shared" ref="BC141" si="3107">($O141*$Q141*$S141)^(1/3)/(BC136*((1-BC$2)*$H136+BC$2*$H137) + BC138*((1-BC$2)*$H138+BC$2*$H139) + BC140*((1-BC$2)*$H140+BC$2*$H141))</f>
        <v>3889.0744349895526</v>
      </c>
      <c r="BD141" s="23">
        <f t="shared" ref="BD141" si="3108">($O141*$Q141*$S141)^(1/3)/(BD136*((1-BD$2)*$H136+BD$2*$H137) + BD138*((1-BD$2)*$H138+BD$2*$H139) + BD140*((1-BD$2)*$H140+BD$2*$H141))</f>
        <v>2205.0361678147865</v>
      </c>
      <c r="BE141" s="23">
        <f t="shared" ref="BE141" si="3109">($O141*$Q141*$S141)^(1/3)/(BE136*((1-BE$2)*$H136+BE$2*$H137) + BE138*((1-BE$2)*$H138+BE$2*$H139) + BE140*((1-BE$2)*$H140+BE$2*$H141))</f>
        <v>2309.5823511664021</v>
      </c>
      <c r="BF141" s="23">
        <f t="shared" ref="BF141" si="3110">($O141*$Q141*$S141)^(1/3)/(BF136*((1-BF$2)*$H136+BF$2*$H137) + BF138*((1-BF$2)*$H138+BF$2*$H139) + BF140*((1-BF$2)*$H140+BF$2*$H141))</f>
        <v>2438.8161803710668</v>
      </c>
      <c r="BG141" s="23">
        <f t="shared" ref="BG141" si="3111">($O141*$Q141*$S141)^(1/3)/(BG136*((1-BG$2)*$H136+BG$2*$H137) + BG138*((1-BG$2)*$H138+BG$2*$H139) + BG140*((1-BG$2)*$H140+BG$2*$H141))</f>
        <v>2954.0318062679266</v>
      </c>
      <c r="BH141" s="23">
        <f t="shared" ref="BH141" si="3112">($O141*$Q141*$S141)^(1/3)/(BH136*((1-BH$2)*$H136+BH$2*$H137) + BH138*((1-BH$2)*$H138+BH$2*$H139) + BH140*((1-BH$2)*$H140+BH$2*$H141))</f>
        <v>2814.5854407907773</v>
      </c>
      <c r="BI141" s="23">
        <f t="shared" ref="BI141" si="3113">($O141*$Q141*$S141)^(1/3)/(BI136*((1-BI$2)*$H136+BI$2*$H137) + BI138*((1-BI$2)*$H138+BI$2*$H139) + BI140*((1-BI$2)*$H140+BI$2*$H141))</f>
        <v>3308.0436072853881</v>
      </c>
      <c r="BJ141" s="23">
        <f t="shared" ref="BJ141" si="3114">($O141*$Q141*$S141)^(1/3)/(BJ136*((1-BJ$2)*$H136+BJ$2*$H137) + BJ138*((1-BJ$2)*$H138+BJ$2*$H139) + BJ140*((1-BJ$2)*$H140+BJ$2*$H141))</f>
        <v>3456.8748827523091</v>
      </c>
      <c r="BK141" s="23">
        <f t="shared" ref="BK141" si="3115">($O141*$Q141*$S141)^(1/3)/(BK136*((1-BK$2)*$H136+BK$2*$H137) + BK138*((1-BK$2)*$H138+BK$2*$H139) + BK140*((1-BK$2)*$H140+BK$2*$H141))</f>
        <v>3970.7097747543839</v>
      </c>
      <c r="BL141" s="23">
        <f t="shared" ref="BL141" si="3116">($O141*$Q141*$S141)^(1/3)/(BL136*((1-BL$2)*$H136+BL$2*$H137) + BL138*((1-BL$2)*$H138+BL$2*$H139) + BL140*((1-BL$2)*$H140+BL$2*$H141))</f>
        <v>2451.6520550045984</v>
      </c>
      <c r="BM141" s="23">
        <f t="shared" ref="BM141" si="3117">($O141*$Q141*$S141)^(1/3)/(BM136*((1-BM$2)*$H136+BM$2*$H137) + BM138*((1-BM$2)*$H138+BM$2*$H139) + BM140*((1-BM$2)*$H140+BM$2*$H141))</f>
        <v>2554.5044718994991</v>
      </c>
      <c r="BN141" s="23">
        <f t="shared" ref="BN141" si="3118">($O141*$Q141*$S141)^(1/3)/(BN136*((1-BN$2)*$H136+BN$2*$H137) + BN138*((1-BN$2)*$H138+BN$2*$H139) + BN140*((1-BN$2)*$H140+BN$2*$H141))</f>
        <v>2680.1719818807464</v>
      </c>
      <c r="BO141" s="23">
        <f t="shared" ref="BO141" si="3119">($O141*$Q141*$S141)^(1/3)/(BO136*((1-BO$2)*$H136+BO$2*$H137) + BO138*((1-BO$2)*$H138+BO$2*$H139) + BO140*((1-BO$2)*$H140+BO$2*$H141))</f>
        <v>3211.4022092442169</v>
      </c>
      <c r="BP141" s="23">
        <f t="shared" ref="BP141" si="3120">($O141*$Q141*$S141)^(1/3)/(BP136*((1-BP$2)*$H136+BP$2*$H137) + BP138*((1-BP$2)*$H138+BP$2*$H139) + BP140*((1-BP$2)*$H140+BP$2*$H141))</f>
        <v>3036.5964175415497</v>
      </c>
      <c r="BQ141" s="23">
        <f t="shared" ref="BQ141" si="3121">($O141*$Q141*$S141)^(1/3)/(BQ136*((1-BQ$2)*$H136+BQ$2*$H137) + BQ138*((1-BQ$2)*$H138+BQ$2*$H139) + BQ140*((1-BQ$2)*$H140+BQ$2*$H141))</f>
        <v>3540.9645796341597</v>
      </c>
      <c r="BR141" s="23">
        <f t="shared" ref="BR141" si="3122">($O141*$Q141*$S141)^(1/3)/(BR136*((1-BR$2)*$H136+BR$2*$H137) + BR138*((1-BR$2)*$H138+BR$2*$H139) + BR140*((1-BR$2)*$H140+BR$2*$H141))</f>
        <v>3616.5674724446717</v>
      </c>
      <c r="BS141" s="23">
        <f t="shared" ref="BS141" si="3123">($O141*$Q141*$S141)^(1/3)/(BS136*((1-BS$2)*$H136+BS$2*$H137) + BS138*((1-BS$2)*$H138+BS$2*$H139) + BS140*((1-BS$2)*$H140+BS$2*$H141))</f>
        <v>4055.8458027938509</v>
      </c>
      <c r="BT141" s="23">
        <f t="shared" ref="BT141" si="3124">($O141*$Q141*$S141)^(1/3)/(BT136*((1-BT$2)*$H136+BT$2*$H137) + BT138*((1-BT$2)*$H138+BT$2*$H139) + BT140*((1-BT$2)*$H140+BT$2*$H141))</f>
        <v>2760.3786100792513</v>
      </c>
      <c r="BU141" s="23">
        <f t="shared" ref="BU141" si="3125">($O141*$Q141*$S141)^(1/3)/(BU136*((1-BU$2)*$H136+BU$2*$H137) + BU138*((1-BU$2)*$H138+BU$2*$H139) + BU140*((1-BU$2)*$H140+BU$2*$H141))</f>
        <v>2857.5347930427033</v>
      </c>
      <c r="BV141" s="23">
        <f t="shared" ref="BV141" si="3126">($O141*$Q141*$S141)^(1/3)/(BV136*((1-BV$2)*$H136+BV$2*$H137) + BV138*((1-BV$2)*$H138+BV$2*$H139) + BV140*((1-BV$2)*$H140+BV$2*$H141))</f>
        <v>2974.5459160336763</v>
      </c>
      <c r="BW141" s="23">
        <f t="shared" ref="BW141" si="3127">($O141*$Q141*$S141)^(1/3)/(BW136*((1-BW$2)*$H136+BW$2*$H137) + BW138*((1-BW$2)*$H138+BW$2*$H139) + BW140*((1-BW$2)*$H140+BW$2*$H141))</f>
        <v>3517.8996729981964</v>
      </c>
      <c r="BX141" s="23">
        <f t="shared" ref="BX141" si="3128">($O141*$Q141*$S141)^(1/3)/(BX136*((1-BX$2)*$H136+BX$2*$H137) + BX138*((1-BX$2)*$H138+BX$2*$H139) + BX140*((1-BX$2)*$H140+BX$2*$H141))</f>
        <v>3296.6305056678957</v>
      </c>
      <c r="BY141" s="23">
        <f t="shared" ref="BY141" si="3129">($O141*$Q141*$S141)^(1/3)/(BY136*((1-BY$2)*$H136+BY$2*$H137) + BY138*((1-BY$2)*$H138+BY$2*$H139) + BY140*((1-BY$2)*$H140+BY$2*$H141))</f>
        <v>3809.1701151047628</v>
      </c>
      <c r="BZ141" s="23">
        <f t="shared" ref="BZ141" si="3130">($O141*$Q141*$S141)^(1/3)/(BZ136*((1-BZ$2)*$H136+BZ$2*$H137) + BZ138*((1-BZ$2)*$H138+BZ$2*$H139) + BZ140*((1-BZ$2)*$H140+BZ$2*$H141))</f>
        <v>3791.7288599989715</v>
      </c>
      <c r="CA141" s="23">
        <f t="shared" ref="CA141" si="3131">($O141*$Q141*$S141)^(1/3)/(CA136*((1-CA$2)*$H136+CA$2*$H137) + CA138*((1-CA$2)*$H138+CA$2*$H139) + CA140*((1-CA$2)*$H140+CA$2*$H141))</f>
        <v>4144.7126277466241</v>
      </c>
      <c r="CB141" s="23">
        <f t="shared" ref="CB141" si="3132">($O141*$Q141*$S141)^(1/3)/(CB136*((1-CB$2)*$H136+CB$2*$H137) + CB138*((1-CB$2)*$H138+CB$2*$H139) + CB140*((1-CB$2)*$H140+CB$2*$H141))</f>
        <v>3158.0602742432116</v>
      </c>
      <c r="CC141" s="23">
        <f t="shared" ref="CC141" si="3133">($O141*$Q141*$S141)^(1/3)/(CC136*((1-CC$2)*$H136+CC$2*$H137) + CC138*((1-CC$2)*$H138+CC$2*$H139) + CC140*((1-CC$2)*$H140+CC$2*$H141))</f>
        <v>3242.1360045301808</v>
      </c>
      <c r="CD141" s="23">
        <f t="shared" ref="CD141" si="3134">($O141*$Q141*$S141)^(1/3)/(CD136*((1-CD$2)*$H136+CD$2*$H137) + CD138*((1-CD$2)*$H138+CD$2*$H139) + CD140*((1-CD$2)*$H140+CD$2*$H141))</f>
        <v>3341.5630591884774</v>
      </c>
      <c r="CE141" s="23">
        <f t="shared" ref="CE141" si="3135">($O141*$Q141*$S141)^(1/3)/(CE136*((1-CE$2)*$H136+CE$2*$H137) + CE138*((1-CE$2)*$H138+CE$2*$H139) + CE140*((1-CE$2)*$H140+CE$2*$H141))</f>
        <v>3889.0744349895535</v>
      </c>
      <c r="CF141" s="23">
        <f t="shared" ref="CF141" si="3136">($O141*$Q141*$S141)^(1/3)/(CF136*((1-CF$2)*$H136+CF$2*$H137) + CF138*((1-CF$2)*$H138+CF$2*$H139) + CF140*((1-CF$2)*$H140+CF$2*$H141))</f>
        <v>3605.3706691244092</v>
      </c>
      <c r="CG141" s="23">
        <f t="shared" ref="CG141" si="3137">($O141*$Q141*$S141)^(1/3)/(CG136*((1-CG$2)*$H136+CG$2*$H137) + CG138*((1-CG$2)*$H138+CG$2*$H139) + CG140*((1-CG$2)*$H140+CG$2*$H141))</f>
        <v>4121.3350183665007</v>
      </c>
      <c r="CH141" s="23">
        <f t="shared" ref="CH141" si="3138">($O141*$Q141*$S141)^(1/3)/(CH136*((1-CH$2)*$H136+CH$2*$H137) + CH138*((1-CH$2)*$H138+CH$2*$H139) + CH140*((1-CH$2)*$H140+CH$2*$H141))</f>
        <v>3984.7210474839494</v>
      </c>
      <c r="CI141" s="23">
        <f t="shared" ref="CI141" si="3139">($O141*$Q141*$S141)^(1/3)/(CI136*((1-CI$2)*$H136+CI$2*$H137) + CI138*((1-CI$2)*$H138+CI$2*$H139) + CI140*((1-CI$2)*$H140+CI$2*$H141))</f>
        <v>4237.560977492597</v>
      </c>
      <c r="CJ141" s="23">
        <f t="shared" ref="CJ141" si="3140">($O141*$Q141*$S141)^(1/3)/(CJ136*((1-CJ$2)*$H136+CJ$2*$H137) + CJ138*((1-CJ$2)*$H138+CJ$2*$H139) + CJ140*((1-CJ$2)*$H140+CJ$2*$H141))</f>
        <v>3689.6149738683062</v>
      </c>
      <c r="CK141" s="23">
        <f t="shared" ref="CK141" si="3141">($O141*$Q141*$S141)^(1/3)/(CK136*((1-CK$2)*$H136+CK$2*$H137) + CK138*((1-CK$2)*$H138+CK$2*$H139) + CK140*((1-CK$2)*$H140+CK$2*$H141))</f>
        <v>3746.3668680074293</v>
      </c>
      <c r="CL141" s="23">
        <f t="shared" ref="CL141" si="3142">($O141*$Q141*$S141)^(1/3)/(CL136*((1-CL$2)*$H136+CL$2*$H137) + CL138*((1-CL$2)*$H138+CL$2*$H139) + CL140*((1-CL$2)*$H140+CL$2*$H141))</f>
        <v>3811.8976305308806</v>
      </c>
      <c r="CM141" s="23">
        <f t="shared" ref="CM141" si="3143">($O141*$Q141*$S141)^(1/3)/(CM136*((1-CM$2)*$H136+CM$2*$H137) + CM138*((1-CM$2)*$H138+CM$2*$H139) + CM140*((1-CM$2)*$H140+CM$2*$H141))</f>
        <v>4347.8137015598977</v>
      </c>
      <c r="CN141" s="23">
        <f t="shared" ref="CN141" si="3144">($O141*$Q141*$S141)^(1/3)/(CN136*((1-CN$2)*$H136+CN$2*$H137) + CN138*((1-CN$2)*$H138+CN$2*$H139) + CN140*((1-CN$2)*$H140+CN$2*$H141))</f>
        <v>3977.9153753276996</v>
      </c>
      <c r="CO141" s="23">
        <f t="shared" ref="CO141" si="3145">($O141*$Q141*$S141)^(1/3)/(CO136*((1-CO$2)*$H136+CO$2*$H137) + CO138*((1-CO$2)*$H138+CO$2*$H139) + CO140*((1-CO$2)*$H140+CO$2*$H141))</f>
        <v>4489.2315668076008</v>
      </c>
      <c r="CP141" s="23">
        <f t="shared" ref="CP141" si="3146">($O141*$Q141*$S141)^(1/3)/(CP136*((1-CP$2)*$H136+CP$2*$H137) + CP138*((1-CP$2)*$H138+CP$2*$H139) + CP140*((1-CP$2)*$H140+CP$2*$H141))</f>
        <v>4198.4127124909746</v>
      </c>
      <c r="CQ141" s="23">
        <f t="shared" ref="CQ141" si="3147">($O141*$Q141*$S141)^(1/3)/(CQ136*((1-CQ$2)*$H136+CQ$2*$H137) + CQ138*((1-CQ$2)*$H138+CQ$2*$H139) + CQ140*((1-CQ$2)*$H140+CQ$2*$H141))</f>
        <v>4334.6645615993839</v>
      </c>
      <c r="CS141" s="2">
        <f t="shared" ref="CS141" si="3148">100*$AF141/AF141</f>
        <v>100</v>
      </c>
      <c r="CT141" s="2">
        <f t="shared" ref="CT141" si="3149">100*$AF141/AG141</f>
        <v>94.436363636363637</v>
      </c>
      <c r="CU141" s="2">
        <f t="shared" ref="CU141" si="3150">100*$AF141/AH141</f>
        <v>88.218181818181804</v>
      </c>
      <c r="CV141" s="2">
        <f t="shared" ref="CV141" si="3151">100*$AF141/AI141</f>
        <v>71.127272727272725</v>
      </c>
      <c r="CW141" s="2">
        <f t="shared" ref="CW141" si="3152">100*$AF141/AJ141</f>
        <v>73.381818181818176</v>
      </c>
      <c r="CX141" s="2">
        <f t="shared" ref="CX141" si="3153">100*$AF141/AK141</f>
        <v>61.309090909090898</v>
      </c>
      <c r="CY141" s="2">
        <f t="shared" ref="CY141" si="3154">100*$AF141/AL141</f>
        <v>55.490909090909085</v>
      </c>
      <c r="CZ141" s="2">
        <f t="shared" ref="CZ141" si="3155">100*$AF141/AM141</f>
        <v>45.345454545454537</v>
      </c>
      <c r="DA141" s="2">
        <f t="shared" ref="DA141" si="3156">100*$AF141/AN141</f>
        <v>92.272727272727266</v>
      </c>
      <c r="DB141" s="2">
        <f t="shared" ref="DB141" si="3157">100*$AF141/AO141</f>
        <v>87.404545454545456</v>
      </c>
      <c r="DC141" s="2">
        <f t="shared" ref="DC141" si="3158">100*$AF141/AP141</f>
        <v>81.963636363636382</v>
      </c>
      <c r="DD141" s="2">
        <f t="shared" ref="DD141" si="3159">100*$AF141/AQ141</f>
        <v>66.531818181818167</v>
      </c>
      <c r="DE141" s="2">
        <f t="shared" ref="DE141" si="3160">100*$AF141/AR141</f>
        <v>68.981818181818184</v>
      </c>
      <c r="DF141" s="2">
        <f t="shared" ref="DF141" si="3161">100*$AF141/AS141</f>
        <v>57.940909090909088</v>
      </c>
      <c r="DG141" s="2">
        <f t="shared" ref="DG141" si="3162">100*$AF141/AT141</f>
        <v>53.327272727272728</v>
      </c>
      <c r="DH141" s="2">
        <f t="shared" ref="DH141" si="3163">100*$AF141/AU141</f>
        <v>44.449999999999996</v>
      </c>
      <c r="DI141" s="2">
        <f t="shared" ref="DI141" si="3164">100*$AF141/AV141</f>
        <v>84.545454545454533</v>
      </c>
      <c r="DJ141" s="2">
        <f t="shared" ref="DJ141" si="3165">100*$AF141/AW141</f>
        <v>80.372727272727275</v>
      </c>
      <c r="DK141" s="2">
        <f t="shared" ref="DK141" si="3166">100*$AF141/AX141</f>
        <v>75.709090909090904</v>
      </c>
      <c r="DL141" s="2">
        <f t="shared" ref="DL141" si="3167">100*$AF141/AY141</f>
        <v>61.936363636363623</v>
      </c>
      <c r="DM141" s="2">
        <f t="shared" ref="DM141" si="3168">100*$AF141/AZ141</f>
        <v>64.581818181818164</v>
      </c>
      <c r="DN141" s="2">
        <f t="shared" ref="DN141" si="3169">100*$AF141/BA141</f>
        <v>54.572727272727263</v>
      </c>
      <c r="DO141" s="2">
        <f t="shared" ref="DO141" si="3170">100*$AF141/BB141</f>
        <v>51.163636363636364</v>
      </c>
      <c r="DP141" s="2">
        <f t="shared" ref="DP141" si="3171">100*$AF141/BC141</f>
        <v>43.554545454545455</v>
      </c>
      <c r="DQ141" s="2">
        <f t="shared" ref="DQ141" si="3172">100*$AF141/BD141</f>
        <v>76.818181818181827</v>
      </c>
      <c r="DR141" s="2">
        <f t="shared" ref="DR141" si="3173">100*$AF141/BE141</f>
        <v>73.340909090909079</v>
      </c>
      <c r="DS141" s="2">
        <f t="shared" ref="DS141" si="3174">100*$AF141/BF141</f>
        <v>69.454545454545439</v>
      </c>
      <c r="DT141" s="2">
        <f t="shared" ref="DT141" si="3175">100*$AF141/BG141</f>
        <v>57.340909090909086</v>
      </c>
      <c r="DU141" s="2">
        <f t="shared" ref="DU141" si="3176">100*$AF141/BH141</f>
        <v>60.181818181818187</v>
      </c>
      <c r="DV141" s="2">
        <f t="shared" ref="DV141" si="3177">100*$AF141/BI141</f>
        <v>51.204545454545446</v>
      </c>
      <c r="DW141" s="2">
        <f t="shared" ref="DW141" si="3178">100*$AF141/BJ141</f>
        <v>49</v>
      </c>
      <c r="DX141" s="2">
        <f t="shared" ref="DX141" si="3179">100*$AF141/BK141</f>
        <v>42.659090909090907</v>
      </c>
      <c r="DY141" s="2">
        <f t="shared" ref="DY141" si="3180">100*$AF141/BL141</f>
        <v>69.090909090909079</v>
      </c>
      <c r="DZ141" s="2">
        <f t="shared" ref="DZ141" si="3181">100*$AF141/BM141</f>
        <v>66.309090909090912</v>
      </c>
      <c r="EA141" s="2">
        <f t="shared" ref="EA141" si="3182">100*$AF141/BN141</f>
        <v>63.199999999999989</v>
      </c>
      <c r="EB141" s="2">
        <f t="shared" ref="EB141" si="3183">100*$AF141/BO141</f>
        <v>52.745454545454542</v>
      </c>
      <c r="EC141" s="2">
        <f t="shared" ref="EC141" si="3184">100*$AF141/BP141</f>
        <v>55.781818181818174</v>
      </c>
      <c r="ED141" s="2">
        <f t="shared" ref="ED141" si="3185">100*$AF141/BQ141</f>
        <v>47.836363636363629</v>
      </c>
      <c r="EE141" s="2">
        <f t="shared" ref="EE141" si="3186">100*$AF141/BR141</f>
        <v>46.836363636363629</v>
      </c>
      <c r="EF141" s="2">
        <f t="shared" ref="EF141" si="3187">100*$AF141/BS141</f>
        <v>41.763636363636351</v>
      </c>
      <c r="EG141" s="2">
        <f t="shared" ref="EG141" si="3188">100*$AF141/BT141</f>
        <v>61.363636363636367</v>
      </c>
      <c r="EH141" s="2">
        <f t="shared" ref="EH141" si="3189">100*$AF141/BU141</f>
        <v>59.277272727272724</v>
      </c>
      <c r="EI141" s="2">
        <f t="shared" ref="EI141" si="3190">100*$AF141/BV141</f>
        <v>56.945454545454538</v>
      </c>
      <c r="EJ141" s="2">
        <f t="shared" ref="EJ141" si="3191">100*$AF141/BW141</f>
        <v>48.15</v>
      </c>
      <c r="EK141" s="2">
        <f t="shared" ref="EK141" si="3192">100*$AF141/BX141</f>
        <v>51.381818181818183</v>
      </c>
      <c r="EL141" s="2">
        <f t="shared" ref="EL141" si="3193">100*$AF141/BY141</f>
        <v>44.468181818181819</v>
      </c>
      <c r="EM141" s="2">
        <f t="shared" ref="EM141" si="3194">100*$AF141/BZ141</f>
        <v>44.672727272727272</v>
      </c>
      <c r="EN141" s="2">
        <f t="shared" ref="EN141" si="3195">100*$AF141/CA141</f>
        <v>40.868181818181817</v>
      </c>
      <c r="EO141" s="2">
        <f t="shared" ref="EO141" si="3196">100*$AF141/CB141</f>
        <v>53.636363636363633</v>
      </c>
      <c r="EP141" s="2">
        <f t="shared" ref="EP141" si="3197">100*$AF141/CC141</f>
        <v>52.245454545454535</v>
      </c>
      <c r="EQ141" s="2">
        <f t="shared" ref="EQ141" si="3198">100*$AF141/CD141</f>
        <v>50.690909090909081</v>
      </c>
      <c r="ER141" s="2">
        <f t="shared" ref="ER141" si="3199">100*$AF141/CE141</f>
        <v>43.554545454545448</v>
      </c>
      <c r="ES141" s="2">
        <f t="shared" ref="ES141" si="3200">100*$AF141/CF141</f>
        <v>46.981818181818184</v>
      </c>
      <c r="ET141" s="2">
        <f t="shared" ref="ET141" si="3201">100*$AF141/CG141</f>
        <v>41.099999999999994</v>
      </c>
      <c r="EU141" s="2">
        <f t="shared" ref="EU141" si="3202">100*$AF141/CH141</f>
        <v>42.509090909090908</v>
      </c>
      <c r="EV141" s="2">
        <f t="shared" ref="EV141" si="3203">100*$AF141/CI141</f>
        <v>39.972727272727269</v>
      </c>
      <c r="EW141" s="2">
        <f t="shared" ref="EW141" si="3204">100*$AF141/CJ141</f>
        <v>45.909090909090914</v>
      </c>
      <c r="EX141" s="2">
        <f t="shared" ref="EX141" si="3205">100*$AF141/CK141</f>
        <v>45.213636363636354</v>
      </c>
      <c r="EY141" s="2">
        <f t="shared" ref="EY141" si="3206">100*$AF141/CL141</f>
        <v>44.436363636363645</v>
      </c>
      <c r="EZ141" s="2">
        <f t="shared" ref="EZ141" si="3207">100*$AF141/CM141</f>
        <v>38.959090909090918</v>
      </c>
      <c r="FA141" s="2">
        <f t="shared" ref="FA141" si="3208">100*$AF141/CN141</f>
        <v>42.581818181818186</v>
      </c>
      <c r="FB141" s="2">
        <f t="shared" ref="FB141" si="3209">100*$AF141/CO141</f>
        <v>37.731818181818184</v>
      </c>
      <c r="FC141" s="2">
        <f t="shared" ref="FC141" si="3210">100*$AF141/CP141</f>
        <v>40.345454545454551</v>
      </c>
      <c r="FD141" s="2">
        <f t="shared" ref="FD141" si="3211">100*$AF141/CQ141</f>
        <v>39.077272727272714</v>
      </c>
    </row>
    <row r="142" spans="3:160" x14ac:dyDescent="0.4">
      <c r="C142" s="1" t="s">
        <v>33</v>
      </c>
      <c r="D142" s="1" t="s">
        <v>5</v>
      </c>
      <c r="E142" s="1">
        <v>0.312</v>
      </c>
      <c r="F142" s="1">
        <v>0.20300000000000001</v>
      </c>
      <c r="G142" s="1">
        <v>0.109</v>
      </c>
      <c r="H142" s="1">
        <v>5.5E-2</v>
      </c>
      <c r="I142" s="1">
        <v>4774</v>
      </c>
      <c r="J142" s="1">
        <v>4309</v>
      </c>
      <c r="K142" s="1">
        <v>56</v>
      </c>
      <c r="L142" s="1">
        <v>5619</v>
      </c>
      <c r="M142" s="1">
        <v>6281</v>
      </c>
      <c r="N142" s="1">
        <v>74.5</v>
      </c>
      <c r="O142" s="1">
        <v>92</v>
      </c>
      <c r="P142" s="1">
        <v>89.5</v>
      </c>
      <c r="Q142" s="1">
        <v>94</v>
      </c>
      <c r="R142" s="1">
        <v>50.5</v>
      </c>
      <c r="S142" s="1">
        <v>93.5</v>
      </c>
      <c r="T142" s="4">
        <v>0</v>
      </c>
      <c r="U142" s="1">
        <v>1.954</v>
      </c>
      <c r="V142" s="1">
        <v>8.1000000000000003E-2</v>
      </c>
      <c r="W142" s="1">
        <v>4.0199999999999996</v>
      </c>
      <c r="X142" s="1">
        <f t="shared" ref="X142" si="3212">H143</f>
        <v>2.1000000000000001E-2</v>
      </c>
      <c r="Y142" s="1">
        <f t="shared" ref="Y142" si="3213">H144</f>
        <v>4.9000000000000002E-2</v>
      </c>
      <c r="Z142" s="1">
        <f t="shared" ref="Z142" si="3214">H145</f>
        <v>2.1000000000000001E-2</v>
      </c>
      <c r="AA142" s="1">
        <f t="shared" ref="AA142" si="3215">H146</f>
        <v>1.9E-2</v>
      </c>
      <c r="AB142" s="1">
        <f t="shared" ref="AB142" si="3216">H147</f>
        <v>2.1000000000000001E-2</v>
      </c>
      <c r="AC142" s="1">
        <f t="shared" si="2917"/>
        <v>4573.8654338893257</v>
      </c>
      <c r="AE142" s="1" t="s">
        <v>96</v>
      </c>
      <c r="AF142" s="1">
        <v>1</v>
      </c>
      <c r="AG142" s="1">
        <v>0.81499999999999995</v>
      </c>
      <c r="AH142" s="1">
        <v>0.64500000000000002</v>
      </c>
      <c r="AI142" s="1">
        <v>0.39500000000000002</v>
      </c>
      <c r="AJ142" s="1">
        <v>0.36</v>
      </c>
      <c r="AK142" s="1">
        <v>0.245</v>
      </c>
      <c r="AL142" s="1">
        <v>0.14499999999999999</v>
      </c>
      <c r="AM142" s="20">
        <v>6.5000000000000002E-2</v>
      </c>
      <c r="AN142" s="1">
        <v>1</v>
      </c>
      <c r="AO142" s="1">
        <v>0.81499999999999995</v>
      </c>
      <c r="AP142" s="1">
        <v>0.64500000000000002</v>
      </c>
      <c r="AQ142" s="1">
        <v>0.39500000000000002</v>
      </c>
      <c r="AR142" s="1">
        <v>0.36</v>
      </c>
      <c r="AS142" s="1">
        <v>0.245</v>
      </c>
      <c r="AT142" s="1">
        <v>0.14499999999999999</v>
      </c>
      <c r="AU142" s="20">
        <v>6.5000000000000002E-2</v>
      </c>
      <c r="AV142" s="1">
        <v>1</v>
      </c>
      <c r="AW142" s="1">
        <v>0.81499999999999995</v>
      </c>
      <c r="AX142" s="1">
        <v>0.64500000000000002</v>
      </c>
      <c r="AY142" s="1">
        <v>0.39500000000000002</v>
      </c>
      <c r="AZ142" s="1">
        <v>0.36</v>
      </c>
      <c r="BA142" s="1">
        <v>0.245</v>
      </c>
      <c r="BB142" s="1">
        <v>0.14499999999999999</v>
      </c>
      <c r="BC142" s="20">
        <v>6.5000000000000002E-2</v>
      </c>
      <c r="BD142" s="1">
        <v>1</v>
      </c>
      <c r="BE142" s="1">
        <v>0.81499999999999995</v>
      </c>
      <c r="BF142" s="1">
        <v>0.64500000000000002</v>
      </c>
      <c r="BG142" s="1">
        <v>0.39500000000000002</v>
      </c>
      <c r="BH142" s="1">
        <v>0.36</v>
      </c>
      <c r="BI142" s="1">
        <v>0.245</v>
      </c>
      <c r="BJ142" s="1">
        <v>0.14499999999999999</v>
      </c>
      <c r="BK142" s="20">
        <v>6.5000000000000002E-2</v>
      </c>
      <c r="BL142" s="1">
        <v>1</v>
      </c>
      <c r="BM142" s="1">
        <v>0.81499999999999995</v>
      </c>
      <c r="BN142" s="1">
        <v>0.64500000000000002</v>
      </c>
      <c r="BO142" s="1">
        <v>0.39500000000000002</v>
      </c>
      <c r="BP142" s="1">
        <v>0.36</v>
      </c>
      <c r="BQ142" s="1">
        <v>0.245</v>
      </c>
      <c r="BR142" s="1">
        <v>0.14499999999999999</v>
      </c>
      <c r="BS142" s="20">
        <v>6.5000000000000002E-2</v>
      </c>
      <c r="BT142" s="1">
        <v>1</v>
      </c>
      <c r="BU142" s="1">
        <v>0.81499999999999995</v>
      </c>
      <c r="BV142" s="1">
        <v>0.64500000000000002</v>
      </c>
      <c r="BW142" s="1">
        <v>0.39500000000000002</v>
      </c>
      <c r="BX142" s="1">
        <v>0.36</v>
      </c>
      <c r="BY142" s="1">
        <v>0.245</v>
      </c>
      <c r="BZ142" s="1">
        <v>0.14499999999999999</v>
      </c>
      <c r="CA142" s="20">
        <v>6.5000000000000002E-2</v>
      </c>
      <c r="CB142" s="1">
        <v>1</v>
      </c>
      <c r="CC142" s="1">
        <v>0.81499999999999995</v>
      </c>
      <c r="CD142" s="1">
        <v>0.64500000000000002</v>
      </c>
      <c r="CE142" s="1">
        <v>0.39500000000000002</v>
      </c>
      <c r="CF142" s="1">
        <v>0.36</v>
      </c>
      <c r="CG142" s="1">
        <v>0.245</v>
      </c>
      <c r="CH142" s="1">
        <v>0.14499999999999999</v>
      </c>
      <c r="CI142" s="20">
        <v>6.5000000000000002E-2</v>
      </c>
      <c r="CJ142" s="1">
        <v>1</v>
      </c>
      <c r="CK142" s="1">
        <v>0.81499999999999995</v>
      </c>
      <c r="CL142" s="1">
        <v>0.64500000000000002</v>
      </c>
      <c r="CM142" s="1">
        <v>0.39500000000000002</v>
      </c>
      <c r="CN142" s="1">
        <v>0.36</v>
      </c>
      <c r="CO142" s="1">
        <v>0.245</v>
      </c>
      <c r="CP142" s="1">
        <v>0.14499999999999999</v>
      </c>
      <c r="CQ142" s="20">
        <v>6.5000000000000002E-2</v>
      </c>
    </row>
    <row r="143" spans="3:160" x14ac:dyDescent="0.4">
      <c r="C143" s="1" t="s">
        <v>33</v>
      </c>
      <c r="D143" s="1" t="s">
        <v>6</v>
      </c>
      <c r="E143" s="1">
        <v>0.26900000000000002</v>
      </c>
      <c r="F143" s="1">
        <v>0.16</v>
      </c>
      <c r="G143" s="1">
        <v>0.109</v>
      </c>
      <c r="H143" s="1">
        <v>2.1000000000000001E-2</v>
      </c>
      <c r="I143" s="1">
        <v>4774</v>
      </c>
      <c r="J143" s="1">
        <v>4309</v>
      </c>
      <c r="K143" s="1">
        <v>56</v>
      </c>
      <c r="L143" s="1">
        <v>5619</v>
      </c>
      <c r="M143" s="1">
        <v>6281</v>
      </c>
      <c r="N143" s="1">
        <v>74.5</v>
      </c>
      <c r="O143" s="1">
        <v>92</v>
      </c>
      <c r="P143" s="1">
        <v>89.5</v>
      </c>
      <c r="Q143" s="1">
        <v>94</v>
      </c>
      <c r="R143" s="1">
        <v>50.5</v>
      </c>
      <c r="S143" s="1">
        <v>93.5</v>
      </c>
      <c r="T143" s="4">
        <v>0</v>
      </c>
      <c r="U143" s="1">
        <v>1.954</v>
      </c>
      <c r="V143" s="1">
        <v>8.1000000000000003E-2</v>
      </c>
      <c r="W143" s="1">
        <v>4.0199999999999996</v>
      </c>
      <c r="X143" s="1">
        <f t="shared" ref="X143" si="3217">H143</f>
        <v>2.1000000000000001E-2</v>
      </c>
      <c r="Y143" s="1">
        <f t="shared" ref="Y143" si="3218">H144</f>
        <v>4.9000000000000002E-2</v>
      </c>
      <c r="Z143" s="1">
        <f t="shared" ref="Z143" si="3219">H145</f>
        <v>2.1000000000000001E-2</v>
      </c>
      <c r="AA143" s="1">
        <f t="shared" ref="AA143" si="3220">H146</f>
        <v>1.9E-2</v>
      </c>
      <c r="AB143" s="1">
        <f t="shared" ref="AB143" si="3221">H147</f>
        <v>2.1000000000000001E-2</v>
      </c>
      <c r="AC143" s="1">
        <f t="shared" si="2917"/>
        <v>4573.8654338893257</v>
      </c>
      <c r="CQ143" s="20"/>
    </row>
    <row r="144" spans="3:160" x14ac:dyDescent="0.4">
      <c r="C144" s="1" t="s">
        <v>33</v>
      </c>
      <c r="D144" s="1" t="s">
        <v>7</v>
      </c>
      <c r="E144" s="1">
        <v>0.30599999999999999</v>
      </c>
      <c r="F144" s="1">
        <v>0.19700000000000001</v>
      </c>
      <c r="G144" s="1">
        <v>0.109</v>
      </c>
      <c r="H144" s="1">
        <v>4.9000000000000002E-2</v>
      </c>
      <c r="I144" s="1">
        <v>4774</v>
      </c>
      <c r="J144" s="1">
        <v>4309</v>
      </c>
      <c r="K144" s="1">
        <v>56</v>
      </c>
      <c r="L144" s="1">
        <v>5619</v>
      </c>
      <c r="M144" s="1">
        <v>6281</v>
      </c>
      <c r="N144" s="1">
        <v>74.5</v>
      </c>
      <c r="O144" s="1">
        <v>92</v>
      </c>
      <c r="P144" s="1">
        <v>89.5</v>
      </c>
      <c r="Q144" s="1">
        <v>94</v>
      </c>
      <c r="R144" s="1">
        <v>50.5</v>
      </c>
      <c r="S144" s="1">
        <v>93.5</v>
      </c>
      <c r="T144" s="4">
        <v>0</v>
      </c>
      <c r="U144" s="1">
        <v>1.954</v>
      </c>
      <c r="V144" s="1">
        <v>8.1000000000000003E-2</v>
      </c>
      <c r="W144" s="1">
        <v>4.0199999999999996</v>
      </c>
      <c r="X144" s="1">
        <f t="shared" ref="X144" si="3222">H143</f>
        <v>2.1000000000000001E-2</v>
      </c>
      <c r="Y144" s="1">
        <f t="shared" ref="Y144" si="3223">H144</f>
        <v>4.9000000000000002E-2</v>
      </c>
      <c r="Z144" s="1">
        <f t="shared" ref="Z144" si="3224">H145</f>
        <v>2.1000000000000001E-2</v>
      </c>
      <c r="AA144" s="1">
        <f t="shared" ref="AA144" si="3225">H146</f>
        <v>1.9E-2</v>
      </c>
      <c r="AB144" s="1">
        <f t="shared" ref="AB144" si="3226">H147</f>
        <v>2.1000000000000001E-2</v>
      </c>
      <c r="AC144" s="1">
        <f t="shared" si="2917"/>
        <v>4573.8654338893257</v>
      </c>
      <c r="AE144" s="1" t="s">
        <v>97</v>
      </c>
      <c r="AF144" s="1">
        <v>0</v>
      </c>
      <c r="AG144" s="1">
        <v>0.12</v>
      </c>
      <c r="AH144" s="1">
        <v>0.21</v>
      </c>
      <c r="AI144" s="1">
        <v>0.26</v>
      </c>
      <c r="AJ144" s="1">
        <v>0.28000000000000003</v>
      </c>
      <c r="AK144" s="1">
        <v>0.26</v>
      </c>
      <c r="AL144" s="1">
        <v>0.21</v>
      </c>
      <c r="AM144" s="20">
        <v>0.12</v>
      </c>
      <c r="AN144" s="1">
        <v>0</v>
      </c>
      <c r="AO144" s="1">
        <v>0.12</v>
      </c>
      <c r="AP144" s="1">
        <v>0.21</v>
      </c>
      <c r="AQ144" s="1">
        <v>0.26</v>
      </c>
      <c r="AR144" s="1">
        <v>0.28000000000000003</v>
      </c>
      <c r="AS144" s="1">
        <v>0.26</v>
      </c>
      <c r="AT144" s="1">
        <v>0.21</v>
      </c>
      <c r="AU144" s="20">
        <v>0.12</v>
      </c>
      <c r="AV144" s="1">
        <v>0</v>
      </c>
      <c r="AW144" s="1">
        <v>0.12</v>
      </c>
      <c r="AX144" s="1">
        <v>0.21</v>
      </c>
      <c r="AY144" s="1">
        <v>0.26</v>
      </c>
      <c r="AZ144" s="1">
        <v>0.28000000000000003</v>
      </c>
      <c r="BA144" s="1">
        <v>0.26</v>
      </c>
      <c r="BB144" s="1">
        <v>0.21</v>
      </c>
      <c r="BC144" s="20">
        <v>0.12</v>
      </c>
      <c r="BD144" s="1">
        <v>0</v>
      </c>
      <c r="BE144" s="1">
        <v>0.12</v>
      </c>
      <c r="BF144" s="1">
        <v>0.21</v>
      </c>
      <c r="BG144" s="1">
        <v>0.26</v>
      </c>
      <c r="BH144" s="1">
        <v>0.28000000000000003</v>
      </c>
      <c r="BI144" s="1">
        <v>0.26</v>
      </c>
      <c r="BJ144" s="1">
        <v>0.21</v>
      </c>
      <c r="BK144" s="20">
        <v>0.12</v>
      </c>
      <c r="BL144" s="1">
        <v>0</v>
      </c>
      <c r="BM144" s="1">
        <v>0.12</v>
      </c>
      <c r="BN144" s="1">
        <v>0.21</v>
      </c>
      <c r="BO144" s="1">
        <v>0.26</v>
      </c>
      <c r="BP144" s="1">
        <v>0.28000000000000003</v>
      </c>
      <c r="BQ144" s="1">
        <v>0.26</v>
      </c>
      <c r="BR144" s="1">
        <v>0.21</v>
      </c>
      <c r="BS144" s="20">
        <v>0.12</v>
      </c>
      <c r="BT144" s="1">
        <v>0</v>
      </c>
      <c r="BU144" s="1">
        <v>0.12</v>
      </c>
      <c r="BV144" s="1">
        <v>0.21</v>
      </c>
      <c r="BW144" s="1">
        <v>0.26</v>
      </c>
      <c r="BX144" s="1">
        <v>0.28000000000000003</v>
      </c>
      <c r="BY144" s="1">
        <v>0.26</v>
      </c>
      <c r="BZ144" s="1">
        <v>0.21</v>
      </c>
      <c r="CA144" s="20">
        <v>0.12</v>
      </c>
      <c r="CB144" s="1">
        <v>0</v>
      </c>
      <c r="CC144" s="1">
        <v>0.12</v>
      </c>
      <c r="CD144" s="1">
        <v>0.21</v>
      </c>
      <c r="CE144" s="1">
        <v>0.26</v>
      </c>
      <c r="CF144" s="1">
        <v>0.28000000000000003</v>
      </c>
      <c r="CG144" s="1">
        <v>0.26</v>
      </c>
      <c r="CH144" s="1">
        <v>0.21</v>
      </c>
      <c r="CI144" s="20">
        <v>0.12</v>
      </c>
      <c r="CJ144" s="1">
        <v>0</v>
      </c>
      <c r="CK144" s="1">
        <v>0.12</v>
      </c>
      <c r="CL144" s="1">
        <v>0.21</v>
      </c>
      <c r="CM144" s="1">
        <v>0.26</v>
      </c>
      <c r="CN144" s="1">
        <v>0.28000000000000003</v>
      </c>
      <c r="CO144" s="1">
        <v>0.26</v>
      </c>
      <c r="CP144" s="1">
        <v>0.21</v>
      </c>
      <c r="CQ144" s="20">
        <v>0.12</v>
      </c>
    </row>
    <row r="145" spans="3:160" x14ac:dyDescent="0.4">
      <c r="C145" s="1" t="s">
        <v>33</v>
      </c>
      <c r="D145" s="1" t="s">
        <v>8</v>
      </c>
      <c r="E145" s="1">
        <v>0.26900000000000002</v>
      </c>
      <c r="F145" s="1">
        <v>0.161</v>
      </c>
      <c r="G145" s="1">
        <v>0.109</v>
      </c>
      <c r="H145" s="1">
        <v>2.1000000000000001E-2</v>
      </c>
      <c r="I145" s="1">
        <v>4774</v>
      </c>
      <c r="J145" s="1">
        <v>4309</v>
      </c>
      <c r="K145" s="1">
        <v>56</v>
      </c>
      <c r="L145" s="1">
        <v>5619</v>
      </c>
      <c r="M145" s="1">
        <v>6281</v>
      </c>
      <c r="N145" s="1">
        <v>74.5</v>
      </c>
      <c r="O145" s="1">
        <v>92</v>
      </c>
      <c r="P145" s="1">
        <v>89.5</v>
      </c>
      <c r="Q145" s="1">
        <v>94</v>
      </c>
      <c r="R145" s="1">
        <v>50.5</v>
      </c>
      <c r="S145" s="1">
        <v>93.5</v>
      </c>
      <c r="T145" s="4">
        <v>0</v>
      </c>
      <c r="U145" s="1">
        <v>1.954</v>
      </c>
      <c r="V145" s="1">
        <v>8.1000000000000003E-2</v>
      </c>
      <c r="W145" s="1">
        <v>4.0199999999999996</v>
      </c>
      <c r="X145" s="1">
        <f t="shared" ref="X145" si="3227">H143</f>
        <v>2.1000000000000001E-2</v>
      </c>
      <c r="Y145" s="1">
        <f t="shared" ref="Y145" si="3228">H144</f>
        <v>4.9000000000000002E-2</v>
      </c>
      <c r="Z145" s="1">
        <f t="shared" ref="Z145" si="3229">H145</f>
        <v>2.1000000000000001E-2</v>
      </c>
      <c r="AA145" s="1">
        <f t="shared" ref="AA145" si="3230">H146</f>
        <v>1.9E-2</v>
      </c>
      <c r="AB145" s="1">
        <f t="shared" ref="AB145" si="3231">H147</f>
        <v>2.1000000000000001E-2</v>
      </c>
      <c r="AC145" s="1">
        <f t="shared" si="2917"/>
        <v>4573.8654338893257</v>
      </c>
      <c r="CQ145" s="20"/>
    </row>
    <row r="146" spans="3:160" x14ac:dyDescent="0.4">
      <c r="C146" s="1" t="s">
        <v>33</v>
      </c>
      <c r="D146" s="1" t="s">
        <v>9</v>
      </c>
      <c r="E146" s="1">
        <v>0.26600000000000001</v>
      </c>
      <c r="F146" s="1">
        <v>0.158</v>
      </c>
      <c r="G146" s="1">
        <v>0.109</v>
      </c>
      <c r="H146" s="1">
        <v>1.9E-2</v>
      </c>
      <c r="I146" s="1">
        <v>4774</v>
      </c>
      <c r="J146" s="1">
        <v>4309</v>
      </c>
      <c r="K146" s="1">
        <v>56</v>
      </c>
      <c r="L146" s="1">
        <v>5619</v>
      </c>
      <c r="M146" s="1">
        <v>6281</v>
      </c>
      <c r="N146" s="1">
        <v>74.5</v>
      </c>
      <c r="O146" s="1">
        <v>92</v>
      </c>
      <c r="P146" s="1">
        <v>89.5</v>
      </c>
      <c r="Q146" s="1">
        <v>94</v>
      </c>
      <c r="R146" s="1">
        <v>50.5</v>
      </c>
      <c r="S146" s="1">
        <v>93.5</v>
      </c>
      <c r="T146" s="4">
        <v>0</v>
      </c>
      <c r="U146" s="1">
        <v>1.954</v>
      </c>
      <c r="V146" s="1">
        <v>8.1000000000000003E-2</v>
      </c>
      <c r="W146" s="1">
        <v>4.0199999999999996</v>
      </c>
      <c r="X146" s="1">
        <f t="shared" ref="X146" si="3232">H143</f>
        <v>2.1000000000000001E-2</v>
      </c>
      <c r="Y146" s="1">
        <f t="shared" ref="Y146" si="3233">H144</f>
        <v>4.9000000000000002E-2</v>
      </c>
      <c r="Z146" s="1">
        <f t="shared" ref="Z146" si="3234">H145</f>
        <v>2.1000000000000001E-2</v>
      </c>
      <c r="AA146" s="1">
        <f t="shared" ref="AA146" si="3235">H146</f>
        <v>1.9E-2</v>
      </c>
      <c r="AB146" s="1">
        <f t="shared" ref="AB146" si="3236">H147</f>
        <v>2.1000000000000001E-2</v>
      </c>
      <c r="AC146" s="1">
        <f t="shared" si="2917"/>
        <v>4573.8654338893257</v>
      </c>
      <c r="AE146" s="1" t="s">
        <v>98</v>
      </c>
      <c r="AF146" s="1">
        <v>0</v>
      </c>
      <c r="AG146" s="1">
        <v>6.5000000000000002E-2</v>
      </c>
      <c r="AH146" s="1">
        <v>0.14499999999999999</v>
      </c>
      <c r="AI146" s="1">
        <v>0.245</v>
      </c>
      <c r="AJ146" s="1">
        <v>0.36</v>
      </c>
      <c r="AK146" s="1">
        <v>0.39500000000000002</v>
      </c>
      <c r="AL146" s="1">
        <v>0.64500000000000002</v>
      </c>
      <c r="AM146" s="20">
        <v>0.81499999999999995</v>
      </c>
      <c r="AN146" s="1">
        <v>0</v>
      </c>
      <c r="AO146" s="1">
        <v>6.5000000000000002E-2</v>
      </c>
      <c r="AP146" s="1">
        <v>0.14499999999999999</v>
      </c>
      <c r="AQ146" s="1">
        <v>0.245</v>
      </c>
      <c r="AR146" s="1">
        <v>0.36</v>
      </c>
      <c r="AS146" s="1">
        <v>0.39500000000000002</v>
      </c>
      <c r="AT146" s="1">
        <v>0.64500000000000002</v>
      </c>
      <c r="AU146" s="20">
        <v>0.81499999999999995</v>
      </c>
      <c r="AV146" s="1">
        <v>0</v>
      </c>
      <c r="AW146" s="1">
        <v>6.5000000000000002E-2</v>
      </c>
      <c r="AX146" s="1">
        <v>0.14499999999999999</v>
      </c>
      <c r="AY146" s="1">
        <v>0.245</v>
      </c>
      <c r="AZ146" s="1">
        <v>0.36</v>
      </c>
      <c r="BA146" s="1">
        <v>0.39500000000000002</v>
      </c>
      <c r="BB146" s="1">
        <v>0.64500000000000002</v>
      </c>
      <c r="BC146" s="20">
        <v>0.81499999999999995</v>
      </c>
      <c r="BD146" s="1">
        <v>0</v>
      </c>
      <c r="BE146" s="1">
        <v>6.5000000000000002E-2</v>
      </c>
      <c r="BF146" s="1">
        <v>0.14499999999999999</v>
      </c>
      <c r="BG146" s="1">
        <v>0.245</v>
      </c>
      <c r="BH146" s="1">
        <v>0.36</v>
      </c>
      <c r="BI146" s="1">
        <v>0.39500000000000002</v>
      </c>
      <c r="BJ146" s="1">
        <v>0.64500000000000002</v>
      </c>
      <c r="BK146" s="20">
        <v>0.81499999999999995</v>
      </c>
      <c r="BL146" s="1">
        <v>0</v>
      </c>
      <c r="BM146" s="1">
        <v>6.5000000000000002E-2</v>
      </c>
      <c r="BN146" s="1">
        <v>0.14499999999999999</v>
      </c>
      <c r="BO146" s="1">
        <v>0.245</v>
      </c>
      <c r="BP146" s="1">
        <v>0.36</v>
      </c>
      <c r="BQ146" s="1">
        <v>0.39500000000000002</v>
      </c>
      <c r="BR146" s="1">
        <v>0.64500000000000002</v>
      </c>
      <c r="BS146" s="20">
        <v>0.81499999999999995</v>
      </c>
      <c r="BT146" s="1">
        <v>0</v>
      </c>
      <c r="BU146" s="1">
        <v>6.5000000000000002E-2</v>
      </c>
      <c r="BV146" s="1">
        <v>0.14499999999999999</v>
      </c>
      <c r="BW146" s="1">
        <v>0.245</v>
      </c>
      <c r="BX146" s="1">
        <v>0.36</v>
      </c>
      <c r="BY146" s="1">
        <v>0.39500000000000002</v>
      </c>
      <c r="BZ146" s="1">
        <v>0.64500000000000002</v>
      </c>
      <c r="CA146" s="20">
        <v>0.81499999999999995</v>
      </c>
      <c r="CB146" s="1">
        <v>0</v>
      </c>
      <c r="CC146" s="1">
        <v>6.5000000000000002E-2</v>
      </c>
      <c r="CD146" s="1">
        <v>0.14499999999999999</v>
      </c>
      <c r="CE146" s="1">
        <v>0.245</v>
      </c>
      <c r="CF146" s="1">
        <v>0.36</v>
      </c>
      <c r="CG146" s="1">
        <v>0.39500000000000002</v>
      </c>
      <c r="CH146" s="1">
        <v>0.64500000000000002</v>
      </c>
      <c r="CI146" s="20">
        <v>0.81499999999999995</v>
      </c>
      <c r="CJ146" s="1">
        <v>0</v>
      </c>
      <c r="CK146" s="1">
        <v>6.5000000000000002E-2</v>
      </c>
      <c r="CL146" s="1">
        <v>0.14499999999999999</v>
      </c>
      <c r="CM146" s="1">
        <v>0.245</v>
      </c>
      <c r="CN146" s="1">
        <v>0.36</v>
      </c>
      <c r="CO146" s="1">
        <v>0.39500000000000002</v>
      </c>
      <c r="CP146" s="1">
        <v>0.64500000000000002</v>
      </c>
      <c r="CQ146" s="20">
        <v>0.81499999999999995</v>
      </c>
    </row>
    <row r="147" spans="3:160" s="2" customFormat="1" x14ac:dyDescent="0.4">
      <c r="C147" s="2" t="s">
        <v>33</v>
      </c>
      <c r="D147" s="2" t="s">
        <v>10</v>
      </c>
      <c r="E147" s="2">
        <v>0.26900000000000002</v>
      </c>
      <c r="F147" s="2">
        <v>0.161</v>
      </c>
      <c r="G147" s="2">
        <v>0.109</v>
      </c>
      <c r="H147" s="2">
        <v>2.1000000000000001E-2</v>
      </c>
      <c r="I147" s="2">
        <v>4774</v>
      </c>
      <c r="J147" s="2">
        <v>4309</v>
      </c>
      <c r="K147" s="2">
        <v>56</v>
      </c>
      <c r="L147" s="2">
        <v>5619</v>
      </c>
      <c r="M147" s="2">
        <v>6281</v>
      </c>
      <c r="N147" s="2">
        <v>74.5</v>
      </c>
      <c r="O147" s="2">
        <v>92</v>
      </c>
      <c r="P147" s="2">
        <v>89.5</v>
      </c>
      <c r="Q147" s="2">
        <v>94</v>
      </c>
      <c r="R147" s="2">
        <v>50.5</v>
      </c>
      <c r="S147" s="2">
        <v>93.5</v>
      </c>
      <c r="T147" s="6">
        <f t="shared" si="2606"/>
        <v>6963.2760589135905</v>
      </c>
      <c r="U147" s="2">
        <v>1.954</v>
      </c>
      <c r="V147" s="2">
        <v>8.1000000000000003E-2</v>
      </c>
      <c r="W147" s="2">
        <v>4.0199999999999996</v>
      </c>
      <c r="X147" s="2">
        <f t="shared" ref="X147" si="3237">H143</f>
        <v>2.1000000000000001E-2</v>
      </c>
      <c r="Y147" s="2">
        <f t="shared" ref="Y147" si="3238">H144</f>
        <v>4.9000000000000002E-2</v>
      </c>
      <c r="Z147" s="2">
        <f t="shared" ref="Z147" si="3239">H145</f>
        <v>2.1000000000000001E-2</v>
      </c>
      <c r="AA147" s="2">
        <f t="shared" ref="AA147" si="3240">H146</f>
        <v>1.9E-2</v>
      </c>
      <c r="AB147" s="2">
        <f t="shared" ref="AB147" si="3241">H147</f>
        <v>2.1000000000000001E-2</v>
      </c>
      <c r="AC147" s="1">
        <f t="shared" si="2917"/>
        <v>4573.8654338893257</v>
      </c>
      <c r="AE147" s="2" t="s">
        <v>99</v>
      </c>
      <c r="AF147" s="23">
        <f>($O147*$Q147*$S147)^(1/3)/(AF142*((1-AF$2)*$H142+AF$2*$H143) + AF144*((1-AF$2)*$H144+AF$2*$H145) + AF146*((1-AF$2)*$H146+AF$2*$H147))</f>
        <v>1693.8686925486315</v>
      </c>
      <c r="AG147" s="23">
        <f t="shared" ref="AG147" si="3242">($O147*$Q147*$S147)^(1/3)/(AG142*((1-AG$2)*$H142+AG$2*$H143) + AG144*((1-AG$2)*$H144+AG$2*$H145) + AG146*((1-AG$2)*$H146+AG$2*$H147))</f>
        <v>1793.6614957677077</v>
      </c>
      <c r="AH147" s="23">
        <f t="shared" ref="AH147" si="3243">($O147*$Q147*$S147)^(1/3)/(AH142*((1-AH$2)*$H142+AH$2*$H143) + AH144*((1-AH$2)*$H144+AH$2*$H145) + AH146*((1-AH$2)*$H146+AH$2*$H147))</f>
        <v>1920.090232691153</v>
      </c>
      <c r="AI147" s="23">
        <f t="shared" ref="AI147" si="3244">($O147*$Q147*$S147)^(1/3)/(AI142*((1-AI$2)*$H142+AI$2*$H143) + AI144*((1-AI$2)*$H144+AI$2*$H145) + AI146*((1-AI$2)*$H146+AI$2*$H147))</f>
        <v>2381.4616076220536</v>
      </c>
      <c r="AJ147" s="23">
        <f t="shared" ref="AJ147" si="3245">($O147*$Q147*$S147)^(1/3)/(AJ142*((1-AJ$2)*$H142+AJ$2*$H143) + AJ144*((1-AJ$2)*$H144+AJ$2*$H145) + AJ146*((1-AJ$2)*$H146+AJ$2*$H147))</f>
        <v>2308.2947990628031</v>
      </c>
      <c r="AK147" s="23">
        <f t="shared" ref="AK147" si="3246">($O147*$Q147*$S147)^(1/3)/(AK142*((1-AK$2)*$H142+AK$2*$H143) + AK144*((1-AK$2)*$H144+AK$2*$H145) + AK146*((1-AK$2)*$H146+AK$2*$H147))</f>
        <v>2762.8344629351941</v>
      </c>
      <c r="AL147" s="23">
        <f t="shared" ref="AL147" si="3247">($O147*$Q147*$S147)^(1/3)/(AL142*((1-AL$2)*$H142+AL$2*$H143) + AL144*((1-AL$2)*$H144+AL$2*$H145) + AL146*((1-AL$2)*$H146+AL$2*$H147))</f>
        <v>3052.5156648156863</v>
      </c>
      <c r="AM147" s="23">
        <f t="shared" ref="AM147" si="3248">($O147*$Q147*$S147)^(1/3)/(AM142*((1-AM$2)*$H142+AM$2*$H143) + AM144*((1-AM$2)*$H144+AM$2*$H145) + AM146*((1-AM$2)*$H146+AM$2*$H147))</f>
        <v>3735.4762666469428</v>
      </c>
      <c r="AN147" s="23">
        <f t="shared" ref="AN147" si="3249">($O147*$Q147*$S147)^(1/3)/(AN142*((1-AN$2)*$H142+AN$2*$H143) + AN144*((1-AN$2)*$H144+AN$2*$H145) + AN146*((1-AN$2)*$H146+AN$2*$H147))</f>
        <v>1835.7197653236401</v>
      </c>
      <c r="AO147" s="23">
        <f t="shared" ref="AO147" si="3250">($O147*$Q147*$S147)^(1/3)/(AO142*((1-AO$2)*$H142+AO$2*$H143) + AO144*((1-AO$2)*$H144+AO$2*$H145) + AO146*((1-AO$2)*$H146+AO$2*$H147))</f>
        <v>1937.9640769707157</v>
      </c>
      <c r="AP147" s="23">
        <f t="shared" ref="AP147" si="3251">($O147*$Q147*$S147)^(1/3)/(AP142*((1-AP$2)*$H142+AP$2*$H143) + AP144*((1-AP$2)*$H144+AP$2*$H145) + AP146*((1-AP$2)*$H146+AP$2*$H147))</f>
        <v>2066.6099842540975</v>
      </c>
      <c r="AQ147" s="23">
        <f t="shared" ref="AQ147" si="3252">($O147*$Q147*$S147)^(1/3)/(AQ142*((1-AQ$2)*$H142+AQ$2*$H143) + AQ144*((1-AQ$2)*$H144+AQ$2*$H145) + AQ146*((1-AQ$2)*$H146+AQ$2*$H147))</f>
        <v>2545.9528070007445</v>
      </c>
      <c r="AR147" s="23">
        <f t="shared" ref="AR147" si="3253">($O147*$Q147*$S147)^(1/3)/(AR142*((1-AR$2)*$H142+AR$2*$H143) + AR144*((1-AR$2)*$H144+AR$2*$H145) + AR146*((1-AR$2)*$H146+AR$2*$H147))</f>
        <v>2455.529206383098</v>
      </c>
      <c r="AS147" s="23">
        <f t="shared" ref="AS147" si="3254">($O147*$Q147*$S147)^(1/3)/(AS142*((1-AS$2)*$H142+AS$2*$H143) + AS144*((1-AS$2)*$H144+AS$2*$H145) + AS146*((1-AS$2)*$H146+AS$2*$H147))</f>
        <v>2923.4416910700475</v>
      </c>
      <c r="AT147" s="23">
        <f t="shared" ref="AT147" si="3255">($O147*$Q147*$S147)^(1/3)/(AT142*((1-AT$2)*$H142+AT$2*$H143) + AT144*((1-AT$2)*$H144+AT$2*$H145) + AT146*((1-AT$2)*$H146+AT$2*$H147))</f>
        <v>3176.3647490683511</v>
      </c>
      <c r="AU147" s="23">
        <f t="shared" ref="AU147" si="3256">($O147*$Q147*$S147)^(1/3)/(AU142*((1-AU$2)*$H142+AU$2*$H143) + AU144*((1-AU$2)*$H144+AU$2*$H145) + AU146*((1-AU$2)*$H146+AU$2*$H147))</f>
        <v>3810.7282172072705</v>
      </c>
      <c r="AV147" s="23">
        <f t="shared" ref="AV147" si="3257">($O147*$Q147*$S147)^(1/3)/(AV142*((1-AV$2)*$H142+AV$2*$H143) + AV144*((1-AV$2)*$H144+AV$2*$H145) + AV146*((1-AV$2)*$H146+AV$2*$H147))</f>
        <v>2003.5006040897795</v>
      </c>
      <c r="AW147" s="23">
        <f t="shared" ref="AW147" si="3258">($O147*$Q147*$S147)^(1/3)/(AW142*((1-AW$2)*$H142+AW$2*$H143) + AW144*((1-AW$2)*$H144+AW$2*$H145) + AW146*((1-AW$2)*$H146+AW$2*$H147))</f>
        <v>2107.5167535386208</v>
      </c>
      <c r="AX147" s="23">
        <f t="shared" ref="AX147" si="3259">($O147*$Q147*$S147)^(1/3)/(AX142*((1-AX$2)*$H142+AX$2*$H143) + AX144*((1-AX$2)*$H144+AX$2*$H145) + AX146*((1-AX$2)*$H146+AX$2*$H147))</f>
        <v>2237.3385708495375</v>
      </c>
      <c r="AY147" s="23">
        <f t="shared" ref="AY147" si="3260">($O147*$Q147*$S147)^(1/3)/(AY142*((1-AY$2)*$H142+AY$2*$H143) + AY144*((1-AY$2)*$H144+AY$2*$H145) + AY146*((1-AY$2)*$H146+AY$2*$H147))</f>
        <v>2734.8533124959563</v>
      </c>
      <c r="AZ147" s="23">
        <f t="shared" ref="AZ147" si="3261">($O147*$Q147*$S147)^(1/3)/(AZ142*((1-AZ$2)*$H142+AZ$2*$H143) + AZ144*((1-AZ$2)*$H144+AZ$2*$H145) + AZ146*((1-AZ$2)*$H146+AZ$2*$H147))</f>
        <v>2622.825959745911</v>
      </c>
      <c r="BA147" s="23">
        <f t="shared" ref="BA147" si="3262">($O147*$Q147*$S147)^(1/3)/(BA142*((1-BA$2)*$H142+BA$2*$H143) + BA144*((1-BA$2)*$H144+BA$2*$H145) + BA146*((1-BA$2)*$H146+BA$2*$H147))</f>
        <v>3103.8739993394884</v>
      </c>
      <c r="BB147" s="23">
        <f t="shared" ref="BB147" si="3263">($O147*$Q147*$S147)^(1/3)/(BB142*((1-BB$2)*$H142+BB$2*$H143) + BB144*((1-BB$2)*$H144+BB$2*$H145) + BB146*((1-BB$2)*$H146+BB$2*$H147))</f>
        <v>3310.6886314916396</v>
      </c>
      <c r="BC147" s="23">
        <f t="shared" ref="BC147" si="3264">($O147*$Q147*$S147)^(1/3)/(BC142*((1-BC$2)*$H142+BC$2*$H143) + BC144*((1-BC$2)*$H144+BC$2*$H145) + BC146*((1-BC$2)*$H146+BC$2*$H147))</f>
        <v>3889.0744349895526</v>
      </c>
      <c r="BD147" s="23">
        <f t="shared" ref="BD147" si="3265">($O147*$Q147*$S147)^(1/3)/(BD142*((1-BD$2)*$H142+BD$2*$H143) + BD144*((1-BD$2)*$H144+BD$2*$H145) + BD146*((1-BD$2)*$H146+BD$2*$H147))</f>
        <v>2205.0361678147865</v>
      </c>
      <c r="BE147" s="23">
        <f t="shared" ref="BE147" si="3266">($O147*$Q147*$S147)^(1/3)/(BE142*((1-BE$2)*$H142+BE$2*$H143) + BE144*((1-BE$2)*$H144+BE$2*$H145) + BE146*((1-BE$2)*$H146+BE$2*$H147))</f>
        <v>2309.5823511664021</v>
      </c>
      <c r="BF147" s="23">
        <f t="shared" ref="BF147" si="3267">($O147*$Q147*$S147)^(1/3)/(BF142*((1-BF$2)*$H142+BF$2*$H143) + BF144*((1-BF$2)*$H144+BF$2*$H145) + BF146*((1-BF$2)*$H146+BF$2*$H147))</f>
        <v>2438.8161803710668</v>
      </c>
      <c r="BG147" s="23">
        <f t="shared" ref="BG147" si="3268">($O147*$Q147*$S147)^(1/3)/(BG142*((1-BG$2)*$H142+BG$2*$H143) + BG144*((1-BG$2)*$H144+BG$2*$H145) + BG146*((1-BG$2)*$H146+BG$2*$H147))</f>
        <v>2954.0318062679266</v>
      </c>
      <c r="BH147" s="23">
        <f t="shared" ref="BH147" si="3269">($O147*$Q147*$S147)^(1/3)/(BH142*((1-BH$2)*$H142+BH$2*$H143) + BH144*((1-BH$2)*$H144+BH$2*$H145) + BH146*((1-BH$2)*$H146+BH$2*$H147))</f>
        <v>2814.5854407907773</v>
      </c>
      <c r="BI147" s="23">
        <f t="shared" ref="BI147" si="3270">($O147*$Q147*$S147)^(1/3)/(BI142*((1-BI$2)*$H142+BI$2*$H143) + BI144*((1-BI$2)*$H144+BI$2*$H145) + BI146*((1-BI$2)*$H146+BI$2*$H147))</f>
        <v>3308.0436072853881</v>
      </c>
      <c r="BJ147" s="23">
        <f t="shared" ref="BJ147" si="3271">($O147*$Q147*$S147)^(1/3)/(BJ142*((1-BJ$2)*$H142+BJ$2*$H143) + BJ144*((1-BJ$2)*$H144+BJ$2*$H145) + BJ146*((1-BJ$2)*$H146+BJ$2*$H147))</f>
        <v>3456.8748827523091</v>
      </c>
      <c r="BK147" s="23">
        <f t="shared" ref="BK147" si="3272">($O147*$Q147*$S147)^(1/3)/(BK142*((1-BK$2)*$H142+BK$2*$H143) + BK144*((1-BK$2)*$H144+BK$2*$H145) + BK146*((1-BK$2)*$H146+BK$2*$H147))</f>
        <v>3970.7097747543839</v>
      </c>
      <c r="BL147" s="23">
        <f t="shared" ref="BL147" si="3273">($O147*$Q147*$S147)^(1/3)/(BL142*((1-BL$2)*$H142+BL$2*$H143) + BL144*((1-BL$2)*$H144+BL$2*$H145) + BL146*((1-BL$2)*$H146+BL$2*$H147))</f>
        <v>2451.6520550045984</v>
      </c>
      <c r="BM147" s="23">
        <f t="shared" ref="BM147" si="3274">($O147*$Q147*$S147)^(1/3)/(BM142*((1-BM$2)*$H142+BM$2*$H143) + BM144*((1-BM$2)*$H144+BM$2*$H145) + BM146*((1-BM$2)*$H146+BM$2*$H147))</f>
        <v>2554.5044718994991</v>
      </c>
      <c r="BN147" s="23">
        <f t="shared" ref="BN147" si="3275">($O147*$Q147*$S147)^(1/3)/(BN142*((1-BN$2)*$H142+BN$2*$H143) + BN144*((1-BN$2)*$H144+BN$2*$H145) + BN146*((1-BN$2)*$H146+BN$2*$H147))</f>
        <v>2680.1719818807464</v>
      </c>
      <c r="BO147" s="23">
        <f t="shared" ref="BO147" si="3276">($O147*$Q147*$S147)^(1/3)/(BO142*((1-BO$2)*$H142+BO$2*$H143) + BO144*((1-BO$2)*$H144+BO$2*$H145) + BO146*((1-BO$2)*$H146+BO$2*$H147))</f>
        <v>3211.4022092442169</v>
      </c>
      <c r="BP147" s="23">
        <f t="shared" ref="BP147" si="3277">($O147*$Q147*$S147)^(1/3)/(BP142*((1-BP$2)*$H142+BP$2*$H143) + BP144*((1-BP$2)*$H144+BP$2*$H145) + BP146*((1-BP$2)*$H146+BP$2*$H147))</f>
        <v>3036.5964175415497</v>
      </c>
      <c r="BQ147" s="23">
        <f t="shared" ref="BQ147" si="3278">($O147*$Q147*$S147)^(1/3)/(BQ142*((1-BQ$2)*$H142+BQ$2*$H143) + BQ144*((1-BQ$2)*$H144+BQ$2*$H145) + BQ146*((1-BQ$2)*$H146+BQ$2*$H147))</f>
        <v>3540.9645796341597</v>
      </c>
      <c r="BR147" s="23">
        <f t="shared" ref="BR147" si="3279">($O147*$Q147*$S147)^(1/3)/(BR142*((1-BR$2)*$H142+BR$2*$H143) + BR144*((1-BR$2)*$H144+BR$2*$H145) + BR146*((1-BR$2)*$H146+BR$2*$H147))</f>
        <v>3616.5674724446717</v>
      </c>
      <c r="BS147" s="23">
        <f t="shared" ref="BS147" si="3280">($O147*$Q147*$S147)^(1/3)/(BS142*((1-BS$2)*$H142+BS$2*$H143) + BS144*((1-BS$2)*$H144+BS$2*$H145) + BS146*((1-BS$2)*$H146+BS$2*$H147))</f>
        <v>4055.8458027938509</v>
      </c>
      <c r="BT147" s="23">
        <f t="shared" ref="BT147" si="3281">($O147*$Q147*$S147)^(1/3)/(BT142*((1-BT$2)*$H142+BT$2*$H143) + BT144*((1-BT$2)*$H144+BT$2*$H145) + BT146*((1-BT$2)*$H146+BT$2*$H147))</f>
        <v>2760.3786100792513</v>
      </c>
      <c r="BU147" s="23">
        <f t="shared" ref="BU147" si="3282">($O147*$Q147*$S147)^(1/3)/(BU142*((1-BU$2)*$H142+BU$2*$H143) + BU144*((1-BU$2)*$H144+BU$2*$H145) + BU146*((1-BU$2)*$H146+BU$2*$H147))</f>
        <v>2857.5347930427033</v>
      </c>
      <c r="BV147" s="23">
        <f t="shared" ref="BV147" si="3283">($O147*$Q147*$S147)^(1/3)/(BV142*((1-BV$2)*$H142+BV$2*$H143) + BV144*((1-BV$2)*$H144+BV$2*$H145) + BV146*((1-BV$2)*$H146+BV$2*$H147))</f>
        <v>2974.5459160336763</v>
      </c>
      <c r="BW147" s="23">
        <f t="shared" ref="BW147" si="3284">($O147*$Q147*$S147)^(1/3)/(BW142*((1-BW$2)*$H142+BW$2*$H143) + BW144*((1-BW$2)*$H144+BW$2*$H145) + BW146*((1-BW$2)*$H146+BW$2*$H147))</f>
        <v>3517.8996729981964</v>
      </c>
      <c r="BX147" s="23">
        <f t="shared" ref="BX147" si="3285">($O147*$Q147*$S147)^(1/3)/(BX142*((1-BX$2)*$H142+BX$2*$H143) + BX144*((1-BX$2)*$H144+BX$2*$H145) + BX146*((1-BX$2)*$H146+BX$2*$H147))</f>
        <v>3296.6305056678957</v>
      </c>
      <c r="BY147" s="23">
        <f t="shared" ref="BY147" si="3286">($O147*$Q147*$S147)^(1/3)/(BY142*((1-BY$2)*$H142+BY$2*$H143) + BY144*((1-BY$2)*$H144+BY$2*$H145) + BY146*((1-BY$2)*$H146+BY$2*$H147))</f>
        <v>3809.1701151047628</v>
      </c>
      <c r="BZ147" s="23">
        <f t="shared" ref="BZ147" si="3287">($O147*$Q147*$S147)^(1/3)/(BZ142*((1-BZ$2)*$H142+BZ$2*$H143) + BZ144*((1-BZ$2)*$H144+BZ$2*$H145) + BZ146*((1-BZ$2)*$H146+BZ$2*$H147))</f>
        <v>3791.7288599989715</v>
      </c>
      <c r="CA147" s="23">
        <f t="shared" ref="CA147" si="3288">($O147*$Q147*$S147)^(1/3)/(CA142*((1-CA$2)*$H142+CA$2*$H143) + CA144*((1-CA$2)*$H144+CA$2*$H145) + CA146*((1-CA$2)*$H146+CA$2*$H147))</f>
        <v>4144.7126277466241</v>
      </c>
      <c r="CB147" s="23">
        <f t="shared" ref="CB147" si="3289">($O147*$Q147*$S147)^(1/3)/(CB142*((1-CB$2)*$H142+CB$2*$H143) + CB144*((1-CB$2)*$H144+CB$2*$H145) + CB146*((1-CB$2)*$H146+CB$2*$H147))</f>
        <v>3158.0602742432116</v>
      </c>
      <c r="CC147" s="23">
        <f t="shared" ref="CC147" si="3290">($O147*$Q147*$S147)^(1/3)/(CC142*((1-CC$2)*$H142+CC$2*$H143) + CC144*((1-CC$2)*$H144+CC$2*$H145) + CC146*((1-CC$2)*$H146+CC$2*$H147))</f>
        <v>3242.1360045301808</v>
      </c>
      <c r="CD147" s="23">
        <f t="shared" ref="CD147" si="3291">($O147*$Q147*$S147)^(1/3)/(CD142*((1-CD$2)*$H142+CD$2*$H143) + CD144*((1-CD$2)*$H144+CD$2*$H145) + CD146*((1-CD$2)*$H146+CD$2*$H147))</f>
        <v>3341.5630591884774</v>
      </c>
      <c r="CE147" s="23">
        <f t="shared" ref="CE147" si="3292">($O147*$Q147*$S147)^(1/3)/(CE142*((1-CE$2)*$H142+CE$2*$H143) + CE144*((1-CE$2)*$H144+CE$2*$H145) + CE146*((1-CE$2)*$H146+CE$2*$H147))</f>
        <v>3889.0744349895535</v>
      </c>
      <c r="CF147" s="23">
        <f t="shared" ref="CF147" si="3293">($O147*$Q147*$S147)^(1/3)/(CF142*((1-CF$2)*$H142+CF$2*$H143) + CF144*((1-CF$2)*$H144+CF$2*$H145) + CF146*((1-CF$2)*$H146+CF$2*$H147))</f>
        <v>3605.3706691244092</v>
      </c>
      <c r="CG147" s="23">
        <f t="shared" ref="CG147" si="3294">($O147*$Q147*$S147)^(1/3)/(CG142*((1-CG$2)*$H142+CG$2*$H143) + CG144*((1-CG$2)*$H144+CG$2*$H145) + CG146*((1-CG$2)*$H146+CG$2*$H147))</f>
        <v>4121.3350183665007</v>
      </c>
      <c r="CH147" s="23">
        <f t="shared" ref="CH147" si="3295">($O147*$Q147*$S147)^(1/3)/(CH142*((1-CH$2)*$H142+CH$2*$H143) + CH144*((1-CH$2)*$H144+CH$2*$H145) + CH146*((1-CH$2)*$H146+CH$2*$H147))</f>
        <v>3984.7210474839494</v>
      </c>
      <c r="CI147" s="23">
        <f t="shared" ref="CI147" si="3296">($O147*$Q147*$S147)^(1/3)/(CI142*((1-CI$2)*$H142+CI$2*$H143) + CI144*((1-CI$2)*$H144+CI$2*$H145) + CI146*((1-CI$2)*$H146+CI$2*$H147))</f>
        <v>4237.560977492597</v>
      </c>
      <c r="CJ147" s="23">
        <f t="shared" ref="CJ147" si="3297">($O147*$Q147*$S147)^(1/3)/(CJ142*((1-CJ$2)*$H142+CJ$2*$H143) + CJ144*((1-CJ$2)*$H144+CJ$2*$H145) + CJ146*((1-CJ$2)*$H146+CJ$2*$H147))</f>
        <v>3689.6149738683062</v>
      </c>
      <c r="CK147" s="23">
        <f t="shared" ref="CK147" si="3298">($O147*$Q147*$S147)^(1/3)/(CK142*((1-CK$2)*$H142+CK$2*$H143) + CK144*((1-CK$2)*$H144+CK$2*$H145) + CK146*((1-CK$2)*$H146+CK$2*$H147))</f>
        <v>3746.3668680074293</v>
      </c>
      <c r="CL147" s="23">
        <f t="shared" ref="CL147" si="3299">($O147*$Q147*$S147)^(1/3)/(CL142*((1-CL$2)*$H142+CL$2*$H143) + CL144*((1-CL$2)*$H144+CL$2*$H145) + CL146*((1-CL$2)*$H146+CL$2*$H147))</f>
        <v>3811.8976305308806</v>
      </c>
      <c r="CM147" s="23">
        <f t="shared" ref="CM147" si="3300">($O147*$Q147*$S147)^(1/3)/(CM142*((1-CM$2)*$H142+CM$2*$H143) + CM144*((1-CM$2)*$H144+CM$2*$H145) + CM146*((1-CM$2)*$H146+CM$2*$H147))</f>
        <v>4347.8137015598977</v>
      </c>
      <c r="CN147" s="23">
        <f t="shared" ref="CN147" si="3301">($O147*$Q147*$S147)^(1/3)/(CN142*((1-CN$2)*$H142+CN$2*$H143) + CN144*((1-CN$2)*$H144+CN$2*$H145) + CN146*((1-CN$2)*$H146+CN$2*$H147))</f>
        <v>3977.9153753276996</v>
      </c>
      <c r="CO147" s="23">
        <f t="shared" ref="CO147" si="3302">($O147*$Q147*$S147)^(1/3)/(CO142*((1-CO$2)*$H142+CO$2*$H143) + CO144*((1-CO$2)*$H144+CO$2*$H145) + CO146*((1-CO$2)*$H146+CO$2*$H147))</f>
        <v>4489.2315668076008</v>
      </c>
      <c r="CP147" s="23">
        <f t="shared" ref="CP147" si="3303">($O147*$Q147*$S147)^(1/3)/(CP142*((1-CP$2)*$H142+CP$2*$H143) + CP144*((1-CP$2)*$H144+CP$2*$H145) + CP146*((1-CP$2)*$H146+CP$2*$H147))</f>
        <v>4198.4127124909746</v>
      </c>
      <c r="CQ147" s="23">
        <f t="shared" ref="CQ147" si="3304">($O147*$Q147*$S147)^(1/3)/(CQ142*((1-CQ$2)*$H142+CQ$2*$H143) + CQ144*((1-CQ$2)*$H144+CQ$2*$H145) + CQ146*((1-CQ$2)*$H146+CQ$2*$H147))</f>
        <v>4334.6645615993839</v>
      </c>
      <c r="CS147" s="2">
        <f t="shared" ref="CS147" si="3305">100*$AF147/AF147</f>
        <v>100</v>
      </c>
      <c r="CT147" s="2">
        <f t="shared" ref="CT147" si="3306">100*$AF147/AG147</f>
        <v>94.436363636363637</v>
      </c>
      <c r="CU147" s="2">
        <f t="shared" ref="CU147" si="3307">100*$AF147/AH147</f>
        <v>88.218181818181804</v>
      </c>
      <c r="CV147" s="2">
        <f t="shared" ref="CV147" si="3308">100*$AF147/AI147</f>
        <v>71.127272727272725</v>
      </c>
      <c r="CW147" s="2">
        <f t="shared" ref="CW147" si="3309">100*$AF147/AJ147</f>
        <v>73.381818181818176</v>
      </c>
      <c r="CX147" s="2">
        <f t="shared" ref="CX147" si="3310">100*$AF147/AK147</f>
        <v>61.309090909090898</v>
      </c>
      <c r="CY147" s="2">
        <f t="shared" ref="CY147" si="3311">100*$AF147/AL147</f>
        <v>55.490909090909085</v>
      </c>
      <c r="CZ147" s="2">
        <f t="shared" ref="CZ147" si="3312">100*$AF147/AM147</f>
        <v>45.345454545454537</v>
      </c>
      <c r="DA147" s="2">
        <f t="shared" ref="DA147" si="3313">100*$AF147/AN147</f>
        <v>92.272727272727266</v>
      </c>
      <c r="DB147" s="2">
        <f t="shared" ref="DB147" si="3314">100*$AF147/AO147</f>
        <v>87.404545454545456</v>
      </c>
      <c r="DC147" s="2">
        <f t="shared" ref="DC147" si="3315">100*$AF147/AP147</f>
        <v>81.963636363636382</v>
      </c>
      <c r="DD147" s="2">
        <f t="shared" ref="DD147" si="3316">100*$AF147/AQ147</f>
        <v>66.531818181818167</v>
      </c>
      <c r="DE147" s="2">
        <f t="shared" ref="DE147" si="3317">100*$AF147/AR147</f>
        <v>68.981818181818184</v>
      </c>
      <c r="DF147" s="2">
        <f t="shared" ref="DF147" si="3318">100*$AF147/AS147</f>
        <v>57.940909090909088</v>
      </c>
      <c r="DG147" s="2">
        <f t="shared" ref="DG147" si="3319">100*$AF147/AT147</f>
        <v>53.327272727272728</v>
      </c>
      <c r="DH147" s="2">
        <f t="shared" ref="DH147" si="3320">100*$AF147/AU147</f>
        <v>44.449999999999996</v>
      </c>
      <c r="DI147" s="2">
        <f t="shared" ref="DI147" si="3321">100*$AF147/AV147</f>
        <v>84.545454545454533</v>
      </c>
      <c r="DJ147" s="2">
        <f t="shared" ref="DJ147" si="3322">100*$AF147/AW147</f>
        <v>80.372727272727275</v>
      </c>
      <c r="DK147" s="2">
        <f t="shared" ref="DK147" si="3323">100*$AF147/AX147</f>
        <v>75.709090909090904</v>
      </c>
      <c r="DL147" s="2">
        <f t="shared" ref="DL147" si="3324">100*$AF147/AY147</f>
        <v>61.936363636363623</v>
      </c>
      <c r="DM147" s="2">
        <f t="shared" ref="DM147" si="3325">100*$AF147/AZ147</f>
        <v>64.581818181818164</v>
      </c>
      <c r="DN147" s="2">
        <f t="shared" ref="DN147" si="3326">100*$AF147/BA147</f>
        <v>54.572727272727263</v>
      </c>
      <c r="DO147" s="2">
        <f t="shared" ref="DO147" si="3327">100*$AF147/BB147</f>
        <v>51.163636363636364</v>
      </c>
      <c r="DP147" s="2">
        <f t="shared" ref="DP147" si="3328">100*$AF147/BC147</f>
        <v>43.554545454545455</v>
      </c>
      <c r="DQ147" s="2">
        <f t="shared" ref="DQ147" si="3329">100*$AF147/BD147</f>
        <v>76.818181818181827</v>
      </c>
      <c r="DR147" s="2">
        <f t="shared" ref="DR147" si="3330">100*$AF147/BE147</f>
        <v>73.340909090909079</v>
      </c>
      <c r="DS147" s="2">
        <f t="shared" ref="DS147" si="3331">100*$AF147/BF147</f>
        <v>69.454545454545439</v>
      </c>
      <c r="DT147" s="2">
        <f t="shared" ref="DT147" si="3332">100*$AF147/BG147</f>
        <v>57.340909090909086</v>
      </c>
      <c r="DU147" s="2">
        <f t="shared" ref="DU147" si="3333">100*$AF147/BH147</f>
        <v>60.181818181818187</v>
      </c>
      <c r="DV147" s="2">
        <f t="shared" ref="DV147" si="3334">100*$AF147/BI147</f>
        <v>51.204545454545446</v>
      </c>
      <c r="DW147" s="2">
        <f t="shared" ref="DW147" si="3335">100*$AF147/BJ147</f>
        <v>49</v>
      </c>
      <c r="DX147" s="2">
        <f t="shared" ref="DX147" si="3336">100*$AF147/BK147</f>
        <v>42.659090909090907</v>
      </c>
      <c r="DY147" s="2">
        <f t="shared" ref="DY147" si="3337">100*$AF147/BL147</f>
        <v>69.090909090909079</v>
      </c>
      <c r="DZ147" s="2">
        <f t="shared" ref="DZ147" si="3338">100*$AF147/BM147</f>
        <v>66.309090909090912</v>
      </c>
      <c r="EA147" s="2">
        <f t="shared" ref="EA147" si="3339">100*$AF147/BN147</f>
        <v>63.199999999999989</v>
      </c>
      <c r="EB147" s="2">
        <f t="shared" ref="EB147" si="3340">100*$AF147/BO147</f>
        <v>52.745454545454542</v>
      </c>
      <c r="EC147" s="2">
        <f t="shared" ref="EC147" si="3341">100*$AF147/BP147</f>
        <v>55.781818181818174</v>
      </c>
      <c r="ED147" s="2">
        <f t="shared" ref="ED147" si="3342">100*$AF147/BQ147</f>
        <v>47.836363636363629</v>
      </c>
      <c r="EE147" s="2">
        <f t="shared" ref="EE147" si="3343">100*$AF147/BR147</f>
        <v>46.836363636363629</v>
      </c>
      <c r="EF147" s="2">
        <f t="shared" ref="EF147" si="3344">100*$AF147/BS147</f>
        <v>41.763636363636351</v>
      </c>
      <c r="EG147" s="2">
        <f t="shared" ref="EG147" si="3345">100*$AF147/BT147</f>
        <v>61.363636363636367</v>
      </c>
      <c r="EH147" s="2">
        <f t="shared" ref="EH147" si="3346">100*$AF147/BU147</f>
        <v>59.277272727272724</v>
      </c>
      <c r="EI147" s="2">
        <f t="shared" ref="EI147" si="3347">100*$AF147/BV147</f>
        <v>56.945454545454538</v>
      </c>
      <c r="EJ147" s="2">
        <f t="shared" ref="EJ147" si="3348">100*$AF147/BW147</f>
        <v>48.15</v>
      </c>
      <c r="EK147" s="2">
        <f t="shared" ref="EK147" si="3349">100*$AF147/BX147</f>
        <v>51.381818181818183</v>
      </c>
      <c r="EL147" s="2">
        <f t="shared" ref="EL147" si="3350">100*$AF147/BY147</f>
        <v>44.468181818181819</v>
      </c>
      <c r="EM147" s="2">
        <f t="shared" ref="EM147" si="3351">100*$AF147/BZ147</f>
        <v>44.672727272727272</v>
      </c>
      <c r="EN147" s="2">
        <f t="shared" ref="EN147" si="3352">100*$AF147/CA147</f>
        <v>40.868181818181817</v>
      </c>
      <c r="EO147" s="2">
        <f t="shared" ref="EO147" si="3353">100*$AF147/CB147</f>
        <v>53.636363636363633</v>
      </c>
      <c r="EP147" s="2">
        <f t="shared" ref="EP147" si="3354">100*$AF147/CC147</f>
        <v>52.245454545454535</v>
      </c>
      <c r="EQ147" s="2">
        <f t="shared" ref="EQ147" si="3355">100*$AF147/CD147</f>
        <v>50.690909090909081</v>
      </c>
      <c r="ER147" s="2">
        <f t="shared" ref="ER147" si="3356">100*$AF147/CE147</f>
        <v>43.554545454545448</v>
      </c>
      <c r="ES147" s="2">
        <f t="shared" ref="ES147" si="3357">100*$AF147/CF147</f>
        <v>46.981818181818184</v>
      </c>
      <c r="ET147" s="2">
        <f t="shared" ref="ET147" si="3358">100*$AF147/CG147</f>
        <v>41.099999999999994</v>
      </c>
      <c r="EU147" s="2">
        <f t="shared" ref="EU147" si="3359">100*$AF147/CH147</f>
        <v>42.509090909090908</v>
      </c>
      <c r="EV147" s="2">
        <f t="shared" ref="EV147" si="3360">100*$AF147/CI147</f>
        <v>39.972727272727269</v>
      </c>
      <c r="EW147" s="2">
        <f t="shared" ref="EW147" si="3361">100*$AF147/CJ147</f>
        <v>45.909090909090914</v>
      </c>
      <c r="EX147" s="2">
        <f t="shared" ref="EX147" si="3362">100*$AF147/CK147</f>
        <v>45.213636363636354</v>
      </c>
      <c r="EY147" s="2">
        <f t="shared" ref="EY147" si="3363">100*$AF147/CL147</f>
        <v>44.436363636363645</v>
      </c>
      <c r="EZ147" s="2">
        <f t="shared" ref="EZ147" si="3364">100*$AF147/CM147</f>
        <v>38.959090909090918</v>
      </c>
      <c r="FA147" s="2">
        <f t="shared" ref="FA147" si="3365">100*$AF147/CN147</f>
        <v>42.581818181818186</v>
      </c>
      <c r="FB147" s="2">
        <f t="shared" ref="FB147" si="3366">100*$AF147/CO147</f>
        <v>37.731818181818184</v>
      </c>
      <c r="FC147" s="2">
        <f t="shared" ref="FC147" si="3367">100*$AF147/CP147</f>
        <v>40.345454545454551</v>
      </c>
      <c r="FD147" s="2">
        <f t="shared" ref="FD147" si="3368">100*$AF147/CQ147</f>
        <v>39.077272727272714</v>
      </c>
    </row>
    <row r="148" spans="3:160" x14ac:dyDescent="0.4">
      <c r="C148" s="1" t="s">
        <v>34</v>
      </c>
      <c r="D148" s="1" t="s">
        <v>5</v>
      </c>
      <c r="E148" s="1">
        <v>0.311</v>
      </c>
      <c r="F148" s="1">
        <v>0.20200000000000001</v>
      </c>
      <c r="G148" s="1">
        <v>0.109</v>
      </c>
      <c r="H148" s="1">
        <v>5.5E-2</v>
      </c>
      <c r="I148" s="1">
        <v>4779</v>
      </c>
      <c r="J148" s="1">
        <v>4245</v>
      </c>
      <c r="K148" s="1">
        <v>56</v>
      </c>
      <c r="L148" s="1">
        <v>5608</v>
      </c>
      <c r="M148" s="1">
        <v>6217</v>
      </c>
      <c r="N148" s="1">
        <v>74.5</v>
      </c>
      <c r="O148" s="1">
        <v>92</v>
      </c>
      <c r="P148" s="1">
        <v>89.5</v>
      </c>
      <c r="Q148" s="1">
        <v>94</v>
      </c>
      <c r="R148" s="1">
        <v>50.5</v>
      </c>
      <c r="S148" s="1">
        <v>93.5</v>
      </c>
      <c r="T148" s="4">
        <v>0</v>
      </c>
      <c r="U148" s="1">
        <v>1.2589999999999999</v>
      </c>
      <c r="V148" s="1">
        <v>7.9000000000000001E-2</v>
      </c>
      <c r="W148" s="1">
        <v>4.0199999999999996</v>
      </c>
      <c r="X148" s="1">
        <f t="shared" ref="X148" si="3369">H149</f>
        <v>2.7E-2</v>
      </c>
      <c r="Y148" s="1">
        <f t="shared" ref="Y148" si="3370">H150</f>
        <v>4.9000000000000002E-2</v>
      </c>
      <c r="Z148" s="1">
        <f t="shared" ref="Z148" si="3371">H151</f>
        <v>2.7E-2</v>
      </c>
      <c r="AA148" s="1">
        <f t="shared" ref="AA148" si="3372">H152</f>
        <v>1.7999999999999999E-2</v>
      </c>
      <c r="AB148" s="1">
        <f t="shared" ref="AB148" si="3373">H153</f>
        <v>2.7E-2</v>
      </c>
      <c r="AC148" s="1">
        <f t="shared" si="2917"/>
        <v>4579.9364889597491</v>
      </c>
      <c r="AE148" s="1" t="s">
        <v>96</v>
      </c>
      <c r="AF148" s="1">
        <v>1</v>
      </c>
      <c r="AG148" s="1">
        <v>0.81499999999999995</v>
      </c>
      <c r="AH148" s="1">
        <v>0.64500000000000002</v>
      </c>
      <c r="AI148" s="1">
        <v>0.39500000000000002</v>
      </c>
      <c r="AJ148" s="1">
        <v>0.36</v>
      </c>
      <c r="AK148" s="1">
        <v>0.245</v>
      </c>
      <c r="AL148" s="1">
        <v>0.14499999999999999</v>
      </c>
      <c r="AM148" s="20">
        <v>6.5000000000000002E-2</v>
      </c>
      <c r="AN148" s="1">
        <v>1</v>
      </c>
      <c r="AO148" s="1">
        <v>0.81499999999999995</v>
      </c>
      <c r="AP148" s="1">
        <v>0.64500000000000002</v>
      </c>
      <c r="AQ148" s="1">
        <v>0.39500000000000002</v>
      </c>
      <c r="AR148" s="1">
        <v>0.36</v>
      </c>
      <c r="AS148" s="1">
        <v>0.245</v>
      </c>
      <c r="AT148" s="1">
        <v>0.14499999999999999</v>
      </c>
      <c r="AU148" s="20">
        <v>6.5000000000000002E-2</v>
      </c>
      <c r="AV148" s="1">
        <v>1</v>
      </c>
      <c r="AW148" s="1">
        <v>0.81499999999999995</v>
      </c>
      <c r="AX148" s="1">
        <v>0.64500000000000002</v>
      </c>
      <c r="AY148" s="1">
        <v>0.39500000000000002</v>
      </c>
      <c r="AZ148" s="1">
        <v>0.36</v>
      </c>
      <c r="BA148" s="1">
        <v>0.245</v>
      </c>
      <c r="BB148" s="1">
        <v>0.14499999999999999</v>
      </c>
      <c r="BC148" s="20">
        <v>6.5000000000000002E-2</v>
      </c>
      <c r="BD148" s="1">
        <v>1</v>
      </c>
      <c r="BE148" s="1">
        <v>0.81499999999999995</v>
      </c>
      <c r="BF148" s="1">
        <v>0.64500000000000002</v>
      </c>
      <c r="BG148" s="1">
        <v>0.39500000000000002</v>
      </c>
      <c r="BH148" s="1">
        <v>0.36</v>
      </c>
      <c r="BI148" s="1">
        <v>0.245</v>
      </c>
      <c r="BJ148" s="1">
        <v>0.14499999999999999</v>
      </c>
      <c r="BK148" s="20">
        <v>6.5000000000000002E-2</v>
      </c>
      <c r="BL148" s="1">
        <v>1</v>
      </c>
      <c r="BM148" s="1">
        <v>0.81499999999999995</v>
      </c>
      <c r="BN148" s="1">
        <v>0.64500000000000002</v>
      </c>
      <c r="BO148" s="1">
        <v>0.39500000000000002</v>
      </c>
      <c r="BP148" s="1">
        <v>0.36</v>
      </c>
      <c r="BQ148" s="1">
        <v>0.245</v>
      </c>
      <c r="BR148" s="1">
        <v>0.14499999999999999</v>
      </c>
      <c r="BS148" s="20">
        <v>6.5000000000000002E-2</v>
      </c>
      <c r="BT148" s="1">
        <v>1</v>
      </c>
      <c r="BU148" s="1">
        <v>0.81499999999999995</v>
      </c>
      <c r="BV148" s="1">
        <v>0.64500000000000002</v>
      </c>
      <c r="BW148" s="1">
        <v>0.39500000000000002</v>
      </c>
      <c r="BX148" s="1">
        <v>0.36</v>
      </c>
      <c r="BY148" s="1">
        <v>0.245</v>
      </c>
      <c r="BZ148" s="1">
        <v>0.14499999999999999</v>
      </c>
      <c r="CA148" s="20">
        <v>6.5000000000000002E-2</v>
      </c>
      <c r="CB148" s="1">
        <v>1</v>
      </c>
      <c r="CC148" s="1">
        <v>0.81499999999999995</v>
      </c>
      <c r="CD148" s="1">
        <v>0.64500000000000002</v>
      </c>
      <c r="CE148" s="1">
        <v>0.39500000000000002</v>
      </c>
      <c r="CF148" s="1">
        <v>0.36</v>
      </c>
      <c r="CG148" s="1">
        <v>0.245</v>
      </c>
      <c r="CH148" s="1">
        <v>0.14499999999999999</v>
      </c>
      <c r="CI148" s="20">
        <v>6.5000000000000002E-2</v>
      </c>
      <c r="CJ148" s="1">
        <v>1</v>
      </c>
      <c r="CK148" s="1">
        <v>0.81499999999999995</v>
      </c>
      <c r="CL148" s="1">
        <v>0.64500000000000002</v>
      </c>
      <c r="CM148" s="1">
        <v>0.39500000000000002</v>
      </c>
      <c r="CN148" s="1">
        <v>0.36</v>
      </c>
      <c r="CO148" s="1">
        <v>0.245</v>
      </c>
      <c r="CP148" s="1">
        <v>0.14499999999999999</v>
      </c>
      <c r="CQ148" s="20">
        <v>6.5000000000000002E-2</v>
      </c>
    </row>
    <row r="149" spans="3:160" x14ac:dyDescent="0.4">
      <c r="C149" s="1" t="s">
        <v>34</v>
      </c>
      <c r="D149" s="1" t="s">
        <v>6</v>
      </c>
      <c r="E149" s="1">
        <v>0.27500000000000002</v>
      </c>
      <c r="F149" s="1">
        <v>0.16700000000000001</v>
      </c>
      <c r="G149" s="1">
        <v>0.109</v>
      </c>
      <c r="H149" s="1">
        <v>2.7E-2</v>
      </c>
      <c r="I149" s="1">
        <v>4779</v>
      </c>
      <c r="J149" s="1">
        <v>4245</v>
      </c>
      <c r="K149" s="1">
        <v>56</v>
      </c>
      <c r="L149" s="1">
        <v>5608</v>
      </c>
      <c r="M149" s="1">
        <v>6217</v>
      </c>
      <c r="N149" s="1">
        <v>74.5</v>
      </c>
      <c r="O149" s="1">
        <v>92</v>
      </c>
      <c r="P149" s="1">
        <v>89.5</v>
      </c>
      <c r="Q149" s="1">
        <v>94</v>
      </c>
      <c r="R149" s="1">
        <v>50.5</v>
      </c>
      <c r="S149" s="1">
        <v>93.5</v>
      </c>
      <c r="T149" s="4">
        <v>0</v>
      </c>
      <c r="U149" s="1">
        <v>1.2589999999999999</v>
      </c>
      <c r="V149" s="1">
        <v>7.9000000000000001E-2</v>
      </c>
      <c r="W149" s="1">
        <v>4.0199999999999996</v>
      </c>
      <c r="X149" s="1">
        <f t="shared" ref="X149" si="3374">H149</f>
        <v>2.7E-2</v>
      </c>
      <c r="Y149" s="1">
        <f t="shared" ref="Y149" si="3375">H150</f>
        <v>4.9000000000000002E-2</v>
      </c>
      <c r="Z149" s="1">
        <f t="shared" ref="Z149" si="3376">H151</f>
        <v>2.7E-2</v>
      </c>
      <c r="AA149" s="1">
        <f t="shared" ref="AA149" si="3377">H152</f>
        <v>1.7999999999999999E-2</v>
      </c>
      <c r="AB149" s="1">
        <f t="shared" ref="AB149" si="3378">H153</f>
        <v>2.7E-2</v>
      </c>
      <c r="AC149" s="1">
        <f t="shared" si="2917"/>
        <v>4579.9364889597491</v>
      </c>
      <c r="CQ149" s="20"/>
    </row>
    <row r="150" spans="3:160" x14ac:dyDescent="0.4">
      <c r="C150" s="1" t="s">
        <v>34</v>
      </c>
      <c r="D150" s="1" t="s">
        <v>7</v>
      </c>
      <c r="E150" s="1">
        <v>0.30599999999999999</v>
      </c>
      <c r="F150" s="1">
        <v>0.19600000000000001</v>
      </c>
      <c r="G150" s="1">
        <v>0.109</v>
      </c>
      <c r="H150" s="1">
        <v>4.9000000000000002E-2</v>
      </c>
      <c r="I150" s="1">
        <v>4779</v>
      </c>
      <c r="J150" s="1">
        <v>4245</v>
      </c>
      <c r="K150" s="1">
        <v>56</v>
      </c>
      <c r="L150" s="1">
        <v>5608</v>
      </c>
      <c r="M150" s="1">
        <v>6217</v>
      </c>
      <c r="N150" s="1">
        <v>74.5</v>
      </c>
      <c r="O150" s="1">
        <v>92</v>
      </c>
      <c r="P150" s="1">
        <v>89.5</v>
      </c>
      <c r="Q150" s="1">
        <v>94</v>
      </c>
      <c r="R150" s="1">
        <v>50.5</v>
      </c>
      <c r="S150" s="1">
        <v>93.5</v>
      </c>
      <c r="T150" s="4">
        <v>0</v>
      </c>
      <c r="U150" s="1">
        <v>1.2589999999999999</v>
      </c>
      <c r="V150" s="1">
        <v>7.9000000000000001E-2</v>
      </c>
      <c r="W150" s="1">
        <v>4.0199999999999996</v>
      </c>
      <c r="X150" s="1">
        <f t="shared" ref="X150" si="3379">H149</f>
        <v>2.7E-2</v>
      </c>
      <c r="Y150" s="1">
        <f t="shared" ref="Y150" si="3380">H150</f>
        <v>4.9000000000000002E-2</v>
      </c>
      <c r="Z150" s="1">
        <f t="shared" ref="Z150" si="3381">H151</f>
        <v>2.7E-2</v>
      </c>
      <c r="AA150" s="1">
        <f t="shared" ref="AA150" si="3382">H152</f>
        <v>1.7999999999999999E-2</v>
      </c>
      <c r="AB150" s="1">
        <f t="shared" ref="AB150" si="3383">H153</f>
        <v>2.7E-2</v>
      </c>
      <c r="AC150" s="1">
        <f t="shared" si="2917"/>
        <v>4579.9364889597491</v>
      </c>
      <c r="AE150" s="1" t="s">
        <v>97</v>
      </c>
      <c r="AF150" s="1">
        <v>0</v>
      </c>
      <c r="AG150" s="1">
        <v>0.12</v>
      </c>
      <c r="AH150" s="1">
        <v>0.21</v>
      </c>
      <c r="AI150" s="1">
        <v>0.26</v>
      </c>
      <c r="AJ150" s="1">
        <v>0.28000000000000003</v>
      </c>
      <c r="AK150" s="1">
        <v>0.26</v>
      </c>
      <c r="AL150" s="1">
        <v>0.21</v>
      </c>
      <c r="AM150" s="20">
        <v>0.12</v>
      </c>
      <c r="AN150" s="1">
        <v>0</v>
      </c>
      <c r="AO150" s="1">
        <v>0.12</v>
      </c>
      <c r="AP150" s="1">
        <v>0.21</v>
      </c>
      <c r="AQ150" s="1">
        <v>0.26</v>
      </c>
      <c r="AR150" s="1">
        <v>0.28000000000000003</v>
      </c>
      <c r="AS150" s="1">
        <v>0.26</v>
      </c>
      <c r="AT150" s="1">
        <v>0.21</v>
      </c>
      <c r="AU150" s="20">
        <v>0.12</v>
      </c>
      <c r="AV150" s="1">
        <v>0</v>
      </c>
      <c r="AW150" s="1">
        <v>0.12</v>
      </c>
      <c r="AX150" s="1">
        <v>0.21</v>
      </c>
      <c r="AY150" s="1">
        <v>0.26</v>
      </c>
      <c r="AZ150" s="1">
        <v>0.28000000000000003</v>
      </c>
      <c r="BA150" s="1">
        <v>0.26</v>
      </c>
      <c r="BB150" s="1">
        <v>0.21</v>
      </c>
      <c r="BC150" s="20">
        <v>0.12</v>
      </c>
      <c r="BD150" s="1">
        <v>0</v>
      </c>
      <c r="BE150" s="1">
        <v>0.12</v>
      </c>
      <c r="BF150" s="1">
        <v>0.21</v>
      </c>
      <c r="BG150" s="1">
        <v>0.26</v>
      </c>
      <c r="BH150" s="1">
        <v>0.28000000000000003</v>
      </c>
      <c r="BI150" s="1">
        <v>0.26</v>
      </c>
      <c r="BJ150" s="1">
        <v>0.21</v>
      </c>
      <c r="BK150" s="20">
        <v>0.12</v>
      </c>
      <c r="BL150" s="1">
        <v>0</v>
      </c>
      <c r="BM150" s="1">
        <v>0.12</v>
      </c>
      <c r="BN150" s="1">
        <v>0.21</v>
      </c>
      <c r="BO150" s="1">
        <v>0.26</v>
      </c>
      <c r="BP150" s="1">
        <v>0.28000000000000003</v>
      </c>
      <c r="BQ150" s="1">
        <v>0.26</v>
      </c>
      <c r="BR150" s="1">
        <v>0.21</v>
      </c>
      <c r="BS150" s="20">
        <v>0.12</v>
      </c>
      <c r="BT150" s="1">
        <v>0</v>
      </c>
      <c r="BU150" s="1">
        <v>0.12</v>
      </c>
      <c r="BV150" s="1">
        <v>0.21</v>
      </c>
      <c r="BW150" s="1">
        <v>0.26</v>
      </c>
      <c r="BX150" s="1">
        <v>0.28000000000000003</v>
      </c>
      <c r="BY150" s="1">
        <v>0.26</v>
      </c>
      <c r="BZ150" s="1">
        <v>0.21</v>
      </c>
      <c r="CA150" s="20">
        <v>0.12</v>
      </c>
      <c r="CB150" s="1">
        <v>0</v>
      </c>
      <c r="CC150" s="1">
        <v>0.12</v>
      </c>
      <c r="CD150" s="1">
        <v>0.21</v>
      </c>
      <c r="CE150" s="1">
        <v>0.26</v>
      </c>
      <c r="CF150" s="1">
        <v>0.28000000000000003</v>
      </c>
      <c r="CG150" s="1">
        <v>0.26</v>
      </c>
      <c r="CH150" s="1">
        <v>0.21</v>
      </c>
      <c r="CI150" s="20">
        <v>0.12</v>
      </c>
      <c r="CJ150" s="1">
        <v>0</v>
      </c>
      <c r="CK150" s="1">
        <v>0.12</v>
      </c>
      <c r="CL150" s="1">
        <v>0.21</v>
      </c>
      <c r="CM150" s="1">
        <v>0.26</v>
      </c>
      <c r="CN150" s="1">
        <v>0.28000000000000003</v>
      </c>
      <c r="CO150" s="1">
        <v>0.26</v>
      </c>
      <c r="CP150" s="1">
        <v>0.21</v>
      </c>
      <c r="CQ150" s="20">
        <v>0.12</v>
      </c>
    </row>
    <row r="151" spans="3:160" x14ac:dyDescent="0.4">
      <c r="C151" s="1" t="s">
        <v>34</v>
      </c>
      <c r="D151" s="1" t="s">
        <v>8</v>
      </c>
      <c r="E151" s="1">
        <v>0.27600000000000002</v>
      </c>
      <c r="F151" s="1">
        <v>0.16700000000000001</v>
      </c>
      <c r="G151" s="1">
        <v>0.109</v>
      </c>
      <c r="H151" s="1">
        <v>2.7E-2</v>
      </c>
      <c r="I151" s="1">
        <v>4779</v>
      </c>
      <c r="J151" s="1">
        <v>4245</v>
      </c>
      <c r="K151" s="1">
        <v>56</v>
      </c>
      <c r="L151" s="1">
        <v>5608</v>
      </c>
      <c r="M151" s="1">
        <v>6217</v>
      </c>
      <c r="N151" s="1">
        <v>74.5</v>
      </c>
      <c r="O151" s="1">
        <v>92</v>
      </c>
      <c r="P151" s="1">
        <v>89.5</v>
      </c>
      <c r="Q151" s="1">
        <v>94</v>
      </c>
      <c r="R151" s="1">
        <v>50.5</v>
      </c>
      <c r="S151" s="1">
        <v>93.5</v>
      </c>
      <c r="T151" s="4">
        <v>0</v>
      </c>
      <c r="U151" s="1">
        <v>1.2589999999999999</v>
      </c>
      <c r="V151" s="1">
        <v>7.9000000000000001E-2</v>
      </c>
      <c r="W151" s="1">
        <v>4.0199999999999996</v>
      </c>
      <c r="X151" s="1">
        <f t="shared" ref="X151" si="3384">H149</f>
        <v>2.7E-2</v>
      </c>
      <c r="Y151" s="1">
        <f t="shared" ref="Y151" si="3385">H150</f>
        <v>4.9000000000000002E-2</v>
      </c>
      <c r="Z151" s="1">
        <f t="shared" ref="Z151" si="3386">H151</f>
        <v>2.7E-2</v>
      </c>
      <c r="AA151" s="1">
        <f t="shared" ref="AA151" si="3387">H152</f>
        <v>1.7999999999999999E-2</v>
      </c>
      <c r="AB151" s="1">
        <f t="shared" ref="AB151" si="3388">H153</f>
        <v>2.7E-2</v>
      </c>
      <c r="AC151" s="1">
        <f t="shared" si="2917"/>
        <v>4579.9364889597491</v>
      </c>
      <c r="CQ151" s="20"/>
    </row>
    <row r="152" spans="3:160" x14ac:dyDescent="0.4">
      <c r="C152" s="1" t="s">
        <v>34</v>
      </c>
      <c r="D152" s="1" t="s">
        <v>9</v>
      </c>
      <c r="E152" s="1">
        <v>0.26600000000000001</v>
      </c>
      <c r="F152" s="1">
        <v>0.157</v>
      </c>
      <c r="G152" s="1">
        <v>0.109</v>
      </c>
      <c r="H152" s="1">
        <v>1.7999999999999999E-2</v>
      </c>
      <c r="I152" s="1">
        <v>4779</v>
      </c>
      <c r="J152" s="1">
        <v>4245</v>
      </c>
      <c r="K152" s="1">
        <v>56</v>
      </c>
      <c r="L152" s="1">
        <v>5608</v>
      </c>
      <c r="M152" s="1">
        <v>6217</v>
      </c>
      <c r="N152" s="1">
        <v>74.5</v>
      </c>
      <c r="O152" s="1">
        <v>92</v>
      </c>
      <c r="P152" s="1">
        <v>89.5</v>
      </c>
      <c r="Q152" s="1">
        <v>94</v>
      </c>
      <c r="R152" s="1">
        <v>50.5</v>
      </c>
      <c r="S152" s="1">
        <v>93.5</v>
      </c>
      <c r="T152" s="4">
        <v>0</v>
      </c>
      <c r="U152" s="1">
        <v>1.2589999999999999</v>
      </c>
      <c r="V152" s="1">
        <v>7.9000000000000001E-2</v>
      </c>
      <c r="W152" s="1">
        <v>4.0199999999999996</v>
      </c>
      <c r="X152" s="1">
        <f t="shared" ref="X152" si="3389">H149</f>
        <v>2.7E-2</v>
      </c>
      <c r="Y152" s="1">
        <f t="shared" ref="Y152" si="3390">H150</f>
        <v>4.9000000000000002E-2</v>
      </c>
      <c r="Z152" s="1">
        <f t="shared" ref="Z152" si="3391">H151</f>
        <v>2.7E-2</v>
      </c>
      <c r="AA152" s="1">
        <f t="shared" ref="AA152" si="3392">H152</f>
        <v>1.7999999999999999E-2</v>
      </c>
      <c r="AB152" s="1">
        <f t="shared" ref="AB152" si="3393">H153</f>
        <v>2.7E-2</v>
      </c>
      <c r="AC152" s="1">
        <f t="shared" si="2917"/>
        <v>4579.9364889597491</v>
      </c>
      <c r="AE152" s="1" t="s">
        <v>98</v>
      </c>
      <c r="AF152" s="1">
        <v>0</v>
      </c>
      <c r="AG152" s="1">
        <v>6.5000000000000002E-2</v>
      </c>
      <c r="AH152" s="1">
        <v>0.14499999999999999</v>
      </c>
      <c r="AI152" s="1">
        <v>0.245</v>
      </c>
      <c r="AJ152" s="1">
        <v>0.36</v>
      </c>
      <c r="AK152" s="1">
        <v>0.39500000000000002</v>
      </c>
      <c r="AL152" s="1">
        <v>0.64500000000000002</v>
      </c>
      <c r="AM152" s="20">
        <v>0.81499999999999995</v>
      </c>
      <c r="AN152" s="1">
        <v>0</v>
      </c>
      <c r="AO152" s="1">
        <v>6.5000000000000002E-2</v>
      </c>
      <c r="AP152" s="1">
        <v>0.14499999999999999</v>
      </c>
      <c r="AQ152" s="1">
        <v>0.245</v>
      </c>
      <c r="AR152" s="1">
        <v>0.36</v>
      </c>
      <c r="AS152" s="1">
        <v>0.39500000000000002</v>
      </c>
      <c r="AT152" s="1">
        <v>0.64500000000000002</v>
      </c>
      <c r="AU152" s="20">
        <v>0.81499999999999995</v>
      </c>
      <c r="AV152" s="1">
        <v>0</v>
      </c>
      <c r="AW152" s="1">
        <v>6.5000000000000002E-2</v>
      </c>
      <c r="AX152" s="1">
        <v>0.14499999999999999</v>
      </c>
      <c r="AY152" s="1">
        <v>0.245</v>
      </c>
      <c r="AZ152" s="1">
        <v>0.36</v>
      </c>
      <c r="BA152" s="1">
        <v>0.39500000000000002</v>
      </c>
      <c r="BB152" s="1">
        <v>0.64500000000000002</v>
      </c>
      <c r="BC152" s="20">
        <v>0.81499999999999995</v>
      </c>
      <c r="BD152" s="1">
        <v>0</v>
      </c>
      <c r="BE152" s="1">
        <v>6.5000000000000002E-2</v>
      </c>
      <c r="BF152" s="1">
        <v>0.14499999999999999</v>
      </c>
      <c r="BG152" s="1">
        <v>0.245</v>
      </c>
      <c r="BH152" s="1">
        <v>0.36</v>
      </c>
      <c r="BI152" s="1">
        <v>0.39500000000000002</v>
      </c>
      <c r="BJ152" s="1">
        <v>0.64500000000000002</v>
      </c>
      <c r="BK152" s="20">
        <v>0.81499999999999995</v>
      </c>
      <c r="BL152" s="1">
        <v>0</v>
      </c>
      <c r="BM152" s="1">
        <v>6.5000000000000002E-2</v>
      </c>
      <c r="BN152" s="1">
        <v>0.14499999999999999</v>
      </c>
      <c r="BO152" s="1">
        <v>0.245</v>
      </c>
      <c r="BP152" s="1">
        <v>0.36</v>
      </c>
      <c r="BQ152" s="1">
        <v>0.39500000000000002</v>
      </c>
      <c r="BR152" s="1">
        <v>0.64500000000000002</v>
      </c>
      <c r="BS152" s="20">
        <v>0.81499999999999995</v>
      </c>
      <c r="BT152" s="1">
        <v>0</v>
      </c>
      <c r="BU152" s="1">
        <v>6.5000000000000002E-2</v>
      </c>
      <c r="BV152" s="1">
        <v>0.14499999999999999</v>
      </c>
      <c r="BW152" s="1">
        <v>0.245</v>
      </c>
      <c r="BX152" s="1">
        <v>0.36</v>
      </c>
      <c r="BY152" s="1">
        <v>0.39500000000000002</v>
      </c>
      <c r="BZ152" s="1">
        <v>0.64500000000000002</v>
      </c>
      <c r="CA152" s="20">
        <v>0.81499999999999995</v>
      </c>
      <c r="CB152" s="1">
        <v>0</v>
      </c>
      <c r="CC152" s="1">
        <v>6.5000000000000002E-2</v>
      </c>
      <c r="CD152" s="1">
        <v>0.14499999999999999</v>
      </c>
      <c r="CE152" s="1">
        <v>0.245</v>
      </c>
      <c r="CF152" s="1">
        <v>0.36</v>
      </c>
      <c r="CG152" s="1">
        <v>0.39500000000000002</v>
      </c>
      <c r="CH152" s="1">
        <v>0.64500000000000002</v>
      </c>
      <c r="CI152" s="20">
        <v>0.81499999999999995</v>
      </c>
      <c r="CJ152" s="1">
        <v>0</v>
      </c>
      <c r="CK152" s="1">
        <v>6.5000000000000002E-2</v>
      </c>
      <c r="CL152" s="1">
        <v>0.14499999999999999</v>
      </c>
      <c r="CM152" s="1">
        <v>0.245</v>
      </c>
      <c r="CN152" s="1">
        <v>0.36</v>
      </c>
      <c r="CO152" s="1">
        <v>0.39500000000000002</v>
      </c>
      <c r="CP152" s="1">
        <v>0.64500000000000002</v>
      </c>
      <c r="CQ152" s="20">
        <v>0.81499999999999995</v>
      </c>
    </row>
    <row r="153" spans="3:160" s="2" customFormat="1" x14ac:dyDescent="0.4">
      <c r="C153" s="2" t="s">
        <v>34</v>
      </c>
      <c r="D153" s="2" t="s">
        <v>10</v>
      </c>
      <c r="E153" s="2">
        <v>0.27600000000000002</v>
      </c>
      <c r="F153" s="2">
        <v>0.16700000000000001</v>
      </c>
      <c r="G153" s="2">
        <v>0.109</v>
      </c>
      <c r="H153" s="2">
        <v>2.7E-2</v>
      </c>
      <c r="I153" s="2">
        <v>4779</v>
      </c>
      <c r="J153" s="2">
        <v>4245</v>
      </c>
      <c r="K153" s="2">
        <v>56</v>
      </c>
      <c r="L153" s="2">
        <v>5608</v>
      </c>
      <c r="M153" s="2">
        <v>6217</v>
      </c>
      <c r="N153" s="2">
        <v>74.5</v>
      </c>
      <c r="O153" s="2">
        <v>92</v>
      </c>
      <c r="P153" s="2">
        <v>89.5</v>
      </c>
      <c r="Q153" s="2">
        <v>94</v>
      </c>
      <c r="R153" s="2">
        <v>50.5</v>
      </c>
      <c r="S153" s="2">
        <v>93.5</v>
      </c>
      <c r="T153" s="6">
        <f t="shared" ref="T153" si="3394">(N148*O148*P148*Q148*R148*S148)/(I148*J148*K148*(F148*H148 + F149*H149 + F150*H150 + F151*H151 + F152*H152 + F153*H153))</f>
        <v>6465.5844389152562</v>
      </c>
      <c r="U153" s="2">
        <v>1.2589999999999999</v>
      </c>
      <c r="V153" s="2">
        <v>7.9000000000000001E-2</v>
      </c>
      <c r="W153" s="2">
        <v>4.0199999999999996</v>
      </c>
      <c r="X153" s="2">
        <f t="shared" ref="X153" si="3395">H149</f>
        <v>2.7E-2</v>
      </c>
      <c r="Y153" s="2">
        <f t="shared" ref="Y153" si="3396">H150</f>
        <v>4.9000000000000002E-2</v>
      </c>
      <c r="Z153" s="2">
        <f t="shared" ref="Z153" si="3397">H151</f>
        <v>2.7E-2</v>
      </c>
      <c r="AA153" s="2">
        <f t="shared" ref="AA153" si="3398">H152</f>
        <v>1.7999999999999999E-2</v>
      </c>
      <c r="AB153" s="2">
        <f t="shared" ref="AB153" si="3399">H153</f>
        <v>2.7E-2</v>
      </c>
      <c r="AC153" s="1">
        <f t="shared" si="2917"/>
        <v>4579.9364889597491</v>
      </c>
      <c r="AE153" s="2" t="s">
        <v>99</v>
      </c>
      <c r="AF153" s="23">
        <f>($O153*$Q153*$S153)^(1/3)/(AF148*((1-AF$2)*$H148+AF$2*$H149) + AF150*((1-AF$2)*$H150+AF$2*$H151) + AF152*((1-AF$2)*$H152+AF$2*$H153))</f>
        <v>1693.8686925486315</v>
      </c>
      <c r="AG153" s="23">
        <f t="shared" ref="AG153" si="3400">($O153*$Q153*$S153)^(1/3)/(AG148*((1-AG$2)*$H148+AG$2*$H149) + AG150*((1-AG$2)*$H150+AG$2*$H151) + AG152*((1-AG$2)*$H152+AG$2*$H153))</f>
        <v>1795.9089752322843</v>
      </c>
      <c r="AH153" s="23">
        <f t="shared" ref="AH153" si="3401">($O153*$Q153*$S153)^(1/3)/(AH148*((1-AH$2)*$H148+AH$2*$H149) + AH150*((1-AH$2)*$H150+AH$2*$H151) + AH152*((1-AH$2)*$H152+AH$2*$H153))</f>
        <v>1925.8455419157569</v>
      </c>
      <c r="AI153" s="23">
        <f t="shared" ref="AI153" si="3402">($O153*$Q153*$S153)^(1/3)/(AI148*((1-AI$2)*$H148+AI$2*$H149) + AI150*((1-AI$2)*$H150+AI$2*$H151) + AI152*((1-AI$2)*$H152+AI$2*$H153))</f>
        <v>2396.4701759530481</v>
      </c>
      <c r="AJ153" s="23">
        <f t="shared" ref="AJ153" si="3403">($O153*$Q153*$S153)^(1/3)/(AJ148*((1-AJ$2)*$H148+AJ$2*$H149) + AJ150*((1-AJ$2)*$H150+AJ$2*$H151) + AJ152*((1-AJ$2)*$H152+AJ$2*$H153))</f>
        <v>2329.0694522543686</v>
      </c>
      <c r="AK153" s="23">
        <f t="shared" ref="AK153" si="3404">($O153*$Q153*$S153)^(1/3)/(AK148*((1-AK$2)*$H148+AK$2*$H149) + AK150*((1-AK$2)*$H150+AK$2*$H151) + AK152*((1-AK$2)*$H152+AK$2*$H153))</f>
        <v>2795.5822382648084</v>
      </c>
      <c r="AL153" s="23">
        <f t="shared" ref="AL153" si="3405">($O153*$Q153*$S153)^(1/3)/(AL148*((1-AL$2)*$H148+AL$2*$H149) + AL150*((1-AL$2)*$H150+AL$2*$H151) + AL152*((1-AL$2)*$H152+AL$2*$H153))</f>
        <v>3118.4193502987364</v>
      </c>
      <c r="AM153" s="23">
        <f t="shared" ref="AM153" si="3406">($O153*$Q153*$S153)^(1/3)/(AM148*((1-AM$2)*$H148+AM$2*$H149) + AM150*((1-AM$2)*$H150+AM$2*$H151) + AM152*((1-AM$2)*$H152+AM$2*$H153))</f>
        <v>3861.6695581419585</v>
      </c>
      <c r="AN153" s="23">
        <f t="shared" ref="AN153" si="3407">($O153*$Q153*$S153)^(1/3)/(AN148*((1-AN$2)*$H148+AN$2*$H149) + AN150*((1-AN$2)*$H150+AN$2*$H151) + AN152*((1-AN$2)*$H152+AN$2*$H153))</f>
        <v>1808.98598233349</v>
      </c>
      <c r="AO153" s="23">
        <f t="shared" ref="AO153" si="3408">($O153*$Q153*$S153)^(1/3)/(AO148*((1-AO$2)*$H148+AO$2*$H149) + AO150*((1-AO$2)*$H150+AO$2*$H151) + AO152*((1-AO$2)*$H152+AO$2*$H153))</f>
        <v>1910.4190316472873</v>
      </c>
      <c r="AP153" s="23">
        <f t="shared" ref="AP153" si="3409">($O153*$Q153*$S153)^(1/3)/(AP148*((1-AP$2)*$H148+AP$2*$H149) + AP150*((1-AP$2)*$H150+AP$2*$H151) + AP152*((1-AP$2)*$H152+AP$2*$H153))</f>
        <v>2038.4334351354471</v>
      </c>
      <c r="AQ153" s="23">
        <f t="shared" ref="AQ153" si="3410">($O153*$Q153*$S153)^(1/3)/(AQ148*((1-AQ$2)*$H148+AQ$2*$H149) + AQ150*((1-AQ$2)*$H150+AQ$2*$H151) + AQ152*((1-AQ$2)*$H152+AQ$2*$H153))</f>
        <v>2514.3028581307171</v>
      </c>
      <c r="AR153" s="23">
        <f t="shared" ref="AR153" si="3411">($O153*$Q153*$S153)^(1/3)/(AR148*((1-AR$2)*$H148+AR$2*$H149) + AR150*((1-AR$2)*$H150+AR$2*$H151) + AR152*((1-AR$2)*$H152+AR$2*$H153))</f>
        <v>2427.6945430664423</v>
      </c>
      <c r="AS153" s="23">
        <f t="shared" ref="AS153" si="3412">($O153*$Q153*$S153)^(1/3)/(AS148*((1-AS$2)*$H148+AS$2*$H149) + AS150*((1-AS$2)*$H150+AS$2*$H151) + AS152*((1-AS$2)*$H152+AS$2*$H153))</f>
        <v>2893.53479460894</v>
      </c>
      <c r="AT153" s="23">
        <f t="shared" ref="AT153" si="3413">($O153*$Q153*$S153)^(1/3)/(AT148*((1-AT$2)*$H148+AT$2*$H149) + AT150*((1-AT$2)*$H150+AT$2*$H151) + AT152*((1-AT$2)*$H152+AT$2*$H153))</f>
        <v>3156.3884583224899</v>
      </c>
      <c r="AU153" s="23">
        <f t="shared" ref="AU153" si="3414">($O153*$Q153*$S153)^(1/3)/(AU148*((1-AU$2)*$H148+AU$2*$H149) + AU150*((1-AU$2)*$H150+AU$2*$H151) + AU152*((1-AU$2)*$H152+AU$2*$H153))</f>
        <v>3804.9890221896512</v>
      </c>
      <c r="AV153" s="23">
        <f t="shared" ref="AV153" si="3415">($O153*$Q153*$S153)^(1/3)/(AV148*((1-AV$2)*$H148+AV$2*$H149) + AV150*((1-AV$2)*$H150+AV$2*$H151) + AV152*((1-AV$2)*$H152+AV$2*$H153))</f>
        <v>1940.8912102119737</v>
      </c>
      <c r="AW153" s="23">
        <f t="shared" ref="AW153" si="3416">($O153*$Q153*$S153)^(1/3)/(AW148*((1-AW$2)*$H148+AW$2*$H149) + AW150*((1-AW$2)*$H150+AW$2*$H151) + AW152*((1-AW$2)*$H152+AW$2*$H153))</f>
        <v>2040.5262826047858</v>
      </c>
      <c r="AX153" s="23">
        <f t="shared" ref="AX153" si="3417">($O153*$Q153*$S153)^(1/3)/(AX148*((1-AX$2)*$H148+AX$2*$H149) + AX150*((1-AX$2)*$H150+AX$2*$H151) + AX152*((1-AX$2)*$H152+AX$2*$H153))</f>
        <v>2165.0028314347069</v>
      </c>
      <c r="AY153" s="23">
        <f t="shared" ref="AY153" si="3418">($O153*$Q153*$S153)^(1/3)/(AY148*((1-AY$2)*$H148+AY$2*$H149) + AY150*((1-AY$2)*$H150+AY$2*$H151) + AY152*((1-AY$2)*$H152+AY$2*$H153))</f>
        <v>2644.3222448869892</v>
      </c>
      <c r="AZ153" s="23">
        <f t="shared" ref="AZ153" si="3419">($O153*$Q153*$S153)^(1/3)/(AZ148*((1-AZ$2)*$H148+AZ$2*$H149) + AZ150*((1-AZ$2)*$H150+AZ$2*$H151) + AZ152*((1-AZ$2)*$H152+AZ$2*$H153))</f>
        <v>2535.0415806850269</v>
      </c>
      <c r="BA153" s="23">
        <f t="shared" ref="BA153" si="3420">($O153*$Q153*$S153)^(1/3)/(BA148*((1-BA$2)*$H148+BA$2*$H149) + BA150*((1-BA$2)*$H150+BA$2*$H151) + BA152*((1-BA$2)*$H152+BA$2*$H153))</f>
        <v>2998.6007834294828</v>
      </c>
      <c r="BB153" s="23">
        <f t="shared" ref="BB153" si="3421">($O153*$Q153*$S153)^(1/3)/(BB148*((1-BB$2)*$H148+BB$2*$H149) + BB150*((1-BB$2)*$H150+BB$2*$H151) + BB152*((1-BB$2)*$H152+BB$2*$H153))</f>
        <v>3195.2935679373973</v>
      </c>
      <c r="BC153" s="23">
        <f t="shared" ref="BC153" si="3422">($O153*$Q153*$S153)^(1/3)/(BC148*((1-BC$2)*$H148+BC$2*$H149) + BC150*((1-BC$2)*$H150+BC$2*$H151) + BC152*((1-BC$2)*$H152+BC$2*$H153))</f>
        <v>3749.9483004850213</v>
      </c>
      <c r="BD153" s="23">
        <f t="shared" ref="BD153" si="3423">($O153*$Q153*$S153)^(1/3)/(BD148*((1-BD$2)*$H148+BD$2*$H149) + BD150*((1-BD$2)*$H150+BD$2*$H151) + BD152*((1-BD$2)*$H152+BD$2*$H153))</f>
        <v>2093.5455750601063</v>
      </c>
      <c r="BE153" s="23">
        <f t="shared" ref="BE153" si="3424">($O153*$Q153*$S153)^(1/3)/(BE148*((1-BE$2)*$H148+BE$2*$H149) + BE150*((1-BE$2)*$H150+BE$2*$H151) + BE152*((1-BE$2)*$H152+BE$2*$H153))</f>
        <v>2189.6503113371955</v>
      </c>
      <c r="BF153" s="23">
        <f t="shared" ref="BF153" si="3425">($O153*$Q153*$S153)^(1/3)/(BF148*((1-BF$2)*$H148+BF$2*$H149) + BF150*((1-BF$2)*$H150+BF$2*$H151) + BF152*((1-BF$2)*$H152+BF$2*$H153))</f>
        <v>2308.3305450140083</v>
      </c>
      <c r="BG153" s="23">
        <f t="shared" ref="BG153" si="3426">($O153*$Q153*$S153)^(1/3)/(BG148*((1-BG$2)*$H148+BG$2*$H149) + BG150*((1-BG$2)*$H150+BG$2*$H151) + BG152*((1-BG$2)*$H152+BG$2*$H153))</f>
        <v>2788.5220268315325</v>
      </c>
      <c r="BH153" s="23">
        <f t="shared" ref="BH153" si="3427">($O153*$Q153*$S153)^(1/3)/(BH148*((1-BH$2)*$H148+BH$2*$H149) + BH150*((1-BH$2)*$H150+BH$2*$H151) + BH152*((1-BH$2)*$H152+BH$2*$H153))</f>
        <v>2652.3210844177861</v>
      </c>
      <c r="BI153" s="23">
        <f t="shared" ref="BI153" si="3428">($O153*$Q153*$S153)^(1/3)/(BI148*((1-BI$2)*$H148+BI$2*$H149) + BI150*((1-BI$2)*$H150+BI$2*$H151) + BI152*((1-BI$2)*$H152+BI$2*$H153))</f>
        <v>3111.5842802271072</v>
      </c>
      <c r="BJ153" s="23">
        <f t="shared" ref="BJ153" si="3429">($O153*$Q153*$S153)^(1/3)/(BJ148*((1-BJ$2)*$H148+BJ$2*$H149) + BJ150*((1-BJ$2)*$H150+BJ$2*$H151) + BJ152*((1-BJ$2)*$H152+BJ$2*$H153))</f>
        <v>3235.1697220679239</v>
      </c>
      <c r="BK153" s="23">
        <f t="shared" ref="BK153" si="3430">($O153*$Q153*$S153)^(1/3)/(BK148*((1-BK$2)*$H148+BK$2*$H149) + BK150*((1-BK$2)*$H150+BK$2*$H151) + BK152*((1-BK$2)*$H152+BK$2*$H153))</f>
        <v>3696.4772459833748</v>
      </c>
      <c r="BL153" s="23">
        <f t="shared" ref="BL153" si="3431">($O153*$Q153*$S153)^(1/3)/(BL148*((1-BL$2)*$H148+BL$2*$H149) + BL150*((1-BL$2)*$H150+BL$2*$H151) + BL152*((1-BL$2)*$H152+BL$2*$H153))</f>
        <v>2272.2628802481645</v>
      </c>
      <c r="BM153" s="23">
        <f t="shared" ref="BM153" si="3432">($O153*$Q153*$S153)^(1/3)/(BM148*((1-BM$2)*$H148+BM$2*$H149) + BM150*((1-BM$2)*$H150+BM$2*$H151) + BM152*((1-BM$2)*$H152+BM$2*$H153))</f>
        <v>2362.2891433324817</v>
      </c>
      <c r="BN153" s="23">
        <f t="shared" ref="BN153" si="3433">($O153*$Q153*$S153)^(1/3)/(BN148*((1-BN$2)*$H148+BN$2*$H149) + BN150*((1-BN$2)*$H150+BN$2*$H151) + BN152*((1-BN$2)*$H152+BN$2*$H153))</f>
        <v>2471.9808448470908</v>
      </c>
      <c r="BO153" s="23">
        <f t="shared" ref="BO153" si="3434">($O153*$Q153*$S153)^(1/3)/(BO148*((1-BO$2)*$H148+BO$2*$H149) + BO150*((1-BO$2)*$H150+BO$2*$H151) + BO152*((1-BO$2)*$H152+BO$2*$H153))</f>
        <v>2949.3558556446292</v>
      </c>
      <c r="BP153" s="23">
        <f t="shared" ref="BP153" si="3435">($O153*$Q153*$S153)^(1/3)/(BP148*((1-BP$2)*$H148+BP$2*$H149) + BP150*((1-BP$2)*$H150+BP$2*$H151) + BP152*((1-BP$2)*$H152+BP$2*$H153))</f>
        <v>2780.9784504529771</v>
      </c>
      <c r="BQ153" s="23">
        <f t="shared" ref="BQ153" si="3436">($O153*$Q153*$S153)^(1/3)/(BQ148*((1-BQ$2)*$H148+BQ$2*$H149) + BQ150*((1-BQ$2)*$H150+BQ$2*$H151) + BQ152*((1-BQ$2)*$H152+BQ$2*$H153))</f>
        <v>3233.4152916329631</v>
      </c>
      <c r="BR153" s="23">
        <f t="shared" ref="BR153" si="3437">($O153*$Q153*$S153)^(1/3)/(BR148*((1-BR$2)*$H148+BR$2*$H149) + BR150*((1-BR$2)*$H150+BR$2*$H151) + BR152*((1-BR$2)*$H152+BR$2*$H153))</f>
        <v>3276.0537350391119</v>
      </c>
      <c r="BS153" s="23">
        <f t="shared" ref="BS153" si="3438">($O153*$Q153*$S153)^(1/3)/(BS148*((1-BS$2)*$H148+BS$2*$H149) + BS150*((1-BS$2)*$H150+BS$2*$H151) + BS152*((1-BS$2)*$H152+BS$2*$H153))</f>
        <v>3644.509656339354</v>
      </c>
      <c r="BT153" s="23">
        <f t="shared" ref="BT153" si="3439">($O153*$Q153*$S153)^(1/3)/(BT148*((1-BT$2)*$H148+BT$2*$H149) + BT150*((1-BT$2)*$H150+BT$2*$H151) + BT152*((1-BT$2)*$H152+BT$2*$H153))</f>
        <v>2484.3407490713262</v>
      </c>
      <c r="BU153" s="23">
        <f t="shared" ref="BU153" si="3440">($O153*$Q153*$S153)^(1/3)/(BU148*((1-BU$2)*$H148+BU$2*$H149) + BU150*((1-BU$2)*$H150+BU$2*$H151) + BU152*((1-BU$2)*$H152+BU$2*$H153))</f>
        <v>2564.4807732349173</v>
      </c>
      <c r="BV153" s="23">
        <f t="shared" ref="BV153" si="3441">($O153*$Q153*$S153)^(1/3)/(BV148*((1-BV$2)*$H148+BV$2*$H149) + BV150*((1-BV$2)*$H150+BV$2*$H151) + BV152*((1-BV$2)*$H152+BV$2*$H153))</f>
        <v>2660.6058892330129</v>
      </c>
      <c r="BW153" s="23">
        <f t="shared" ref="BW153" si="3442">($O153*$Q153*$S153)^(1/3)/(BW148*((1-BW$2)*$H148+BW$2*$H149) + BW150*((1-BW$2)*$H150+BW$2*$H151) + BW152*((1-BW$2)*$H152+BW$2*$H153))</f>
        <v>3129.8781090662374</v>
      </c>
      <c r="BX153" s="23">
        <f t="shared" ref="BX153" si="3443">($O153*$Q153*$S153)^(1/3)/(BX148*((1-BX$2)*$H148+BX$2*$H149) + BX150*((1-BX$2)*$H150+BX$2*$H151) + BX152*((1-BX$2)*$H152+BX$2*$H153))</f>
        <v>2922.7538224368545</v>
      </c>
      <c r="BY153" s="23">
        <f t="shared" ref="BY153" si="3444">($O153*$Q153*$S153)^(1/3)/(BY148*((1-BY$2)*$H148+BY$2*$H149) + BY150*((1-BY$2)*$H150+BY$2*$H151) + BY152*((1-BY$2)*$H152+BY$2*$H153))</f>
        <v>3365.1754135744345</v>
      </c>
      <c r="BZ153" s="23">
        <f t="shared" ref="BZ153" si="3445">($O153*$Q153*$S153)^(1/3)/(BZ148*((1-BZ$2)*$H148+BZ$2*$H149) + BZ150*((1-BZ$2)*$H150+BZ$2*$H151) + BZ152*((1-BZ$2)*$H152+BZ$2*$H153))</f>
        <v>3317.984305938332</v>
      </c>
      <c r="CA153" s="23">
        <f t="shared" ref="CA153" si="3446">($O153*$Q153*$S153)^(1/3)/(CA148*((1-CA$2)*$H148+CA$2*$H149) + CA150*((1-CA$2)*$H150+CA$2*$H151) + CA152*((1-CA$2)*$H152+CA$2*$H153))</f>
        <v>3593.9830004648488</v>
      </c>
      <c r="CB153" s="23">
        <f t="shared" ref="CB153" si="3447">($O153*$Q153*$S153)^(1/3)/(CB148*((1-CB$2)*$H148+CB$2*$H149) + CB150*((1-CB$2)*$H150+CB$2*$H151) + CB152*((1-CB$2)*$H152+CB$2*$H153))</f>
        <v>2740.0817085345511</v>
      </c>
      <c r="CC153" s="23">
        <f t="shared" ref="CC153" si="3448">($O153*$Q153*$S153)^(1/3)/(CC148*((1-CC$2)*$H148+CC$2*$H149) + CC150*((1-CC$2)*$H150+CC$2*$H151) + CC152*((1-CC$2)*$H152+CC$2*$H153))</f>
        <v>2804.5238935894563</v>
      </c>
      <c r="CD153" s="23">
        <f t="shared" ref="CD153" si="3449">($O153*$Q153*$S153)^(1/3)/(CD148*((1-CD$2)*$H148+CD$2*$H149) + CD150*((1-CD$2)*$H150+CD$2*$H151) + CD152*((1-CD$2)*$H152+CD$2*$H153))</f>
        <v>2880.3950713870445</v>
      </c>
      <c r="CE153" s="23">
        <f t="shared" ref="CE153" si="3450">($O153*$Q153*$S153)^(1/3)/(CE148*((1-CE$2)*$H148+CE$2*$H149) + CE150*((1-CE$2)*$H150+CE$2*$H151) + CE152*((1-CE$2)*$H152+CE$2*$H153))</f>
        <v>3333.9397214108603</v>
      </c>
      <c r="CF153" s="23">
        <f t="shared" ref="CF153" si="3451">($O153*$Q153*$S153)^(1/3)/(CF148*((1-CF$2)*$H148+CF$2*$H149) + CF150*((1-CF$2)*$H150+CF$2*$H151) + CF152*((1-CF$2)*$H152+CF$2*$H153))</f>
        <v>3079.7612591793304</v>
      </c>
      <c r="CG153" s="23">
        <f t="shared" ref="CG153" si="3452">($O153*$Q153*$S153)^(1/3)/(CG148*((1-CG$2)*$H148+CG$2*$H149) + CG150*((1-CG$2)*$H150+CG$2*$H151) + CG152*((1-CG$2)*$H152+CG$2*$H153))</f>
        <v>3508.1300292840565</v>
      </c>
      <c r="CH153" s="23">
        <f t="shared" ref="CH153" si="3453">($O153*$Q153*$S153)^(1/3)/(CH148*((1-CH$2)*$H148+CH$2*$H149) + CH150*((1-CH$2)*$H150+CH$2*$H151) + CH152*((1-CH$2)*$H152+CH$2*$H153))</f>
        <v>3361.0021407954805</v>
      </c>
      <c r="CI153" s="23">
        <f t="shared" ref="CI153" si="3454">($O153*$Q153*$S153)^(1/3)/(CI148*((1-CI$2)*$H148+CI$2*$H149) + CI150*((1-CI$2)*$H150+CI$2*$H151) + CI152*((1-CI$2)*$H152+CI$2*$H153))</f>
        <v>3544.8381675215123</v>
      </c>
      <c r="CJ153" s="23">
        <f t="shared" ref="CJ153" si="3455">($O153*$Q153*$S153)^(1/3)/(CJ148*((1-CJ$2)*$H148+CJ$2*$H149) + CJ150*((1-CJ$2)*$H150+CJ$2*$H151) + CJ152*((1-CJ$2)*$H152+CJ$2*$H153))</f>
        <v>3054.5173144319588</v>
      </c>
      <c r="CK153" s="23">
        <f t="shared" ref="CK153" si="3456">($O153*$Q153*$S153)^(1/3)/(CK148*((1-CK$2)*$H148+CK$2*$H149) + CK150*((1-CK$2)*$H150+CK$2*$H151) + CK152*((1-CK$2)*$H152+CK$2*$H153))</f>
        <v>3094.1451986357988</v>
      </c>
      <c r="CL153" s="23">
        <f t="shared" ref="CL153" si="3457">($O153*$Q153*$S153)^(1/3)/(CL148*((1-CL$2)*$H148+CL$2*$H149) + CL150*((1-CL$2)*$H150+CL$2*$H151) + CL152*((1-CL$2)*$H152+CL$2*$H153))</f>
        <v>3139.7671394266372</v>
      </c>
      <c r="CM153" s="23">
        <f t="shared" ref="CM153" si="3458">($O153*$Q153*$S153)^(1/3)/(CM148*((1-CM$2)*$H148+CM$2*$H149) + CM150*((1-CM$2)*$H150+CM$2*$H151) + CM152*((1-CM$2)*$H152+CM$2*$H153))</f>
        <v>3566.4659634951445</v>
      </c>
      <c r="CN153" s="23">
        <f t="shared" ref="CN153" si="3459">($O153*$Q153*$S153)^(1/3)/(CN148*((1-CN$2)*$H148+CN$2*$H149) + CN150*((1-CN$2)*$H150+CN$2*$H151) + CN152*((1-CN$2)*$H152+CN$2*$H153))</f>
        <v>3254.5948677790307</v>
      </c>
      <c r="CO153" s="23">
        <f t="shared" ref="CO153" si="3460">($O153*$Q153*$S153)^(1/3)/(CO148*((1-CO$2)*$H148+CO$2*$H149) + CO150*((1-CO$2)*$H150+CO$2*$H151) + CO152*((1-CO$2)*$H152+CO$2*$H153))</f>
        <v>3663.7690781437777</v>
      </c>
      <c r="CP153" s="23">
        <f t="shared" ref="CP153" si="3461">($O153*$Q153*$S153)^(1/3)/(CP148*((1-CP$2)*$H148+CP$2*$H149) + CP150*((1-CP$2)*$H150+CP$2*$H151) + CP152*((1-CP$2)*$H152+CP$2*$H153))</f>
        <v>3405.1500843924523</v>
      </c>
      <c r="CQ153" s="23">
        <f t="shared" ref="CQ153" si="3462">($O153*$Q153*$S153)^(1/3)/(CQ148*((1-CQ$2)*$H148+CQ$2*$H149) + CQ150*((1-CQ$2)*$H150+CQ$2*$H151) + CQ152*((1-CQ$2)*$H152+CQ$2*$H153))</f>
        <v>3497.0192362294329</v>
      </c>
      <c r="CS153" s="2">
        <f t="shared" ref="CS153" si="3463">100*$AF153/AF153</f>
        <v>100</v>
      </c>
      <c r="CT153" s="2">
        <f t="shared" ref="CT153" si="3464">100*$AF153/AG153</f>
        <v>94.318181818181799</v>
      </c>
      <c r="CU153" s="2">
        <f t="shared" ref="CU153" si="3465">100*$AF153/AH153</f>
        <v>87.954545454545453</v>
      </c>
      <c r="CV153" s="2">
        <f t="shared" ref="CV153" si="3466">100*$AF153/AI153</f>
        <v>70.681818181818173</v>
      </c>
      <c r="CW153" s="2">
        <f t="shared" ref="CW153" si="3467">100*$AF153/AJ153</f>
        <v>72.72727272727272</v>
      </c>
      <c r="CX153" s="2">
        <f t="shared" ref="CX153" si="3468">100*$AF153/AK153</f>
        <v>60.590909090909086</v>
      </c>
      <c r="CY153" s="2">
        <f t="shared" ref="CY153" si="3469">100*$AF153/AL153</f>
        <v>54.318181818181806</v>
      </c>
      <c r="CZ153" s="2">
        <f t="shared" ref="CZ153" si="3470">100*$AF153/AM153</f>
        <v>43.863636363636353</v>
      </c>
      <c r="DA153" s="2">
        <f t="shared" ref="DA153" si="3471">100*$AF153/AN153</f>
        <v>93.63636363636364</v>
      </c>
      <c r="DB153" s="2">
        <f t="shared" ref="DB153" si="3472">100*$AF153/AO153</f>
        <v>88.66477272727272</v>
      </c>
      <c r="DC153" s="2">
        <f t="shared" ref="DC153" si="3473">100*$AF153/AP153</f>
        <v>83.096590909090907</v>
      </c>
      <c r="DD153" s="2">
        <f t="shared" ref="DD153" si="3474">100*$AF153/AQ153</f>
        <v>67.369318181818187</v>
      </c>
      <c r="DE153" s="2">
        <f t="shared" ref="DE153" si="3475">100*$AF153/AR153</f>
        <v>69.77272727272728</v>
      </c>
      <c r="DF153" s="2">
        <f t="shared" ref="DF153" si="3476">100*$AF153/AS153</f>
        <v>58.539772727272741</v>
      </c>
      <c r="DG153" s="2">
        <f t="shared" ref="DG153" si="3477">100*$AF153/AT153</f>
        <v>53.66477272727272</v>
      </c>
      <c r="DH153" s="2">
        <f t="shared" ref="DH153" si="3478">100*$AF153/AU153</f>
        <v>44.517045454545453</v>
      </c>
      <c r="DI153" s="2">
        <f t="shared" ref="DI153" si="3479">100*$AF153/AV153</f>
        <v>87.272727272727266</v>
      </c>
      <c r="DJ153" s="2">
        <f t="shared" ref="DJ153" si="3480">100*$AF153/AW153</f>
        <v>83.011363636363626</v>
      </c>
      <c r="DK153" s="2">
        <f t="shared" ref="DK153" si="3481">100*$AF153/AX153</f>
        <v>78.23863636363636</v>
      </c>
      <c r="DL153" s="2">
        <f t="shared" ref="DL153" si="3482">100*$AF153/AY153</f>
        <v>64.056818181818173</v>
      </c>
      <c r="DM153" s="2">
        <f t="shared" ref="DM153" si="3483">100*$AF153/AZ153</f>
        <v>66.818181818181813</v>
      </c>
      <c r="DN153" s="2">
        <f t="shared" ref="DN153" si="3484">100*$AF153/BA153</f>
        <v>56.48863636363636</v>
      </c>
      <c r="DO153" s="2">
        <f t="shared" ref="DO153" si="3485">100*$AF153/BB153</f>
        <v>53.011363636363633</v>
      </c>
      <c r="DP153" s="2">
        <f t="shared" ref="DP153" si="3486">100*$AF153/BC153</f>
        <v>45.17045454545454</v>
      </c>
      <c r="DQ153" s="2">
        <f t="shared" ref="DQ153" si="3487">100*$AF153/BD153</f>
        <v>80.909090909090907</v>
      </c>
      <c r="DR153" s="2">
        <f t="shared" ref="DR153" si="3488">100*$AF153/BE153</f>
        <v>77.357954545454547</v>
      </c>
      <c r="DS153" s="2">
        <f t="shared" ref="DS153" si="3489">100*$AF153/BF153</f>
        <v>73.380681818181813</v>
      </c>
      <c r="DT153" s="2">
        <f t="shared" ref="DT153" si="3490">100*$AF153/BG153</f>
        <v>60.744318181818187</v>
      </c>
      <c r="DU153" s="2">
        <f t="shared" ref="DU153" si="3491">100*$AF153/BH153</f>
        <v>63.86363636363636</v>
      </c>
      <c r="DV153" s="2">
        <f t="shared" ref="DV153" si="3492">100*$AF153/BI153</f>
        <v>54.4375</v>
      </c>
      <c r="DW153" s="2">
        <f t="shared" ref="DW153" si="3493">100*$AF153/BJ153</f>
        <v>52.35795454545454</v>
      </c>
      <c r="DX153" s="2">
        <f t="shared" ref="DX153" si="3494">100*$AF153/BK153</f>
        <v>45.823863636363633</v>
      </c>
      <c r="DY153" s="2">
        <f t="shared" ref="DY153" si="3495">100*$AF153/BL153</f>
        <v>74.545454545454533</v>
      </c>
      <c r="DZ153" s="2">
        <f t="shared" ref="DZ153" si="3496">100*$AF153/BM153</f>
        <v>71.704545454545439</v>
      </c>
      <c r="EA153" s="2">
        <f t="shared" ref="EA153" si="3497">100*$AF153/BN153</f>
        <v>68.522727272727266</v>
      </c>
      <c r="EB153" s="2">
        <f t="shared" ref="EB153" si="3498">100*$AF153/BO153</f>
        <v>57.431818181818187</v>
      </c>
      <c r="EC153" s="2">
        <f t="shared" ref="EC153" si="3499">100*$AF153/BP153</f>
        <v>60.909090909090907</v>
      </c>
      <c r="ED153" s="2">
        <f t="shared" ref="ED153" si="3500">100*$AF153/BQ153</f>
        <v>52.386363636363626</v>
      </c>
      <c r="EE153" s="2">
        <f t="shared" ref="EE153" si="3501">100*$AF153/BR153</f>
        <v>51.704545454545446</v>
      </c>
      <c r="EF153" s="2">
        <f t="shared" ref="EF153" si="3502">100*$AF153/BS153</f>
        <v>46.477272727272727</v>
      </c>
      <c r="EG153" s="2">
        <f t="shared" ref="EG153" si="3503">100*$AF153/BT153</f>
        <v>68.181818181818187</v>
      </c>
      <c r="EH153" s="2">
        <f t="shared" ref="EH153" si="3504">100*$AF153/BU153</f>
        <v>66.051136363636374</v>
      </c>
      <c r="EI153" s="2">
        <f t="shared" ref="EI153" si="3505">100*$AF153/BV153</f>
        <v>63.664772727272741</v>
      </c>
      <c r="EJ153" s="2">
        <f t="shared" ref="EJ153" si="3506">100*$AF153/BW153</f>
        <v>54.119318181818187</v>
      </c>
      <c r="EK153" s="2">
        <f t="shared" ref="EK153" si="3507">100*$AF153/BX153</f>
        <v>57.954545454545453</v>
      </c>
      <c r="EL153" s="2">
        <f t="shared" ref="EL153" si="3508">100*$AF153/BY153</f>
        <v>50.335227272727273</v>
      </c>
      <c r="EM153" s="2">
        <f t="shared" ref="EM153" si="3509">100*$AF153/BZ153</f>
        <v>51.051136363636367</v>
      </c>
      <c r="EN153" s="2">
        <f t="shared" ref="EN153" si="3510">100*$AF153/CA153</f>
        <v>47.130681818181806</v>
      </c>
      <c r="EO153" s="2">
        <f t="shared" ref="EO153" si="3511">100*$AF153/CB153</f>
        <v>61.818181818181813</v>
      </c>
      <c r="EP153" s="2">
        <f t="shared" ref="EP153" si="3512">100*$AF153/CC153</f>
        <v>60.397727272727259</v>
      </c>
      <c r="EQ153" s="2">
        <f t="shared" ref="EQ153" si="3513">100*$AF153/CD153</f>
        <v>58.806818181818187</v>
      </c>
      <c r="ER153" s="2">
        <f t="shared" ref="ER153" si="3514">100*$AF153/CE153</f>
        <v>50.806818181818187</v>
      </c>
      <c r="ES153" s="2">
        <f t="shared" ref="ES153" si="3515">100*$AF153/CF153</f>
        <v>54.999999999999993</v>
      </c>
      <c r="ET153" s="2">
        <f t="shared" ref="ET153" si="3516">100*$AF153/CG153</f>
        <v>48.284090909090914</v>
      </c>
      <c r="EU153" s="2">
        <f t="shared" ref="EU153" si="3517">100*$AF153/CH153</f>
        <v>50.39772727272728</v>
      </c>
      <c r="EV153" s="2">
        <f t="shared" ref="EV153" si="3518">100*$AF153/CI153</f>
        <v>47.784090909090899</v>
      </c>
      <c r="EW153" s="2">
        <f t="shared" ref="EW153" si="3519">100*$AF153/CJ153</f>
        <v>55.454545454545446</v>
      </c>
      <c r="EX153" s="2">
        <f t="shared" ref="EX153" si="3520">100*$AF153/CK153</f>
        <v>54.744318181818173</v>
      </c>
      <c r="EY153" s="2">
        <f t="shared" ref="EY153" si="3521">100*$AF153/CL153</f>
        <v>53.948863636363626</v>
      </c>
      <c r="EZ153" s="2">
        <f t="shared" ref="EZ153" si="3522">100*$AF153/CM153</f>
        <v>47.494318181818187</v>
      </c>
      <c r="FA153" s="2">
        <f t="shared" ref="FA153" si="3523">100*$AF153/CN153</f>
        <v>52.045454545454533</v>
      </c>
      <c r="FB153" s="2">
        <f t="shared" ref="FB153" si="3524">100*$AF153/CO153</f>
        <v>46.23295454545454</v>
      </c>
      <c r="FC153" s="2">
        <f t="shared" ref="FC153" si="3525">100*$AF153/CP153</f>
        <v>49.744318181818173</v>
      </c>
      <c r="FD153" s="2">
        <f t="shared" ref="FD153" si="3526">100*$AF153/CQ153</f>
        <v>48.4375</v>
      </c>
    </row>
    <row r="154" spans="3:160" x14ac:dyDescent="0.4">
      <c r="C154" s="1" t="s">
        <v>35</v>
      </c>
      <c r="D154" s="1" t="s">
        <v>5</v>
      </c>
      <c r="E154" s="1">
        <v>0.311</v>
      </c>
      <c r="F154" s="1">
        <v>0.20200000000000001</v>
      </c>
      <c r="G154" s="1">
        <v>0.109</v>
      </c>
      <c r="H154" s="1">
        <v>5.5E-2</v>
      </c>
      <c r="I154" s="1">
        <v>4786</v>
      </c>
      <c r="J154" s="1">
        <v>4245</v>
      </c>
      <c r="K154" s="1">
        <v>56</v>
      </c>
      <c r="L154" s="1">
        <v>5623</v>
      </c>
      <c r="M154" s="1">
        <v>6217</v>
      </c>
      <c r="N154" s="1">
        <v>74.5</v>
      </c>
      <c r="O154" s="1">
        <v>92</v>
      </c>
      <c r="P154" s="1">
        <v>89.5</v>
      </c>
      <c r="Q154" s="1">
        <v>94</v>
      </c>
      <c r="R154" s="1">
        <v>50.5</v>
      </c>
      <c r="S154" s="1">
        <v>93.5</v>
      </c>
      <c r="T154" s="4">
        <v>0</v>
      </c>
      <c r="U154" s="1">
        <v>1.6970000000000001</v>
      </c>
      <c r="V154" s="1">
        <v>6.2E-2</v>
      </c>
      <c r="W154" s="1">
        <v>4.0199999999999996</v>
      </c>
      <c r="X154" s="1">
        <f t="shared" ref="X154" si="3527">H155</f>
        <v>0.02</v>
      </c>
      <c r="Y154" s="1">
        <f t="shared" ref="Y154" si="3528">H156</f>
        <v>4.9000000000000002E-2</v>
      </c>
      <c r="Z154" s="1">
        <f t="shared" ref="Z154" si="3529">H157</f>
        <v>2.1000000000000001E-2</v>
      </c>
      <c r="AA154" s="1">
        <f t="shared" ref="AA154" si="3530">H158</f>
        <v>1.9E-2</v>
      </c>
      <c r="AB154" s="1">
        <f t="shared" ref="AB154" si="3531">H159</f>
        <v>2.1000000000000001E-2</v>
      </c>
      <c r="AC154" s="1">
        <f t="shared" si="2917"/>
        <v>4578.3609646988589</v>
      </c>
      <c r="AE154" s="1" t="s">
        <v>96</v>
      </c>
      <c r="AF154" s="1">
        <v>1</v>
      </c>
      <c r="AG154" s="1">
        <v>0.81499999999999995</v>
      </c>
      <c r="AH154" s="1">
        <v>0.64500000000000002</v>
      </c>
      <c r="AI154" s="1">
        <v>0.39500000000000002</v>
      </c>
      <c r="AJ154" s="1">
        <v>0.36</v>
      </c>
      <c r="AK154" s="1">
        <v>0.245</v>
      </c>
      <c r="AL154" s="1">
        <v>0.14499999999999999</v>
      </c>
      <c r="AM154" s="20">
        <v>6.5000000000000002E-2</v>
      </c>
      <c r="AN154" s="1">
        <v>1</v>
      </c>
      <c r="AO154" s="1">
        <v>0.81499999999999995</v>
      </c>
      <c r="AP154" s="1">
        <v>0.64500000000000002</v>
      </c>
      <c r="AQ154" s="1">
        <v>0.39500000000000002</v>
      </c>
      <c r="AR154" s="1">
        <v>0.36</v>
      </c>
      <c r="AS154" s="1">
        <v>0.245</v>
      </c>
      <c r="AT154" s="1">
        <v>0.14499999999999999</v>
      </c>
      <c r="AU154" s="20">
        <v>6.5000000000000002E-2</v>
      </c>
      <c r="AV154" s="1">
        <v>1</v>
      </c>
      <c r="AW154" s="1">
        <v>0.81499999999999995</v>
      </c>
      <c r="AX154" s="1">
        <v>0.64500000000000002</v>
      </c>
      <c r="AY154" s="1">
        <v>0.39500000000000002</v>
      </c>
      <c r="AZ154" s="1">
        <v>0.36</v>
      </c>
      <c r="BA154" s="1">
        <v>0.245</v>
      </c>
      <c r="BB154" s="1">
        <v>0.14499999999999999</v>
      </c>
      <c r="BC154" s="20">
        <v>6.5000000000000002E-2</v>
      </c>
      <c r="BD154" s="1">
        <v>1</v>
      </c>
      <c r="BE154" s="1">
        <v>0.81499999999999995</v>
      </c>
      <c r="BF154" s="1">
        <v>0.64500000000000002</v>
      </c>
      <c r="BG154" s="1">
        <v>0.39500000000000002</v>
      </c>
      <c r="BH154" s="1">
        <v>0.36</v>
      </c>
      <c r="BI154" s="1">
        <v>0.245</v>
      </c>
      <c r="BJ154" s="1">
        <v>0.14499999999999999</v>
      </c>
      <c r="BK154" s="20">
        <v>6.5000000000000002E-2</v>
      </c>
      <c r="BL154" s="1">
        <v>1</v>
      </c>
      <c r="BM154" s="1">
        <v>0.81499999999999995</v>
      </c>
      <c r="BN154" s="1">
        <v>0.64500000000000002</v>
      </c>
      <c r="BO154" s="1">
        <v>0.39500000000000002</v>
      </c>
      <c r="BP154" s="1">
        <v>0.36</v>
      </c>
      <c r="BQ154" s="1">
        <v>0.245</v>
      </c>
      <c r="BR154" s="1">
        <v>0.14499999999999999</v>
      </c>
      <c r="BS154" s="20">
        <v>6.5000000000000002E-2</v>
      </c>
      <c r="BT154" s="1">
        <v>1</v>
      </c>
      <c r="BU154" s="1">
        <v>0.81499999999999995</v>
      </c>
      <c r="BV154" s="1">
        <v>0.64500000000000002</v>
      </c>
      <c r="BW154" s="1">
        <v>0.39500000000000002</v>
      </c>
      <c r="BX154" s="1">
        <v>0.36</v>
      </c>
      <c r="BY154" s="1">
        <v>0.245</v>
      </c>
      <c r="BZ154" s="1">
        <v>0.14499999999999999</v>
      </c>
      <c r="CA154" s="20">
        <v>6.5000000000000002E-2</v>
      </c>
      <c r="CB154" s="1">
        <v>1</v>
      </c>
      <c r="CC154" s="1">
        <v>0.81499999999999995</v>
      </c>
      <c r="CD154" s="1">
        <v>0.64500000000000002</v>
      </c>
      <c r="CE154" s="1">
        <v>0.39500000000000002</v>
      </c>
      <c r="CF154" s="1">
        <v>0.36</v>
      </c>
      <c r="CG154" s="1">
        <v>0.245</v>
      </c>
      <c r="CH154" s="1">
        <v>0.14499999999999999</v>
      </c>
      <c r="CI154" s="20">
        <v>6.5000000000000002E-2</v>
      </c>
      <c r="CJ154" s="1">
        <v>1</v>
      </c>
      <c r="CK154" s="1">
        <v>0.81499999999999995</v>
      </c>
      <c r="CL154" s="1">
        <v>0.64500000000000002</v>
      </c>
      <c r="CM154" s="1">
        <v>0.39500000000000002</v>
      </c>
      <c r="CN154" s="1">
        <v>0.36</v>
      </c>
      <c r="CO154" s="1">
        <v>0.245</v>
      </c>
      <c r="CP154" s="1">
        <v>0.14499999999999999</v>
      </c>
      <c r="CQ154" s="20">
        <v>6.5000000000000002E-2</v>
      </c>
    </row>
    <row r="155" spans="3:160" x14ac:dyDescent="0.4">
      <c r="C155" s="1" t="s">
        <v>35</v>
      </c>
      <c r="D155" s="1" t="s">
        <v>6</v>
      </c>
      <c r="E155" s="1">
        <v>0.26800000000000002</v>
      </c>
      <c r="F155" s="1">
        <v>0.159</v>
      </c>
      <c r="G155" s="1">
        <v>0.109</v>
      </c>
      <c r="H155" s="1">
        <v>0.02</v>
      </c>
      <c r="I155" s="1">
        <v>4786</v>
      </c>
      <c r="J155" s="1">
        <v>4245</v>
      </c>
      <c r="K155" s="1">
        <v>56</v>
      </c>
      <c r="L155" s="1">
        <v>5623</v>
      </c>
      <c r="M155" s="1">
        <v>6217</v>
      </c>
      <c r="N155" s="1">
        <v>74.5</v>
      </c>
      <c r="O155" s="1">
        <v>92</v>
      </c>
      <c r="P155" s="1">
        <v>89.5</v>
      </c>
      <c r="Q155" s="1">
        <v>94</v>
      </c>
      <c r="R155" s="1">
        <v>50.5</v>
      </c>
      <c r="S155" s="1">
        <v>93.5</v>
      </c>
      <c r="T155" s="4">
        <v>0</v>
      </c>
      <c r="U155" s="1">
        <v>1.6970000000000001</v>
      </c>
      <c r="V155" s="1">
        <v>6.2E-2</v>
      </c>
      <c r="W155" s="1">
        <v>4.0199999999999996</v>
      </c>
      <c r="X155" s="1">
        <f t="shared" ref="X155" si="3532">H155</f>
        <v>0.02</v>
      </c>
      <c r="Y155" s="1">
        <f t="shared" ref="Y155" si="3533">H156</f>
        <v>4.9000000000000002E-2</v>
      </c>
      <c r="Z155" s="1">
        <f t="shared" ref="Z155" si="3534">H157</f>
        <v>2.1000000000000001E-2</v>
      </c>
      <c r="AA155" s="1">
        <f t="shared" ref="AA155" si="3535">H158</f>
        <v>1.9E-2</v>
      </c>
      <c r="AB155" s="1">
        <f t="shared" ref="AB155" si="3536">H159</f>
        <v>2.1000000000000001E-2</v>
      </c>
      <c r="AC155" s="1">
        <f t="shared" si="2917"/>
        <v>4578.3609646988589</v>
      </c>
      <c r="CQ155" s="20"/>
    </row>
    <row r="156" spans="3:160" x14ac:dyDescent="0.4">
      <c r="C156" s="1" t="s">
        <v>35</v>
      </c>
      <c r="D156" s="1" t="s">
        <v>7</v>
      </c>
      <c r="E156" s="1">
        <v>0.30499999999999999</v>
      </c>
      <c r="F156" s="1">
        <v>0.19600000000000001</v>
      </c>
      <c r="G156" s="1">
        <v>0.109</v>
      </c>
      <c r="H156" s="1">
        <v>4.9000000000000002E-2</v>
      </c>
      <c r="I156" s="1">
        <v>4786</v>
      </c>
      <c r="J156" s="1">
        <v>4245</v>
      </c>
      <c r="K156" s="1">
        <v>56</v>
      </c>
      <c r="L156" s="1">
        <v>5623</v>
      </c>
      <c r="M156" s="1">
        <v>6217</v>
      </c>
      <c r="N156" s="1">
        <v>74.5</v>
      </c>
      <c r="O156" s="1">
        <v>92</v>
      </c>
      <c r="P156" s="1">
        <v>89.5</v>
      </c>
      <c r="Q156" s="1">
        <v>94</v>
      </c>
      <c r="R156" s="1">
        <v>50.5</v>
      </c>
      <c r="S156" s="1">
        <v>93.5</v>
      </c>
      <c r="T156" s="4">
        <v>0</v>
      </c>
      <c r="U156" s="1">
        <v>1.6970000000000001</v>
      </c>
      <c r="V156" s="1">
        <v>6.2E-2</v>
      </c>
      <c r="W156" s="1">
        <v>4.0199999999999996</v>
      </c>
      <c r="X156" s="1">
        <f t="shared" ref="X156" si="3537">H155</f>
        <v>0.02</v>
      </c>
      <c r="Y156" s="1">
        <f t="shared" ref="Y156" si="3538">H156</f>
        <v>4.9000000000000002E-2</v>
      </c>
      <c r="Z156" s="1">
        <f t="shared" ref="Z156" si="3539">H157</f>
        <v>2.1000000000000001E-2</v>
      </c>
      <c r="AA156" s="1">
        <f t="shared" ref="AA156" si="3540">H158</f>
        <v>1.9E-2</v>
      </c>
      <c r="AB156" s="1">
        <f t="shared" ref="AB156" si="3541">H159</f>
        <v>2.1000000000000001E-2</v>
      </c>
      <c r="AC156" s="1">
        <f t="shared" si="2917"/>
        <v>4578.3609646988589</v>
      </c>
      <c r="AE156" s="1" t="s">
        <v>97</v>
      </c>
      <c r="AF156" s="1">
        <v>0</v>
      </c>
      <c r="AG156" s="1">
        <v>0.12</v>
      </c>
      <c r="AH156" s="1">
        <v>0.21</v>
      </c>
      <c r="AI156" s="1">
        <v>0.26</v>
      </c>
      <c r="AJ156" s="1">
        <v>0.28000000000000003</v>
      </c>
      <c r="AK156" s="1">
        <v>0.26</v>
      </c>
      <c r="AL156" s="1">
        <v>0.21</v>
      </c>
      <c r="AM156" s="20">
        <v>0.12</v>
      </c>
      <c r="AN156" s="1">
        <v>0</v>
      </c>
      <c r="AO156" s="1">
        <v>0.12</v>
      </c>
      <c r="AP156" s="1">
        <v>0.21</v>
      </c>
      <c r="AQ156" s="1">
        <v>0.26</v>
      </c>
      <c r="AR156" s="1">
        <v>0.28000000000000003</v>
      </c>
      <c r="AS156" s="1">
        <v>0.26</v>
      </c>
      <c r="AT156" s="1">
        <v>0.21</v>
      </c>
      <c r="AU156" s="20">
        <v>0.12</v>
      </c>
      <c r="AV156" s="1">
        <v>0</v>
      </c>
      <c r="AW156" s="1">
        <v>0.12</v>
      </c>
      <c r="AX156" s="1">
        <v>0.21</v>
      </c>
      <c r="AY156" s="1">
        <v>0.26</v>
      </c>
      <c r="AZ156" s="1">
        <v>0.28000000000000003</v>
      </c>
      <c r="BA156" s="1">
        <v>0.26</v>
      </c>
      <c r="BB156" s="1">
        <v>0.21</v>
      </c>
      <c r="BC156" s="20">
        <v>0.12</v>
      </c>
      <c r="BD156" s="1">
        <v>0</v>
      </c>
      <c r="BE156" s="1">
        <v>0.12</v>
      </c>
      <c r="BF156" s="1">
        <v>0.21</v>
      </c>
      <c r="BG156" s="1">
        <v>0.26</v>
      </c>
      <c r="BH156" s="1">
        <v>0.28000000000000003</v>
      </c>
      <c r="BI156" s="1">
        <v>0.26</v>
      </c>
      <c r="BJ156" s="1">
        <v>0.21</v>
      </c>
      <c r="BK156" s="20">
        <v>0.12</v>
      </c>
      <c r="BL156" s="1">
        <v>0</v>
      </c>
      <c r="BM156" s="1">
        <v>0.12</v>
      </c>
      <c r="BN156" s="1">
        <v>0.21</v>
      </c>
      <c r="BO156" s="1">
        <v>0.26</v>
      </c>
      <c r="BP156" s="1">
        <v>0.28000000000000003</v>
      </c>
      <c r="BQ156" s="1">
        <v>0.26</v>
      </c>
      <c r="BR156" s="1">
        <v>0.21</v>
      </c>
      <c r="BS156" s="20">
        <v>0.12</v>
      </c>
      <c r="BT156" s="1">
        <v>0</v>
      </c>
      <c r="BU156" s="1">
        <v>0.12</v>
      </c>
      <c r="BV156" s="1">
        <v>0.21</v>
      </c>
      <c r="BW156" s="1">
        <v>0.26</v>
      </c>
      <c r="BX156" s="1">
        <v>0.28000000000000003</v>
      </c>
      <c r="BY156" s="1">
        <v>0.26</v>
      </c>
      <c r="BZ156" s="1">
        <v>0.21</v>
      </c>
      <c r="CA156" s="20">
        <v>0.12</v>
      </c>
      <c r="CB156" s="1">
        <v>0</v>
      </c>
      <c r="CC156" s="1">
        <v>0.12</v>
      </c>
      <c r="CD156" s="1">
        <v>0.21</v>
      </c>
      <c r="CE156" s="1">
        <v>0.26</v>
      </c>
      <c r="CF156" s="1">
        <v>0.28000000000000003</v>
      </c>
      <c r="CG156" s="1">
        <v>0.26</v>
      </c>
      <c r="CH156" s="1">
        <v>0.21</v>
      </c>
      <c r="CI156" s="20">
        <v>0.12</v>
      </c>
      <c r="CJ156" s="1">
        <v>0</v>
      </c>
      <c r="CK156" s="1">
        <v>0.12</v>
      </c>
      <c r="CL156" s="1">
        <v>0.21</v>
      </c>
      <c r="CM156" s="1">
        <v>0.26</v>
      </c>
      <c r="CN156" s="1">
        <v>0.28000000000000003</v>
      </c>
      <c r="CO156" s="1">
        <v>0.26</v>
      </c>
      <c r="CP156" s="1">
        <v>0.21</v>
      </c>
      <c r="CQ156" s="20">
        <v>0.12</v>
      </c>
    </row>
    <row r="157" spans="3:160" x14ac:dyDescent="0.4">
      <c r="C157" s="1" t="s">
        <v>35</v>
      </c>
      <c r="D157" s="1" t="s">
        <v>8</v>
      </c>
      <c r="E157" s="1">
        <v>0.26900000000000002</v>
      </c>
      <c r="F157" s="1">
        <v>0.16</v>
      </c>
      <c r="G157" s="1">
        <v>0.109</v>
      </c>
      <c r="H157" s="1">
        <v>2.1000000000000001E-2</v>
      </c>
      <c r="I157" s="1">
        <v>4786</v>
      </c>
      <c r="J157" s="1">
        <v>4245</v>
      </c>
      <c r="K157" s="1">
        <v>56</v>
      </c>
      <c r="L157" s="1">
        <v>5623</v>
      </c>
      <c r="M157" s="1">
        <v>6217</v>
      </c>
      <c r="N157" s="1">
        <v>74.5</v>
      </c>
      <c r="O157" s="1">
        <v>92</v>
      </c>
      <c r="P157" s="1">
        <v>89.5</v>
      </c>
      <c r="Q157" s="1">
        <v>94</v>
      </c>
      <c r="R157" s="1">
        <v>50.5</v>
      </c>
      <c r="S157" s="1">
        <v>93.5</v>
      </c>
      <c r="T157" s="4">
        <v>0</v>
      </c>
      <c r="U157" s="1">
        <v>1.6970000000000001</v>
      </c>
      <c r="V157" s="1">
        <v>6.2E-2</v>
      </c>
      <c r="W157" s="1">
        <v>4.0199999999999996</v>
      </c>
      <c r="X157" s="1">
        <f t="shared" ref="X157" si="3542">H155</f>
        <v>0.02</v>
      </c>
      <c r="Y157" s="1">
        <f t="shared" ref="Y157" si="3543">H156</f>
        <v>4.9000000000000002E-2</v>
      </c>
      <c r="Z157" s="1">
        <f t="shared" ref="Z157" si="3544">H157</f>
        <v>2.1000000000000001E-2</v>
      </c>
      <c r="AA157" s="1">
        <f t="shared" ref="AA157" si="3545">H158</f>
        <v>1.9E-2</v>
      </c>
      <c r="AB157" s="1">
        <f t="shared" ref="AB157" si="3546">H159</f>
        <v>2.1000000000000001E-2</v>
      </c>
      <c r="AC157" s="1">
        <f t="shared" si="2917"/>
        <v>4578.3609646988589</v>
      </c>
      <c r="CQ157" s="20"/>
    </row>
    <row r="158" spans="3:160" x14ac:dyDescent="0.4">
      <c r="C158" s="1" t="s">
        <v>35</v>
      </c>
      <c r="D158" s="1" t="s">
        <v>9</v>
      </c>
      <c r="E158" s="1">
        <v>0.26600000000000001</v>
      </c>
      <c r="F158" s="1">
        <v>0.157</v>
      </c>
      <c r="G158" s="1">
        <v>0.109</v>
      </c>
      <c r="H158" s="1">
        <v>1.9E-2</v>
      </c>
      <c r="I158" s="1">
        <v>4786</v>
      </c>
      <c r="J158" s="1">
        <v>4245</v>
      </c>
      <c r="K158" s="1">
        <v>56</v>
      </c>
      <c r="L158" s="1">
        <v>5623</v>
      </c>
      <c r="M158" s="1">
        <v>6217</v>
      </c>
      <c r="N158" s="1">
        <v>74.5</v>
      </c>
      <c r="O158" s="1">
        <v>92</v>
      </c>
      <c r="P158" s="1">
        <v>89.5</v>
      </c>
      <c r="Q158" s="1">
        <v>94</v>
      </c>
      <c r="R158" s="1">
        <v>50.5</v>
      </c>
      <c r="S158" s="1">
        <v>93.5</v>
      </c>
      <c r="T158" s="4">
        <v>0</v>
      </c>
      <c r="U158" s="1">
        <v>1.6970000000000001</v>
      </c>
      <c r="V158" s="1">
        <v>6.2E-2</v>
      </c>
      <c r="W158" s="1">
        <v>4.0199999999999996</v>
      </c>
      <c r="X158" s="1">
        <f t="shared" ref="X158" si="3547">H155</f>
        <v>0.02</v>
      </c>
      <c r="Y158" s="1">
        <f t="shared" ref="Y158" si="3548">H156</f>
        <v>4.9000000000000002E-2</v>
      </c>
      <c r="Z158" s="1">
        <f t="shared" ref="Z158" si="3549">H157</f>
        <v>2.1000000000000001E-2</v>
      </c>
      <c r="AA158" s="1">
        <f t="shared" ref="AA158" si="3550">H158</f>
        <v>1.9E-2</v>
      </c>
      <c r="AB158" s="1">
        <f t="shared" ref="AB158" si="3551">H159</f>
        <v>2.1000000000000001E-2</v>
      </c>
      <c r="AC158" s="1">
        <f t="shared" si="2917"/>
        <v>4578.3609646988589</v>
      </c>
      <c r="AE158" s="1" t="s">
        <v>98</v>
      </c>
      <c r="AF158" s="1">
        <v>0</v>
      </c>
      <c r="AG158" s="1">
        <v>6.5000000000000002E-2</v>
      </c>
      <c r="AH158" s="1">
        <v>0.14499999999999999</v>
      </c>
      <c r="AI158" s="1">
        <v>0.245</v>
      </c>
      <c r="AJ158" s="1">
        <v>0.36</v>
      </c>
      <c r="AK158" s="1">
        <v>0.39500000000000002</v>
      </c>
      <c r="AL158" s="1">
        <v>0.64500000000000002</v>
      </c>
      <c r="AM158" s="20">
        <v>0.81499999999999995</v>
      </c>
      <c r="AN158" s="1">
        <v>0</v>
      </c>
      <c r="AO158" s="1">
        <v>6.5000000000000002E-2</v>
      </c>
      <c r="AP158" s="1">
        <v>0.14499999999999999</v>
      </c>
      <c r="AQ158" s="1">
        <v>0.245</v>
      </c>
      <c r="AR158" s="1">
        <v>0.36</v>
      </c>
      <c r="AS158" s="1">
        <v>0.39500000000000002</v>
      </c>
      <c r="AT158" s="1">
        <v>0.64500000000000002</v>
      </c>
      <c r="AU158" s="20">
        <v>0.81499999999999995</v>
      </c>
      <c r="AV158" s="1">
        <v>0</v>
      </c>
      <c r="AW158" s="1">
        <v>6.5000000000000002E-2</v>
      </c>
      <c r="AX158" s="1">
        <v>0.14499999999999999</v>
      </c>
      <c r="AY158" s="1">
        <v>0.245</v>
      </c>
      <c r="AZ158" s="1">
        <v>0.36</v>
      </c>
      <c r="BA158" s="1">
        <v>0.39500000000000002</v>
      </c>
      <c r="BB158" s="1">
        <v>0.64500000000000002</v>
      </c>
      <c r="BC158" s="20">
        <v>0.81499999999999995</v>
      </c>
      <c r="BD158" s="1">
        <v>0</v>
      </c>
      <c r="BE158" s="1">
        <v>6.5000000000000002E-2</v>
      </c>
      <c r="BF158" s="1">
        <v>0.14499999999999999</v>
      </c>
      <c r="BG158" s="1">
        <v>0.245</v>
      </c>
      <c r="BH158" s="1">
        <v>0.36</v>
      </c>
      <c r="BI158" s="1">
        <v>0.39500000000000002</v>
      </c>
      <c r="BJ158" s="1">
        <v>0.64500000000000002</v>
      </c>
      <c r="BK158" s="20">
        <v>0.81499999999999995</v>
      </c>
      <c r="BL158" s="1">
        <v>0</v>
      </c>
      <c r="BM158" s="1">
        <v>6.5000000000000002E-2</v>
      </c>
      <c r="BN158" s="1">
        <v>0.14499999999999999</v>
      </c>
      <c r="BO158" s="1">
        <v>0.245</v>
      </c>
      <c r="BP158" s="1">
        <v>0.36</v>
      </c>
      <c r="BQ158" s="1">
        <v>0.39500000000000002</v>
      </c>
      <c r="BR158" s="1">
        <v>0.64500000000000002</v>
      </c>
      <c r="BS158" s="20">
        <v>0.81499999999999995</v>
      </c>
      <c r="BT158" s="1">
        <v>0</v>
      </c>
      <c r="BU158" s="1">
        <v>6.5000000000000002E-2</v>
      </c>
      <c r="BV158" s="1">
        <v>0.14499999999999999</v>
      </c>
      <c r="BW158" s="1">
        <v>0.245</v>
      </c>
      <c r="BX158" s="1">
        <v>0.36</v>
      </c>
      <c r="BY158" s="1">
        <v>0.39500000000000002</v>
      </c>
      <c r="BZ158" s="1">
        <v>0.64500000000000002</v>
      </c>
      <c r="CA158" s="20">
        <v>0.81499999999999995</v>
      </c>
      <c r="CB158" s="1">
        <v>0</v>
      </c>
      <c r="CC158" s="1">
        <v>6.5000000000000002E-2</v>
      </c>
      <c r="CD158" s="1">
        <v>0.14499999999999999</v>
      </c>
      <c r="CE158" s="1">
        <v>0.245</v>
      </c>
      <c r="CF158" s="1">
        <v>0.36</v>
      </c>
      <c r="CG158" s="1">
        <v>0.39500000000000002</v>
      </c>
      <c r="CH158" s="1">
        <v>0.64500000000000002</v>
      </c>
      <c r="CI158" s="20">
        <v>0.81499999999999995</v>
      </c>
      <c r="CJ158" s="1">
        <v>0</v>
      </c>
      <c r="CK158" s="1">
        <v>6.5000000000000002E-2</v>
      </c>
      <c r="CL158" s="1">
        <v>0.14499999999999999</v>
      </c>
      <c r="CM158" s="1">
        <v>0.245</v>
      </c>
      <c r="CN158" s="1">
        <v>0.36</v>
      </c>
      <c r="CO158" s="1">
        <v>0.39500000000000002</v>
      </c>
      <c r="CP158" s="1">
        <v>0.64500000000000002</v>
      </c>
      <c r="CQ158" s="20">
        <v>0.81499999999999995</v>
      </c>
      <c r="CR158" s="1" t="s">
        <v>122</v>
      </c>
      <c r="CS158" s="1">
        <f>(AF154*((1-AF$2)*$H154+AF$2*$H155) + AF156*((1-AF$2)*$H156+AF$2*$H157) + AF158*((1-AF$2)*$H158+AF$2*$H159))</f>
        <v>5.5E-2</v>
      </c>
      <c r="CT158" s="1">
        <f t="shared" ref="CT158:FD158" si="3552">(AG154*((1-AG$2)*$H154+AG$2*$H155) + AG156*((1-AG$2)*$H156+AG$2*$H157) + AG158*((1-AG$2)*$H158+AG$2*$H159))</f>
        <v>5.194E-2</v>
      </c>
      <c r="CU158" s="1">
        <f t="shared" si="3552"/>
        <v>4.8520000000000001E-2</v>
      </c>
      <c r="CV158" s="1">
        <f t="shared" si="3552"/>
        <v>3.9120000000000002E-2</v>
      </c>
      <c r="CW158" s="1">
        <f t="shared" si="3552"/>
        <v>4.036E-2</v>
      </c>
      <c r="CX158" s="1">
        <f t="shared" si="3552"/>
        <v>3.372E-2</v>
      </c>
      <c r="CY158" s="1">
        <f t="shared" si="3552"/>
        <v>3.0519999999999999E-2</v>
      </c>
      <c r="CZ158" s="1">
        <f t="shared" si="3552"/>
        <v>2.4939999999999997E-2</v>
      </c>
      <c r="DA158" s="1">
        <f t="shared" si="3552"/>
        <v>5.0625000000000003E-2</v>
      </c>
      <c r="DB158" s="1">
        <f t="shared" si="3552"/>
        <v>4.7970625000000003E-2</v>
      </c>
      <c r="DC158" s="1">
        <f t="shared" si="3552"/>
        <v>4.4999375000000008E-2</v>
      </c>
      <c r="DD158" s="1">
        <f t="shared" si="3552"/>
        <v>3.6543125000000003E-2</v>
      </c>
      <c r="DE158" s="1">
        <f t="shared" si="3552"/>
        <v>3.7895000000000005E-2</v>
      </c>
      <c r="DF158" s="1">
        <f t="shared" si="3552"/>
        <v>3.1836875000000001E-2</v>
      </c>
      <c r="DG158" s="1">
        <f t="shared" si="3552"/>
        <v>2.9311875000000001E-2</v>
      </c>
      <c r="DH158" s="1">
        <f t="shared" si="3552"/>
        <v>2.4439374999999999E-2</v>
      </c>
      <c r="DI158" s="1">
        <f t="shared" si="3552"/>
        <v>4.6249999999999999E-2</v>
      </c>
      <c r="DJ158" s="1">
        <f t="shared" si="3552"/>
        <v>4.4001249999999999E-2</v>
      </c>
      <c r="DK158" s="1">
        <f t="shared" si="3552"/>
        <v>4.1478749999999995E-2</v>
      </c>
      <c r="DL158" s="1">
        <f t="shared" si="3552"/>
        <v>3.3966249999999996E-2</v>
      </c>
      <c r="DM158" s="1">
        <f t="shared" si="3552"/>
        <v>3.5429999999999996E-2</v>
      </c>
      <c r="DN158" s="1">
        <f t="shared" si="3552"/>
        <v>2.9953750000000001E-2</v>
      </c>
      <c r="DO158" s="1">
        <f t="shared" si="3552"/>
        <v>2.8103749999999997E-2</v>
      </c>
      <c r="DP158" s="1">
        <f t="shared" si="3552"/>
        <v>2.3938750000000002E-2</v>
      </c>
      <c r="DQ158" s="1">
        <f t="shared" si="3552"/>
        <v>4.1875000000000002E-2</v>
      </c>
      <c r="DR158" s="1">
        <f t="shared" si="3552"/>
        <v>4.0031875000000001E-2</v>
      </c>
      <c r="DS158" s="1">
        <f t="shared" si="3552"/>
        <v>3.7958125000000002E-2</v>
      </c>
      <c r="DT158" s="1">
        <f t="shared" si="3552"/>
        <v>3.1389375000000004E-2</v>
      </c>
      <c r="DU158" s="1">
        <f t="shared" si="3552"/>
        <v>3.2965000000000001E-2</v>
      </c>
      <c r="DV158" s="1">
        <f t="shared" si="3552"/>
        <v>2.8070624999999998E-2</v>
      </c>
      <c r="DW158" s="1">
        <f t="shared" si="3552"/>
        <v>2.6895624999999999E-2</v>
      </c>
      <c r="DX158" s="1">
        <f t="shared" si="3552"/>
        <v>2.3438125000000001E-2</v>
      </c>
      <c r="DY158" s="1">
        <f t="shared" si="3552"/>
        <v>3.7499999999999999E-2</v>
      </c>
      <c r="DZ158" s="1">
        <f t="shared" si="3552"/>
        <v>3.6062499999999997E-2</v>
      </c>
      <c r="EA158" s="1">
        <f t="shared" si="3552"/>
        <v>3.4437500000000003E-2</v>
      </c>
      <c r="EB158" s="1">
        <f t="shared" si="3552"/>
        <v>2.8812499999999998E-2</v>
      </c>
      <c r="EC158" s="1">
        <f t="shared" si="3552"/>
        <v>3.0499999999999999E-2</v>
      </c>
      <c r="ED158" s="1">
        <f t="shared" si="3552"/>
        <v>2.6187499999999999E-2</v>
      </c>
      <c r="EE158" s="1">
        <f t="shared" si="3552"/>
        <v>2.5687500000000002E-2</v>
      </c>
      <c r="EF158" s="1">
        <f t="shared" si="3552"/>
        <v>2.29375E-2</v>
      </c>
      <c r="EG158" s="1">
        <f t="shared" si="3552"/>
        <v>3.3125000000000002E-2</v>
      </c>
      <c r="EH158" s="1">
        <f t="shared" si="3552"/>
        <v>3.2093125E-2</v>
      </c>
      <c r="EI158" s="1">
        <f t="shared" si="3552"/>
        <v>3.0916875000000003E-2</v>
      </c>
      <c r="EJ158" s="1">
        <f t="shared" si="3552"/>
        <v>2.6235625000000002E-2</v>
      </c>
      <c r="EK158" s="1">
        <f t="shared" si="3552"/>
        <v>2.8034999999999997E-2</v>
      </c>
      <c r="EL158" s="1">
        <f t="shared" si="3552"/>
        <v>2.4304375000000003E-2</v>
      </c>
      <c r="EM158" s="1">
        <f t="shared" si="3552"/>
        <v>2.4479375000000001E-2</v>
      </c>
      <c r="EN158" s="1">
        <f t="shared" si="3552"/>
        <v>2.2436875000000002E-2</v>
      </c>
      <c r="EO158" s="1">
        <f t="shared" si="3552"/>
        <v>2.8749999999999998E-2</v>
      </c>
      <c r="EP158" s="1">
        <f t="shared" si="3552"/>
        <v>2.8123749999999996E-2</v>
      </c>
      <c r="EQ158" s="1">
        <f t="shared" si="3552"/>
        <v>2.7396249999999997E-2</v>
      </c>
      <c r="ER158" s="1">
        <f t="shared" si="3552"/>
        <v>2.3658749999999999E-2</v>
      </c>
      <c r="ES158" s="1">
        <f t="shared" si="3552"/>
        <v>2.5569999999999999E-2</v>
      </c>
      <c r="ET158" s="1">
        <f t="shared" si="3552"/>
        <v>2.242125E-2</v>
      </c>
      <c r="EU158" s="1">
        <f t="shared" si="3552"/>
        <v>2.327125E-2</v>
      </c>
      <c r="EV158" s="1">
        <f t="shared" si="3552"/>
        <v>2.1936250000000001E-2</v>
      </c>
      <c r="EW158" s="1">
        <f t="shared" si="3552"/>
        <v>2.4375000000000001E-2</v>
      </c>
      <c r="EX158" s="1">
        <f t="shared" si="3552"/>
        <v>2.4154374999999995E-2</v>
      </c>
      <c r="EY158" s="1">
        <f t="shared" si="3552"/>
        <v>2.3875625000000001E-2</v>
      </c>
      <c r="EZ158" s="1">
        <f t="shared" si="3552"/>
        <v>2.1081875000000003E-2</v>
      </c>
      <c r="FA158" s="1">
        <f t="shared" si="3552"/>
        <v>2.3105000000000001E-2</v>
      </c>
      <c r="FB158" s="1">
        <f t="shared" si="3552"/>
        <v>2.0538125000000001E-2</v>
      </c>
      <c r="FC158" s="1">
        <f t="shared" si="3552"/>
        <v>2.2063125000000003E-2</v>
      </c>
      <c r="FD158" s="1">
        <f t="shared" si="3552"/>
        <v>2.1435625E-2</v>
      </c>
    </row>
    <row r="159" spans="3:160" s="2" customFormat="1" x14ac:dyDescent="0.4">
      <c r="C159" s="2" t="s">
        <v>35</v>
      </c>
      <c r="D159" s="2" t="s">
        <v>10</v>
      </c>
      <c r="E159" s="2">
        <v>0.26900000000000002</v>
      </c>
      <c r="F159" s="2">
        <v>0.16</v>
      </c>
      <c r="G159" s="2">
        <v>0.109</v>
      </c>
      <c r="H159" s="2">
        <v>2.1000000000000001E-2</v>
      </c>
      <c r="I159" s="2">
        <v>4786</v>
      </c>
      <c r="J159" s="2">
        <v>4245</v>
      </c>
      <c r="K159" s="2">
        <v>56</v>
      </c>
      <c r="L159" s="2">
        <v>5623</v>
      </c>
      <c r="M159" s="2">
        <v>6217</v>
      </c>
      <c r="N159" s="2">
        <v>74.5</v>
      </c>
      <c r="O159" s="2">
        <v>92</v>
      </c>
      <c r="P159" s="2">
        <v>89.5</v>
      </c>
      <c r="Q159" s="2">
        <v>94</v>
      </c>
      <c r="R159" s="2">
        <v>50.5</v>
      </c>
      <c r="S159" s="2">
        <v>93.5</v>
      </c>
      <c r="T159" s="6">
        <f t="shared" si="2290"/>
        <v>7122.936337385916</v>
      </c>
      <c r="U159" s="2">
        <v>1.6970000000000001</v>
      </c>
      <c r="V159" s="2">
        <v>6.2E-2</v>
      </c>
      <c r="W159" s="2">
        <v>4.0199999999999996</v>
      </c>
      <c r="X159" s="2">
        <f t="shared" ref="X159" si="3553">H155</f>
        <v>0.02</v>
      </c>
      <c r="Y159" s="2">
        <f t="shared" ref="Y159" si="3554">H156</f>
        <v>4.9000000000000002E-2</v>
      </c>
      <c r="Z159" s="2">
        <f t="shared" ref="Z159" si="3555">H157</f>
        <v>2.1000000000000001E-2</v>
      </c>
      <c r="AA159" s="2">
        <f t="shared" ref="AA159" si="3556">H158</f>
        <v>1.9E-2</v>
      </c>
      <c r="AB159" s="2">
        <f t="shared" ref="AB159" si="3557">H159</f>
        <v>2.1000000000000001E-2</v>
      </c>
      <c r="AC159" s="1">
        <f t="shared" si="2917"/>
        <v>4578.3609646988589</v>
      </c>
      <c r="AE159" s="2" t="s">
        <v>99</v>
      </c>
      <c r="AF159" s="23">
        <f>($O159*$Q159*$S159)^(1/3)/(AF154*((1-AF$2)*$H154+AF$2*$H155) + AF156*((1-AF$2)*$H156+AF$2*$H157) + AF158*((1-AF$2)*$H158+AF$2*$H159))</f>
        <v>1693.8686925486315</v>
      </c>
      <c r="AG159" s="23">
        <f t="shared" ref="AG159" si="3558">($O159*$Q159*$S159)^(1/3)/(AG154*((1-AG$2)*$H154+AG$2*$H155) + AG156*((1-AG$2)*$H156+AG$2*$H157) + AG158*((1-AG$2)*$H158+AG$2*$H159))</f>
        <v>1793.6614957677077</v>
      </c>
      <c r="AH159" s="23">
        <f t="shared" ref="AH159" si="3559">($O159*$Q159*$S159)^(1/3)/(AH154*((1-AH$2)*$H154+AH$2*$H155) + AH156*((1-AH$2)*$H156+AH$2*$H157) + AH158*((1-AH$2)*$H158+AH$2*$H159))</f>
        <v>1920.090232691153</v>
      </c>
      <c r="AI159" s="23">
        <f t="shared" ref="AI159" si="3560">($O159*$Q159*$S159)^(1/3)/(AI154*((1-AI$2)*$H154+AI$2*$H155) + AI156*((1-AI$2)*$H156+AI$2*$H157) + AI158*((1-AI$2)*$H158+AI$2*$H159))</f>
        <v>2381.4616076220536</v>
      </c>
      <c r="AJ159" s="23">
        <f t="shared" ref="AJ159" si="3561">($O159*$Q159*$S159)^(1/3)/(AJ154*((1-AJ$2)*$H154+AJ$2*$H155) + AJ156*((1-AJ$2)*$H156+AJ$2*$H157) + AJ158*((1-AJ$2)*$H158+AJ$2*$H159))</f>
        <v>2308.2947990628031</v>
      </c>
      <c r="AK159" s="23">
        <f t="shared" ref="AK159" si="3562">($O159*$Q159*$S159)^(1/3)/(AK154*((1-AK$2)*$H154+AK$2*$H155) + AK156*((1-AK$2)*$H156+AK$2*$H157) + AK158*((1-AK$2)*$H158+AK$2*$H159))</f>
        <v>2762.8344629351941</v>
      </c>
      <c r="AL159" s="23">
        <f t="shared" ref="AL159" si="3563">($O159*$Q159*$S159)^(1/3)/(AL154*((1-AL$2)*$H154+AL$2*$H155) + AL156*((1-AL$2)*$H156+AL$2*$H157) + AL158*((1-AL$2)*$H158+AL$2*$H159))</f>
        <v>3052.5156648156863</v>
      </c>
      <c r="AM159" s="23">
        <f t="shared" ref="AM159" si="3564">($O159*$Q159*$S159)^(1/3)/(AM154*((1-AM$2)*$H154+AM$2*$H155) + AM156*((1-AM$2)*$H156+AM$2*$H157) + AM158*((1-AM$2)*$H158+AM$2*$H159))</f>
        <v>3735.4762666469428</v>
      </c>
      <c r="AN159" s="23">
        <f t="shared" ref="AN159" si="3565">($O159*$Q159*$S159)^(1/3)/(AN154*((1-AN$2)*$H154+AN$2*$H155) + AN156*((1-AN$2)*$H156+AN$2*$H157) + AN158*((1-AN$2)*$H158+AN$2*$H159))</f>
        <v>1840.2524067195009</v>
      </c>
      <c r="AO159" s="23">
        <f t="shared" ref="AO159" si="3566">($O159*$Q159*$S159)^(1/3)/(AO154*((1-AO$2)*$H154+AO$2*$H155) + AO156*((1-AO$2)*$H156+AO$2*$H157) + AO158*((1-AO$2)*$H158+AO$2*$H159))</f>
        <v>1942.0797225421752</v>
      </c>
      <c r="AP159" s="23">
        <f t="shared" ref="AP159" si="3567">($O159*$Q159*$S159)^(1/3)/(AP154*((1-AP$2)*$H154+AP$2*$H155) + AP156*((1-AP$2)*$H156+AP$2*$H157) + AP158*((1-AP$2)*$H158+AP$2*$H159))</f>
        <v>2070.312711902659</v>
      </c>
      <c r="AQ159" s="23">
        <f t="shared" ref="AQ159" si="3568">($O159*$Q159*$S159)^(1/3)/(AQ154*((1-AQ$2)*$H154+AQ$2*$H155) + AQ156*((1-AQ$2)*$H156+AQ$2*$H157) + AQ158*((1-AQ$2)*$H158+AQ$2*$H159))</f>
        <v>2549.392754182209</v>
      </c>
      <c r="AR159" s="23">
        <f t="shared" ref="AR159" si="3569">($O159*$Q159*$S159)^(1/3)/(AR154*((1-AR$2)*$H154+AR$2*$H155) + AR156*((1-AR$2)*$H156+AR$2*$H157) + AR158*((1-AR$2)*$H158+AR$2*$H159))</f>
        <v>2458.4451270662285</v>
      </c>
      <c r="AS159" s="23">
        <f t="shared" ref="AS159" si="3570">($O159*$Q159*$S159)^(1/3)/(AS154*((1-AS$2)*$H154+AS$2*$H155) + AS156*((1-AS$2)*$H156+AS$2*$H157) + AS158*((1-AS$2)*$H158+AS$2*$H159))</f>
        <v>2926.2538515534184</v>
      </c>
      <c r="AT159" s="23">
        <f t="shared" ref="AT159" si="3571">($O159*$Q159*$S159)^(1/3)/(AT154*((1-AT$2)*$H154+AT$2*$H155) + AT156*((1-AT$2)*$H156+AT$2*$H157) + AT158*((1-AT$2)*$H158+AT$2*$H159))</f>
        <v>3178.3288544378256</v>
      </c>
      <c r="AU159" s="23">
        <f t="shared" ref="AU159" si="3572">($O159*$Q159*$S159)^(1/3)/(AU154*((1-AU$2)*$H154+AU$2*$H155) + AU156*((1-AU$2)*$H156+AU$2*$H157) + AU158*((1-AU$2)*$H158+AU$2*$H159))</f>
        <v>3811.9951140393214</v>
      </c>
      <c r="AV159" s="23">
        <f t="shared" ref="AV159" si="3573">($O159*$Q159*$S159)^(1/3)/(AV154*((1-AV$2)*$H154+AV$2*$H155) + AV156*((1-AV$2)*$H156+AV$2*$H157) + AV158*((1-AV$2)*$H158+AV$2*$H159))</f>
        <v>2014.3303370848594</v>
      </c>
      <c r="AW159" s="23">
        <f t="shared" ref="AW159" si="3574">($O159*$Q159*$S159)^(1/3)/(AW154*((1-AW$2)*$H154+AW$2*$H155) + AW156*((1-AW$2)*$H156+AW$2*$H157) + AW158*((1-AW$2)*$H158+AW$2*$H159))</f>
        <v>2117.2757158074996</v>
      </c>
      <c r="AX159" s="23">
        <f t="shared" ref="AX159" si="3575">($O159*$Q159*$S159)^(1/3)/(AX154*((1-AX$2)*$H154+AX$2*$H155) + AX156*((1-AX$2)*$H156+AX$2*$H157) + AX158*((1-AX$2)*$H158+AX$2*$H159))</f>
        <v>2246.0362978675766</v>
      </c>
      <c r="AY159" s="23">
        <f t="shared" ref="AY159" si="3576">($O159*$Q159*$S159)^(1/3)/(AY154*((1-AY$2)*$H154+AY$2*$H155) + AY156*((1-AY$2)*$H156+AY$2*$H157) + AY158*((1-AY$2)*$H158+AY$2*$H159))</f>
        <v>2742.8043452007432</v>
      </c>
      <c r="AZ159" s="23">
        <f t="shared" ref="AZ159" si="3577">($O159*$Q159*$S159)^(1/3)/(AZ154*((1-AZ$2)*$H154+AZ$2*$H155) + AZ156*((1-AZ$2)*$H156+AZ$2*$H157) + AZ158*((1-AZ$2)*$H158+AZ$2*$H159))</f>
        <v>2629.4885151051299</v>
      </c>
      <c r="BA159" s="23">
        <f t="shared" ref="BA159" si="3578">($O159*$Q159*$S159)^(1/3)/(BA154*((1-BA$2)*$H154+BA$2*$H155) + BA156*((1-BA$2)*$H156+BA$2*$H157) + BA158*((1-BA$2)*$H158+BA$2*$H159))</f>
        <v>3110.220860165246</v>
      </c>
      <c r="BB159" s="23">
        <f t="shared" ref="BB159" si="3579">($O159*$Q159*$S159)^(1/3)/(BB154*((1-BB$2)*$H154+BB$2*$H155) + BB156*((1-BB$2)*$H156+BB$2*$H157) + BB158*((1-BB$2)*$H158+BB$2*$H159))</f>
        <v>3314.9589677596318</v>
      </c>
      <c r="BC159" s="23">
        <f t="shared" ref="BC159" si="3580">($O159*$Q159*$S159)^(1/3)/(BC154*((1-BC$2)*$H154+BC$2*$H155) + BC156*((1-BC$2)*$H156+BC$2*$H157) + BC158*((1-BC$2)*$H158+BC$2*$H159))</f>
        <v>3891.7143998819793</v>
      </c>
      <c r="BD159" s="23">
        <f t="shared" ref="BD159" si="3581">($O159*$Q159*$S159)^(1/3)/(BD154*((1-BD$2)*$H154+BD$2*$H155) + BD156*((1-BD$2)*$H156+BD$2*$H157) + BD158*((1-BD$2)*$H158+BD$2*$H159))</f>
        <v>2224.7827603623819</v>
      </c>
      <c r="BE159" s="23">
        <f t="shared" ref="BE159" si="3582">($O159*$Q159*$S159)^(1/3)/(BE154*((1-BE$2)*$H154+BE$2*$H155) + BE156*((1-BE$2)*$H156+BE$2*$H157) + BE158*((1-BE$2)*$H158+BE$2*$H159))</f>
        <v>2327.214952838825</v>
      </c>
      <c r="BF159" s="23">
        <f t="shared" ref="BF159" si="3583">($O159*$Q159*$S159)^(1/3)/(BF154*((1-BF$2)*$H154+BF$2*$H155) + BF156*((1-BF$2)*$H156+BF$2*$H157) + BF158*((1-BF$2)*$H158+BF$2*$H159))</f>
        <v>2454.3566914902867</v>
      </c>
      <c r="BG159" s="23">
        <f t="shared" ref="BG159" si="3584">($O159*$Q159*$S159)^(1/3)/(BG154*((1-BG$2)*$H154+BG$2*$H155) + BG156*((1-BG$2)*$H156+BG$2*$H157) + BG158*((1-BG$2)*$H158+BG$2*$H159))</f>
        <v>2967.9717449033224</v>
      </c>
      <c r="BH159" s="23">
        <f t="shared" ref="BH159" si="3585">($O159*$Q159*$S159)^(1/3)/(BH154*((1-BH$2)*$H154+BH$2*$H155) + BH156*((1-BH$2)*$H156+BH$2*$H157) + BH158*((1-BH$2)*$H158+BH$2*$H159))</f>
        <v>2826.1118789678367</v>
      </c>
      <c r="BI159" s="23">
        <f t="shared" ref="BI159" si="3586">($O159*$Q159*$S159)^(1/3)/(BI154*((1-BI$2)*$H154+BI$2*$H155) + BI156*((1-BI$2)*$H156+BI$2*$H157) + BI158*((1-BI$2)*$H158+BI$2*$H159))</f>
        <v>3318.8708156720681</v>
      </c>
      <c r="BJ159" s="23">
        <f t="shared" ref="BJ159" si="3587">($O159*$Q159*$S159)^(1/3)/(BJ154*((1-BJ$2)*$H154+BJ$2*$H155) + BJ156*((1-BJ$2)*$H156+BJ$2*$H157) + BJ158*((1-BJ$2)*$H158+BJ$2*$H159))</f>
        <v>3463.8636614756019</v>
      </c>
      <c r="BK159" s="23">
        <f t="shared" ref="BK159" si="3588">($O159*$Q159*$S159)^(1/3)/(BK154*((1-BK$2)*$H154+BK$2*$H155) + BK156*((1-BK$2)*$H156+BK$2*$H157) + BK158*((1-BK$2)*$H158+BK$2*$H159))</f>
        <v>3974.8392028020476</v>
      </c>
      <c r="BL159" s="23">
        <f t="shared" ref="BL159" si="3589">($O159*$Q159*$S159)^(1/3)/(BL154*((1-BL$2)*$H154+BL$2*$H155) + BL156*((1-BL$2)*$H156+BL$2*$H157) + BL158*((1-BL$2)*$H158+BL$2*$H159))</f>
        <v>2484.3407490713266</v>
      </c>
      <c r="BM159" s="23">
        <f t="shared" ref="BM159" si="3590">($O159*$Q159*$S159)^(1/3)/(BM154*((1-BM$2)*$H154+BM$2*$H155) + BM156*((1-BM$2)*$H156+BM$2*$H157) + BM158*((1-BM$2)*$H158+BM$2*$H159))</f>
        <v>2583.3699297102185</v>
      </c>
      <c r="BN159" s="23">
        <f t="shared" ref="BN159" si="3591">($O159*$Q159*$S159)^(1/3)/(BN154*((1-BN$2)*$H154+BN$2*$H155) + BN156*((1-BN$2)*$H156+BN$2*$H157) + BN158*((1-BN$2)*$H158+BN$2*$H159))</f>
        <v>2705.2712331085222</v>
      </c>
      <c r="BO159" s="23">
        <f t="shared" ref="BO159" si="3592">($O159*$Q159*$S159)^(1/3)/(BO154*((1-BO$2)*$H154+BO$2*$H155) + BO156*((1-BO$2)*$H156+BO$2*$H157) + BO158*((1-BO$2)*$H158+BO$2*$H159))</f>
        <v>3233.4152916329631</v>
      </c>
      <c r="BP159" s="23">
        <f t="shared" ref="BP159" si="3593">($O159*$Q159*$S159)^(1/3)/(BP154*((1-BP$2)*$H154+BP$2*$H155) + BP156*((1-BP$2)*$H156+BP$2*$H157) + BP158*((1-BP$2)*$H158+BP$2*$H159))</f>
        <v>3054.5173144319588</v>
      </c>
      <c r="BQ159" s="23">
        <f t="shared" ref="BQ159" si="3594">($O159*$Q159*$S159)^(1/3)/(BQ154*((1-BQ$2)*$H154+BQ$2*$H155) + BQ156*((1-BQ$2)*$H156+BQ$2*$H157) + BQ158*((1-BQ$2)*$H158+BQ$2*$H159))</f>
        <v>3557.5285189565534</v>
      </c>
      <c r="BR159" s="23">
        <f t="shared" ref="BR159" si="3595">($O159*$Q159*$S159)^(1/3)/(BR154*((1-BR$2)*$H154+BR$2*$H155) + BR156*((1-BR$2)*$H156+BR$2*$H157) + BR158*((1-BR$2)*$H158+BR$2*$H159))</f>
        <v>3626.77481616252</v>
      </c>
      <c r="BS159" s="23">
        <f t="shared" ref="BS159" si="3596">($O159*$Q159*$S159)^(1/3)/(BS154*((1-BS$2)*$H154+BS$2*$H155) + BS156*((1-BS$2)*$H156+BS$2*$H157) + BS158*((1-BS$2)*$H158+BS$2*$H159))</f>
        <v>4061.5925052937218</v>
      </c>
      <c r="BT159" s="23">
        <f t="shared" ref="BT159" si="3597">($O159*$Q159*$S159)^(1/3)/(BT154*((1-BT$2)*$H154+BT$2*$H155) + BT156*((1-BT$2)*$H156+BT$2*$H157) + BT158*((1-BT$2)*$H158+BT$2*$H159))</f>
        <v>2812.4612253637656</v>
      </c>
      <c r="BU159" s="23">
        <f t="shared" ref="BU159" si="3598">($O159*$Q159*$S159)^(1/3)/(BU154*((1-BU$2)*$H154+BU$2*$H155) + BU156*((1-BU$2)*$H156+BU$2*$H157) + BU158*((1-BU$2)*$H158+BU$2*$H159))</f>
        <v>2902.8889548828524</v>
      </c>
      <c r="BV159" s="23">
        <f t="shared" ref="BV159" si="3599">($O159*$Q159*$S159)^(1/3)/(BV154*((1-BV$2)*$H154+BV$2*$H155) + BV156*((1-BV$2)*$H156+BV$2*$H157) + BV158*((1-BV$2)*$H158+BV$2*$H159))</f>
        <v>3013.3310074247393</v>
      </c>
      <c r="BW159" s="23">
        <f t="shared" ref="BW159" si="3600">($O159*$Q159*$S159)^(1/3)/(BW154*((1-BW$2)*$H154+BW$2*$H155) + BW156*((1-BW$2)*$H156+BW$2*$H157) + BW158*((1-BW$2)*$H158+BW$2*$H159))</f>
        <v>3551.0028097357977</v>
      </c>
      <c r="BX159" s="23">
        <f t="shared" ref="BX159" si="3601">($O159*$Q159*$S159)^(1/3)/(BX154*((1-BX$2)*$H154+BX$2*$H155) + BX156*((1-BX$2)*$H156+BX$2*$H157) + BX158*((1-BX$2)*$H158+BX$2*$H159))</f>
        <v>3323.0882143811218</v>
      </c>
      <c r="BY159" s="23">
        <f t="shared" ref="BY159" si="3602">($O159*$Q159*$S159)^(1/3)/(BY154*((1-BY$2)*$H154+BY$2*$H155) + BY156*((1-BY$2)*$H156+BY$2*$H157) + BY158*((1-BY$2)*$H158+BY$2*$H159))</f>
        <v>3833.1690524925957</v>
      </c>
      <c r="BZ159" s="23">
        <f t="shared" ref="BZ159" si="3603">($O159*$Q159*$S159)^(1/3)/(BZ154*((1-BZ$2)*$H154+BZ$2*$H155) + BZ156*((1-BZ$2)*$H156+BZ$2*$H157) + BZ158*((1-BZ$2)*$H158+BZ$2*$H159))</f>
        <v>3805.7662048224161</v>
      </c>
      <c r="CA159" s="23">
        <f t="shared" ref="CA159" si="3604">($O159*$Q159*$S159)^(1/3)/(CA154*((1-CA$2)*$H154+CA$2*$H155) + CA156*((1-CA$2)*$H156+CA$2*$H157) + CA158*((1-CA$2)*$H158+CA$2*$H159))</f>
        <v>4152.2171911273172</v>
      </c>
      <c r="CB159" s="23">
        <f t="shared" ref="CB159" si="3605">($O159*$Q159*$S159)^(1/3)/(CB154*((1-CB$2)*$H154+CB$2*$H155) + CB156*((1-CB$2)*$H156+CB$2*$H157) + CB158*((1-CB$2)*$H158+CB$2*$H159))</f>
        <v>3240.4444553104258</v>
      </c>
      <c r="CC159" s="23">
        <f t="shared" ref="CC159" si="3606">($O159*$Q159*$S159)^(1/3)/(CC154*((1-CC$2)*$H154+CC$2*$H155) + CC156*((1-CC$2)*$H156+CC$2*$H157) + CC158*((1-CC$2)*$H158+CC$2*$H159))</f>
        <v>3312.6015588310502</v>
      </c>
      <c r="CD159" s="23">
        <f t="shared" ref="CD159" si="3607">($O159*$Q159*$S159)^(1/3)/(CD154*((1-CD$2)*$H154+CD$2*$H155) + CD156*((1-CD$2)*$H156+CD$2*$H157) + CD158*((1-CD$2)*$H158+CD$2*$H159))</f>
        <v>3400.566796191988</v>
      </c>
      <c r="CE159" s="23">
        <f t="shared" ref="CE159" si="3608">($O159*$Q159*$S159)^(1/3)/(CE154*((1-CE$2)*$H154+CE$2*$H155) + CE156*((1-CE$2)*$H156+CE$2*$H157) + CE158*((1-CE$2)*$H158+CE$2*$H159))</f>
        <v>3937.7726249347384</v>
      </c>
      <c r="CF159" s="23">
        <f t="shared" ref="CF159" si="3609">($O159*$Q159*$S159)^(1/3)/(CF154*((1-CF$2)*$H154+CF$2*$H155) + CF156*((1-CF$2)*$H156+CF$2*$H157) + CF158*((1-CF$2)*$H158+CF$2*$H159))</f>
        <v>3643.4406761898608</v>
      </c>
      <c r="CG159" s="23">
        <f t="shared" ref="CG159" si="3610">($O159*$Q159*$S159)^(1/3)/(CG154*((1-CG$2)*$H154+CG$2*$H155) + CG156*((1-CG$2)*$H156+CG$2*$H157) + CG158*((1-CG$2)*$H158+CG$2*$H159))</f>
        <v>4155.110802929129</v>
      </c>
      <c r="CH159" s="23">
        <f t="shared" ref="CH159" si="3611">($O159*$Q159*$S159)^(1/3)/(CH154*((1-CH$2)*$H154+CH$2*$H155) + CH156*((1-CH$2)*$H156+CH$2*$H157) + CH158*((1-CH$2)*$H158+CH$2*$H159))</f>
        <v>4003.3422394660683</v>
      </c>
      <c r="CI159" s="23">
        <f t="shared" ref="CI159" si="3612">($O159*$Q159*$S159)^(1/3)/(CI154*((1-CI$2)*$H154+CI$2*$H155) + CI156*((1-CI$2)*$H156+CI$2*$H157) + CI158*((1-CI$2)*$H158+CI$2*$H159))</f>
        <v>4246.9783162653021</v>
      </c>
      <c r="CJ159" s="23">
        <f t="shared" ref="CJ159" si="3613">($O159*$Q159*$S159)^(1/3)/(CJ154*((1-CJ$2)*$H154+CJ$2*$H155) + CJ156*((1-CJ$2)*$H156+CJ$2*$H157) + CJ158*((1-CJ$2)*$H158+CJ$2*$H159))</f>
        <v>3822.0626908789636</v>
      </c>
      <c r="CK159" s="23">
        <f t="shared" ref="CK159" si="3614">($O159*$Q159*$S159)^(1/3)/(CK154*((1-CK$2)*$H154+CK$2*$H155) + CK156*((1-CK$2)*$H156+CK$2*$H157) + CK158*((1-CK$2)*$H158+CK$2*$H159))</f>
        <v>3856.9732435707715</v>
      </c>
      <c r="CL159" s="23">
        <f t="shared" ref="CL159" si="3615">($O159*$Q159*$S159)^(1/3)/(CL154*((1-CL$2)*$H154+CL$2*$H155) + CL156*((1-CL$2)*$H156+CL$2*$H157) + CL158*((1-CL$2)*$H158+CL$2*$H159))</f>
        <v>3902.0037418988923</v>
      </c>
      <c r="CM159" s="23">
        <f t="shared" ref="CM159" si="3616">($O159*$Q159*$S159)^(1/3)/(CM154*((1-CM$2)*$H154+CM$2*$H155) + CM156*((1-CM$2)*$H156+CM$2*$H157) + CM158*((1-CM$2)*$H158+CM$2*$H159))</f>
        <v>4419.0935621321505</v>
      </c>
      <c r="CN159" s="23">
        <f t="shared" ref="CN159" si="3617">($O159*$Q159*$S159)^(1/3)/(CN154*((1-CN$2)*$H154+CN$2*$H155) + CN156*((1-CN$2)*$H156+CN$2*$H157) + CN158*((1-CN$2)*$H158+CN$2*$H159))</f>
        <v>4032.1479372505837</v>
      </c>
      <c r="CO159" s="23">
        <f t="shared" ref="CO159" si="3618">($O159*$Q159*$S159)^(1/3)/(CO154*((1-CO$2)*$H154+CO$2*$H155) + CO156*((1-CO$2)*$H156+CO$2*$H157) + CO158*((1-CO$2)*$H158+CO$2*$H159))</f>
        <v>4536.0897399433852</v>
      </c>
      <c r="CP159" s="23">
        <f t="shared" ref="CP159" si="3619">($O159*$Q159*$S159)^(1/3)/(CP154*((1-CP$2)*$H154+CP$2*$H155) + CP156*((1-CP$2)*$H156+CP$2*$H157) + CP158*((1-CP$2)*$H158+CP$2*$H159))</f>
        <v>4222.5558750256241</v>
      </c>
      <c r="CQ159" s="23">
        <f t="shared" ref="CQ159" si="3620">($O159*$Q159*$S159)^(1/3)/(CQ154*((1-CQ$2)*$H154+CQ$2*$H155) + CQ156*((1-CQ$2)*$H156+CQ$2*$H157) + CQ158*((1-CQ$2)*$H158+CQ$2*$H159))</f>
        <v>4346.1656979992295</v>
      </c>
      <c r="CR159" s="2" t="s">
        <v>121</v>
      </c>
      <c r="CS159" s="2">
        <f t="shared" ref="CS159" si="3621">100*$AF159/AF159</f>
        <v>100</v>
      </c>
      <c r="CT159" s="2">
        <f t="shared" ref="CT159" si="3622">100*$AF159/AG159</f>
        <v>94.436363636363637</v>
      </c>
      <c r="CU159" s="2">
        <f t="shared" ref="CU159" si="3623">100*$AF159/AH159</f>
        <v>88.218181818181804</v>
      </c>
      <c r="CV159" s="2">
        <f t="shared" ref="CV159" si="3624">100*$AF159/AI159</f>
        <v>71.127272727272725</v>
      </c>
      <c r="CW159" s="2">
        <f t="shared" ref="CW159" si="3625">100*$AF159/AJ159</f>
        <v>73.381818181818176</v>
      </c>
      <c r="CX159" s="2">
        <f t="shared" ref="CX159" si="3626">100*$AF159/AK159</f>
        <v>61.309090909090898</v>
      </c>
      <c r="CY159" s="2">
        <f t="shared" ref="CY159" si="3627">100*$AF159/AL159</f>
        <v>55.490909090909085</v>
      </c>
      <c r="CZ159" s="2">
        <f t="shared" ref="CZ159" si="3628">100*$AF159/AM159</f>
        <v>45.345454545454537</v>
      </c>
      <c r="DA159" s="2">
        <f t="shared" ref="DA159" si="3629">100*$AF159/AN159</f>
        <v>92.045454545454547</v>
      </c>
      <c r="DB159" s="2">
        <f t="shared" ref="DB159" si="3630">100*$AF159/AO159</f>
        <v>87.219318181818181</v>
      </c>
      <c r="DC159" s="2">
        <f t="shared" ref="DC159" si="3631">100*$AF159/AP159</f>
        <v>81.817045454545465</v>
      </c>
      <c r="DD159" s="2">
        <f t="shared" ref="DD159" si="3632">100*$AF159/AQ159</f>
        <v>66.44204545454545</v>
      </c>
      <c r="DE159" s="2">
        <f t="shared" ref="DE159" si="3633">100*$AF159/AR159</f>
        <v>68.900000000000006</v>
      </c>
      <c r="DF159" s="2">
        <f t="shared" ref="DF159" si="3634">100*$AF159/AS159</f>
        <v>57.885227272727271</v>
      </c>
      <c r="DG159" s="2">
        <f t="shared" ref="DG159" si="3635">100*$AF159/AT159</f>
        <v>53.294318181818177</v>
      </c>
      <c r="DH159" s="2">
        <f t="shared" ref="DH159" si="3636">100*$AF159/AU159</f>
        <v>44.435227272727268</v>
      </c>
      <c r="DI159" s="2">
        <f t="shared" ref="DI159" si="3637">100*$AF159/AV159</f>
        <v>84.090909090909079</v>
      </c>
      <c r="DJ159" s="2">
        <f t="shared" ref="DJ159" si="3638">100*$AF159/AW159</f>
        <v>80.002272727272725</v>
      </c>
      <c r="DK159" s="2">
        <f t="shared" ref="DK159" si="3639">100*$AF159/AX159</f>
        <v>75.415909090909082</v>
      </c>
      <c r="DL159" s="2">
        <f t="shared" ref="DL159" si="3640">100*$AF159/AY159</f>
        <v>61.756818181818176</v>
      </c>
      <c r="DM159" s="2">
        <f t="shared" ref="DM159" si="3641">100*$AF159/AZ159</f>
        <v>64.418181818181807</v>
      </c>
      <c r="DN159" s="2">
        <f t="shared" ref="DN159" si="3642">100*$AF159/BA159</f>
        <v>54.461363636363636</v>
      </c>
      <c r="DO159" s="2">
        <f t="shared" ref="DO159" si="3643">100*$AF159/BB159</f>
        <v>51.097727272727262</v>
      </c>
      <c r="DP159" s="2">
        <f t="shared" ref="DP159" si="3644">100*$AF159/BC159</f>
        <v>43.524999999999999</v>
      </c>
      <c r="DQ159" s="2">
        <f t="shared" ref="DQ159" si="3645">100*$AF159/BD159</f>
        <v>76.136363636363626</v>
      </c>
      <c r="DR159" s="2">
        <f t="shared" ref="DR159" si="3646">100*$AF159/BE159</f>
        <v>72.785227272727269</v>
      </c>
      <c r="DS159" s="2">
        <f t="shared" ref="DS159" si="3647">100*$AF159/BF159</f>
        <v>69.014772727272728</v>
      </c>
      <c r="DT159" s="2">
        <f t="shared" ref="DT159" si="3648">100*$AF159/BG159</f>
        <v>57.071590909090915</v>
      </c>
      <c r="DU159" s="2">
        <f t="shared" ref="DU159" si="3649">100*$AF159/BH159</f>
        <v>59.936363636363637</v>
      </c>
      <c r="DV159" s="2">
        <f t="shared" ref="DV159" si="3650">100*$AF159/BI159</f>
        <v>51.037499999999994</v>
      </c>
      <c r="DW159" s="2">
        <f t="shared" ref="DW159" si="3651">100*$AF159/BJ159</f>
        <v>48.901136363636361</v>
      </c>
      <c r="DX159" s="2">
        <f t="shared" ref="DX159" si="3652">100*$AF159/BK159</f>
        <v>42.614772727272722</v>
      </c>
      <c r="DY159" s="2">
        <f t="shared" ref="DY159" si="3653">100*$AF159/BL159</f>
        <v>68.181818181818173</v>
      </c>
      <c r="DZ159" s="2">
        <f t="shared" ref="DZ159" si="3654">100*$AF159/BM159</f>
        <v>65.568181818181799</v>
      </c>
      <c r="EA159" s="2">
        <f t="shared" ref="EA159" si="3655">100*$AF159/BN159</f>
        <v>62.613636363636367</v>
      </c>
      <c r="EB159" s="2">
        <f t="shared" ref="EB159" si="3656">100*$AF159/BO159</f>
        <v>52.386363636363626</v>
      </c>
      <c r="EC159" s="2">
        <f t="shared" ref="EC159" si="3657">100*$AF159/BP159</f>
        <v>55.454545454545446</v>
      </c>
      <c r="ED159" s="2">
        <f t="shared" ref="ED159" si="3658">100*$AF159/BQ159</f>
        <v>47.61363636363636</v>
      </c>
      <c r="EE159" s="2">
        <f t="shared" ref="EE159" si="3659">100*$AF159/BR159</f>
        <v>46.704545454545453</v>
      </c>
      <c r="EF159" s="2">
        <f t="shared" ref="EF159" si="3660">100*$AF159/BS159</f>
        <v>41.704545454545446</v>
      </c>
      <c r="EG159" s="2">
        <f t="shared" ref="EG159" si="3661">100*$AF159/BT159</f>
        <v>60.227272727272727</v>
      </c>
      <c r="EH159" s="2">
        <f t="shared" ref="EH159" si="3662">100*$AF159/BU159</f>
        <v>58.351136363636357</v>
      </c>
      <c r="EI159" s="2">
        <f t="shared" ref="EI159" si="3663">100*$AF159/BV159</f>
        <v>56.212499999999999</v>
      </c>
      <c r="EJ159" s="2">
        <f t="shared" ref="EJ159" si="3664">100*$AF159/BW159</f>
        <v>47.701136363636365</v>
      </c>
      <c r="EK159" s="2">
        <f t="shared" ref="EK159" si="3665">100*$AF159/BX159</f>
        <v>50.972727272727262</v>
      </c>
      <c r="EL159" s="2">
        <f t="shared" ref="EL159" si="3666">100*$AF159/BY159</f>
        <v>44.189772727272725</v>
      </c>
      <c r="EM159" s="2">
        <f t="shared" ref="EM159" si="3667">100*$AF159/BZ159</f>
        <v>44.507954545454545</v>
      </c>
      <c r="EN159" s="2">
        <f t="shared" ref="EN159" si="3668">100*$AF159/CA159</f>
        <v>40.794318181818184</v>
      </c>
      <c r="EO159" s="2">
        <f t="shared" ref="EO159" si="3669">100*$AF159/CB159</f>
        <v>52.272727272727266</v>
      </c>
      <c r="EP159" s="2">
        <f t="shared" ref="EP159" si="3670">100*$AF159/CC159</f>
        <v>51.134090909090901</v>
      </c>
      <c r="EQ159" s="2">
        <f t="shared" ref="EQ159" si="3671">100*$AF159/CD159</f>
        <v>49.811363636363623</v>
      </c>
      <c r="ER159" s="2">
        <f t="shared" ref="ER159" si="3672">100*$AF159/CE159</f>
        <v>43.015909090909091</v>
      </c>
      <c r="ES159" s="2">
        <f t="shared" ref="ES159" si="3673">100*$AF159/CF159</f>
        <v>46.490909090909085</v>
      </c>
      <c r="ET159" s="2">
        <f t="shared" ref="ET159" si="3674">100*$AF159/CG159</f>
        <v>40.765909090909091</v>
      </c>
      <c r="EU159" s="2">
        <f t="shared" ref="EU159" si="3675">100*$AF159/CH159</f>
        <v>42.31136363636363</v>
      </c>
      <c r="EV159" s="2">
        <f t="shared" ref="EV159" si="3676">100*$AF159/CI159</f>
        <v>39.884090909090908</v>
      </c>
      <c r="EW159" s="2">
        <f t="shared" ref="EW159" si="3677">100*$AF159/CJ159</f>
        <v>44.318181818181813</v>
      </c>
      <c r="EX159" s="2">
        <f t="shared" ref="EX159" si="3678">100*$AF159/CK159</f>
        <v>43.917045454545445</v>
      </c>
      <c r="EY159" s="2">
        <f t="shared" ref="EY159" si="3679">100*$AF159/CL159</f>
        <v>43.410227272727269</v>
      </c>
      <c r="EZ159" s="2">
        <f t="shared" ref="EZ159" si="3680">100*$AF159/CM159</f>
        <v>38.330681818181816</v>
      </c>
      <c r="FA159" s="2">
        <f t="shared" ref="FA159" si="3681">100*$AF159/CN159</f>
        <v>42.009090909090908</v>
      </c>
      <c r="FB159" s="2">
        <f t="shared" ref="FB159" si="3682">100*$AF159/CO159</f>
        <v>37.342045454545449</v>
      </c>
      <c r="FC159" s="2">
        <f t="shared" ref="FC159" si="3683">100*$AF159/CP159</f>
        <v>40.114772727272729</v>
      </c>
      <c r="FD159" s="2">
        <f t="shared" ref="FD159" si="3684">100*$AF159/CQ159</f>
        <v>38.973863636363639</v>
      </c>
    </row>
    <row r="160" spans="3:160" x14ac:dyDescent="0.4">
      <c r="C160" s="1" t="s">
        <v>36</v>
      </c>
      <c r="D160" s="1" t="s">
        <v>5</v>
      </c>
      <c r="E160" s="1">
        <v>0.311</v>
      </c>
      <c r="F160" s="1">
        <v>0.20200000000000001</v>
      </c>
      <c r="G160" s="1">
        <v>0.109</v>
      </c>
      <c r="H160" s="1">
        <v>5.5E-2</v>
      </c>
      <c r="I160" s="1">
        <v>4791</v>
      </c>
      <c r="J160" s="1">
        <v>4365</v>
      </c>
      <c r="K160" s="1">
        <v>56</v>
      </c>
      <c r="L160" s="1">
        <v>5628</v>
      </c>
      <c r="M160" s="1">
        <v>6337</v>
      </c>
      <c r="N160" s="1">
        <v>74.5</v>
      </c>
      <c r="O160" s="1">
        <v>92</v>
      </c>
      <c r="P160" s="1">
        <v>89.5</v>
      </c>
      <c r="Q160" s="1">
        <v>94</v>
      </c>
      <c r="R160" s="1">
        <v>50.5</v>
      </c>
      <c r="S160" s="1">
        <v>93.5</v>
      </c>
      <c r="T160" s="4">
        <v>0</v>
      </c>
      <c r="U160" s="1">
        <v>1.637</v>
      </c>
      <c r="V160" s="1">
        <v>5.8000000000000003E-2</v>
      </c>
      <c r="W160" s="1">
        <v>4.0199999999999996</v>
      </c>
      <c r="X160" s="1">
        <f t="shared" ref="X160" si="3685">H161</f>
        <v>2.1000000000000001E-2</v>
      </c>
      <c r="Y160" s="1">
        <f t="shared" ref="Y160" si="3686">H162</f>
        <v>4.9000000000000002E-2</v>
      </c>
      <c r="Z160" s="1">
        <f t="shared" ref="Z160" si="3687">H163</f>
        <v>2.1000000000000001E-2</v>
      </c>
      <c r="AA160" s="1">
        <f t="shared" ref="AA160" si="3688">H164</f>
        <v>1.9E-2</v>
      </c>
      <c r="AB160" s="1">
        <f t="shared" ref="AB160" si="3689">H165</f>
        <v>2.1000000000000001E-2</v>
      </c>
      <c r="AC160" s="1">
        <f t="shared" si="2917"/>
        <v>4563.7826972432331</v>
      </c>
      <c r="AE160" s="1" t="s">
        <v>96</v>
      </c>
      <c r="AF160" s="1">
        <v>1</v>
      </c>
      <c r="AG160" s="1">
        <v>0.81499999999999995</v>
      </c>
      <c r="AH160" s="1">
        <v>0.64500000000000002</v>
      </c>
      <c r="AI160" s="1">
        <v>0.39500000000000002</v>
      </c>
      <c r="AJ160" s="1">
        <v>0.36</v>
      </c>
      <c r="AK160" s="1">
        <v>0.245</v>
      </c>
      <c r="AL160" s="1">
        <v>0.14499999999999999</v>
      </c>
      <c r="AM160" s="20">
        <v>6.5000000000000002E-2</v>
      </c>
      <c r="AN160" s="1">
        <v>1</v>
      </c>
      <c r="AO160" s="1">
        <v>0.81499999999999995</v>
      </c>
      <c r="AP160" s="1">
        <v>0.64500000000000002</v>
      </c>
      <c r="AQ160" s="1">
        <v>0.39500000000000002</v>
      </c>
      <c r="AR160" s="1">
        <v>0.36</v>
      </c>
      <c r="AS160" s="1">
        <v>0.245</v>
      </c>
      <c r="AT160" s="1">
        <v>0.14499999999999999</v>
      </c>
      <c r="AU160" s="20">
        <v>6.5000000000000002E-2</v>
      </c>
      <c r="AV160" s="1">
        <v>1</v>
      </c>
      <c r="AW160" s="1">
        <v>0.81499999999999995</v>
      </c>
      <c r="AX160" s="1">
        <v>0.64500000000000002</v>
      </c>
      <c r="AY160" s="1">
        <v>0.39500000000000002</v>
      </c>
      <c r="AZ160" s="1">
        <v>0.36</v>
      </c>
      <c r="BA160" s="1">
        <v>0.245</v>
      </c>
      <c r="BB160" s="1">
        <v>0.14499999999999999</v>
      </c>
      <c r="BC160" s="20">
        <v>6.5000000000000002E-2</v>
      </c>
      <c r="BD160" s="1">
        <v>1</v>
      </c>
      <c r="BE160" s="1">
        <v>0.81499999999999995</v>
      </c>
      <c r="BF160" s="1">
        <v>0.64500000000000002</v>
      </c>
      <c r="BG160" s="1">
        <v>0.39500000000000002</v>
      </c>
      <c r="BH160" s="1">
        <v>0.36</v>
      </c>
      <c r="BI160" s="1">
        <v>0.245</v>
      </c>
      <c r="BJ160" s="1">
        <v>0.14499999999999999</v>
      </c>
      <c r="BK160" s="20">
        <v>6.5000000000000002E-2</v>
      </c>
      <c r="BL160" s="1">
        <v>1</v>
      </c>
      <c r="BM160" s="1">
        <v>0.81499999999999995</v>
      </c>
      <c r="BN160" s="1">
        <v>0.64500000000000002</v>
      </c>
      <c r="BO160" s="1">
        <v>0.39500000000000002</v>
      </c>
      <c r="BP160" s="1">
        <v>0.36</v>
      </c>
      <c r="BQ160" s="1">
        <v>0.245</v>
      </c>
      <c r="BR160" s="1">
        <v>0.14499999999999999</v>
      </c>
      <c r="BS160" s="20">
        <v>6.5000000000000002E-2</v>
      </c>
      <c r="BT160" s="1">
        <v>1</v>
      </c>
      <c r="BU160" s="1">
        <v>0.81499999999999995</v>
      </c>
      <c r="BV160" s="1">
        <v>0.64500000000000002</v>
      </c>
      <c r="BW160" s="1">
        <v>0.39500000000000002</v>
      </c>
      <c r="BX160" s="1">
        <v>0.36</v>
      </c>
      <c r="BY160" s="1">
        <v>0.245</v>
      </c>
      <c r="BZ160" s="1">
        <v>0.14499999999999999</v>
      </c>
      <c r="CA160" s="20">
        <v>6.5000000000000002E-2</v>
      </c>
      <c r="CB160" s="1">
        <v>1</v>
      </c>
      <c r="CC160" s="1">
        <v>0.81499999999999995</v>
      </c>
      <c r="CD160" s="1">
        <v>0.64500000000000002</v>
      </c>
      <c r="CE160" s="1">
        <v>0.39500000000000002</v>
      </c>
      <c r="CF160" s="1">
        <v>0.36</v>
      </c>
      <c r="CG160" s="1">
        <v>0.245</v>
      </c>
      <c r="CH160" s="1">
        <v>0.14499999999999999</v>
      </c>
      <c r="CI160" s="20">
        <v>6.5000000000000002E-2</v>
      </c>
      <c r="CJ160" s="1">
        <v>1</v>
      </c>
      <c r="CK160" s="1">
        <v>0.81499999999999995</v>
      </c>
      <c r="CL160" s="1">
        <v>0.64500000000000002</v>
      </c>
      <c r="CM160" s="1">
        <v>0.39500000000000002</v>
      </c>
      <c r="CN160" s="1">
        <v>0.36</v>
      </c>
      <c r="CO160" s="1">
        <v>0.245</v>
      </c>
      <c r="CP160" s="1">
        <v>0.14499999999999999</v>
      </c>
      <c r="CQ160" s="20">
        <v>6.5000000000000002E-2</v>
      </c>
    </row>
    <row r="161" spans="3:160" x14ac:dyDescent="0.4">
      <c r="C161" s="1" t="s">
        <v>36</v>
      </c>
      <c r="D161" s="1" t="s">
        <v>6</v>
      </c>
      <c r="E161" s="1">
        <v>0.26800000000000002</v>
      </c>
      <c r="F161" s="1">
        <v>0.16</v>
      </c>
      <c r="G161" s="1">
        <v>0.109</v>
      </c>
      <c r="H161" s="1">
        <v>2.1000000000000001E-2</v>
      </c>
      <c r="I161" s="1">
        <v>4791</v>
      </c>
      <c r="J161" s="1">
        <v>4365</v>
      </c>
      <c r="K161" s="1">
        <v>56</v>
      </c>
      <c r="L161" s="1">
        <v>5628</v>
      </c>
      <c r="M161" s="1">
        <v>6337</v>
      </c>
      <c r="N161" s="1">
        <v>74.5</v>
      </c>
      <c r="O161" s="1">
        <v>92</v>
      </c>
      <c r="P161" s="1">
        <v>89.5</v>
      </c>
      <c r="Q161" s="1">
        <v>94</v>
      </c>
      <c r="R161" s="1">
        <v>50.5</v>
      </c>
      <c r="S161" s="1">
        <v>93.5</v>
      </c>
      <c r="T161" s="4">
        <v>0</v>
      </c>
      <c r="U161" s="1">
        <v>1.637</v>
      </c>
      <c r="V161" s="1">
        <v>5.8000000000000003E-2</v>
      </c>
      <c r="W161" s="1">
        <v>4.0199999999999996</v>
      </c>
      <c r="X161" s="1">
        <f t="shared" ref="X161" si="3690">H161</f>
        <v>2.1000000000000001E-2</v>
      </c>
      <c r="Y161" s="1">
        <f t="shared" ref="Y161" si="3691">H162</f>
        <v>4.9000000000000002E-2</v>
      </c>
      <c r="Z161" s="1">
        <f t="shared" ref="Z161" si="3692">H163</f>
        <v>2.1000000000000001E-2</v>
      </c>
      <c r="AA161" s="1">
        <f t="shared" ref="AA161" si="3693">H164</f>
        <v>1.9E-2</v>
      </c>
      <c r="AB161" s="1">
        <f t="shared" ref="AB161" si="3694">H165</f>
        <v>2.1000000000000001E-2</v>
      </c>
      <c r="AC161" s="1">
        <f t="shared" si="2917"/>
        <v>4563.7826972432331</v>
      </c>
      <c r="CQ161" s="20"/>
    </row>
    <row r="162" spans="3:160" x14ac:dyDescent="0.4">
      <c r="C162" s="1" t="s">
        <v>36</v>
      </c>
      <c r="D162" s="1" t="s">
        <v>7</v>
      </c>
      <c r="E162" s="1">
        <v>0.30599999999999999</v>
      </c>
      <c r="F162" s="1">
        <v>0.19700000000000001</v>
      </c>
      <c r="G162" s="1">
        <v>0.109</v>
      </c>
      <c r="H162" s="1">
        <v>4.9000000000000002E-2</v>
      </c>
      <c r="I162" s="1">
        <v>4791</v>
      </c>
      <c r="J162" s="1">
        <v>4365</v>
      </c>
      <c r="K162" s="1">
        <v>56</v>
      </c>
      <c r="L162" s="1">
        <v>5628</v>
      </c>
      <c r="M162" s="1">
        <v>6337</v>
      </c>
      <c r="N162" s="1">
        <v>74.5</v>
      </c>
      <c r="O162" s="1">
        <v>92</v>
      </c>
      <c r="P162" s="1">
        <v>89.5</v>
      </c>
      <c r="Q162" s="1">
        <v>94</v>
      </c>
      <c r="R162" s="1">
        <v>50.5</v>
      </c>
      <c r="S162" s="1">
        <v>93.5</v>
      </c>
      <c r="T162" s="4">
        <v>0</v>
      </c>
      <c r="U162" s="1">
        <v>1.637</v>
      </c>
      <c r="V162" s="1">
        <v>5.8000000000000003E-2</v>
      </c>
      <c r="W162" s="1">
        <v>4.0199999999999996</v>
      </c>
      <c r="X162" s="1">
        <f t="shared" ref="X162" si="3695">H161</f>
        <v>2.1000000000000001E-2</v>
      </c>
      <c r="Y162" s="1">
        <f t="shared" ref="Y162" si="3696">H162</f>
        <v>4.9000000000000002E-2</v>
      </c>
      <c r="Z162" s="1">
        <f t="shared" ref="Z162" si="3697">H163</f>
        <v>2.1000000000000001E-2</v>
      </c>
      <c r="AA162" s="1">
        <f t="shared" ref="AA162" si="3698">H164</f>
        <v>1.9E-2</v>
      </c>
      <c r="AB162" s="1">
        <f t="shared" ref="AB162" si="3699">H165</f>
        <v>2.1000000000000001E-2</v>
      </c>
      <c r="AC162" s="1">
        <f t="shared" si="2917"/>
        <v>4563.7826972432331</v>
      </c>
      <c r="AE162" s="1" t="s">
        <v>97</v>
      </c>
      <c r="AF162" s="1">
        <v>0</v>
      </c>
      <c r="AG162" s="1">
        <v>0.12</v>
      </c>
      <c r="AH162" s="1">
        <v>0.21</v>
      </c>
      <c r="AI162" s="1">
        <v>0.26</v>
      </c>
      <c r="AJ162" s="1">
        <v>0.28000000000000003</v>
      </c>
      <c r="AK162" s="1">
        <v>0.26</v>
      </c>
      <c r="AL162" s="1">
        <v>0.21</v>
      </c>
      <c r="AM162" s="20">
        <v>0.12</v>
      </c>
      <c r="AN162" s="1">
        <v>0</v>
      </c>
      <c r="AO162" s="1">
        <v>0.12</v>
      </c>
      <c r="AP162" s="1">
        <v>0.21</v>
      </c>
      <c r="AQ162" s="1">
        <v>0.26</v>
      </c>
      <c r="AR162" s="1">
        <v>0.28000000000000003</v>
      </c>
      <c r="AS162" s="1">
        <v>0.26</v>
      </c>
      <c r="AT162" s="1">
        <v>0.21</v>
      </c>
      <c r="AU162" s="20">
        <v>0.12</v>
      </c>
      <c r="AV162" s="1">
        <v>0</v>
      </c>
      <c r="AW162" s="1">
        <v>0.12</v>
      </c>
      <c r="AX162" s="1">
        <v>0.21</v>
      </c>
      <c r="AY162" s="1">
        <v>0.26</v>
      </c>
      <c r="AZ162" s="1">
        <v>0.28000000000000003</v>
      </c>
      <c r="BA162" s="1">
        <v>0.26</v>
      </c>
      <c r="BB162" s="1">
        <v>0.21</v>
      </c>
      <c r="BC162" s="20">
        <v>0.12</v>
      </c>
      <c r="BD162" s="1">
        <v>0</v>
      </c>
      <c r="BE162" s="1">
        <v>0.12</v>
      </c>
      <c r="BF162" s="1">
        <v>0.21</v>
      </c>
      <c r="BG162" s="1">
        <v>0.26</v>
      </c>
      <c r="BH162" s="1">
        <v>0.28000000000000003</v>
      </c>
      <c r="BI162" s="1">
        <v>0.26</v>
      </c>
      <c r="BJ162" s="1">
        <v>0.21</v>
      </c>
      <c r="BK162" s="20">
        <v>0.12</v>
      </c>
      <c r="BL162" s="1">
        <v>0</v>
      </c>
      <c r="BM162" s="1">
        <v>0.12</v>
      </c>
      <c r="BN162" s="1">
        <v>0.21</v>
      </c>
      <c r="BO162" s="1">
        <v>0.26</v>
      </c>
      <c r="BP162" s="1">
        <v>0.28000000000000003</v>
      </c>
      <c r="BQ162" s="1">
        <v>0.26</v>
      </c>
      <c r="BR162" s="1">
        <v>0.21</v>
      </c>
      <c r="BS162" s="20">
        <v>0.12</v>
      </c>
      <c r="BT162" s="1">
        <v>0</v>
      </c>
      <c r="BU162" s="1">
        <v>0.12</v>
      </c>
      <c r="BV162" s="1">
        <v>0.21</v>
      </c>
      <c r="BW162" s="1">
        <v>0.26</v>
      </c>
      <c r="BX162" s="1">
        <v>0.28000000000000003</v>
      </c>
      <c r="BY162" s="1">
        <v>0.26</v>
      </c>
      <c r="BZ162" s="1">
        <v>0.21</v>
      </c>
      <c r="CA162" s="20">
        <v>0.12</v>
      </c>
      <c r="CB162" s="1">
        <v>0</v>
      </c>
      <c r="CC162" s="1">
        <v>0.12</v>
      </c>
      <c r="CD162" s="1">
        <v>0.21</v>
      </c>
      <c r="CE162" s="1">
        <v>0.26</v>
      </c>
      <c r="CF162" s="1">
        <v>0.28000000000000003</v>
      </c>
      <c r="CG162" s="1">
        <v>0.26</v>
      </c>
      <c r="CH162" s="1">
        <v>0.21</v>
      </c>
      <c r="CI162" s="20">
        <v>0.12</v>
      </c>
      <c r="CJ162" s="1">
        <v>0</v>
      </c>
      <c r="CK162" s="1">
        <v>0.12</v>
      </c>
      <c r="CL162" s="1">
        <v>0.21</v>
      </c>
      <c r="CM162" s="1">
        <v>0.26</v>
      </c>
      <c r="CN162" s="1">
        <v>0.28000000000000003</v>
      </c>
      <c r="CO162" s="1">
        <v>0.26</v>
      </c>
      <c r="CP162" s="1">
        <v>0.21</v>
      </c>
      <c r="CQ162" s="20">
        <v>0.12</v>
      </c>
    </row>
    <row r="163" spans="3:160" x14ac:dyDescent="0.4">
      <c r="C163" s="1" t="s">
        <v>36</v>
      </c>
      <c r="D163" s="1" t="s">
        <v>8</v>
      </c>
      <c r="E163" s="1">
        <v>0.26900000000000002</v>
      </c>
      <c r="F163" s="1">
        <v>0.16</v>
      </c>
      <c r="G163" s="1">
        <v>0.109</v>
      </c>
      <c r="H163" s="1">
        <v>2.1000000000000001E-2</v>
      </c>
      <c r="I163" s="1">
        <v>4791</v>
      </c>
      <c r="J163" s="1">
        <v>4365</v>
      </c>
      <c r="K163" s="1">
        <v>56</v>
      </c>
      <c r="L163" s="1">
        <v>5628</v>
      </c>
      <c r="M163" s="1">
        <v>6337</v>
      </c>
      <c r="N163" s="1">
        <v>74.5</v>
      </c>
      <c r="O163" s="1">
        <v>92</v>
      </c>
      <c r="P163" s="1">
        <v>89.5</v>
      </c>
      <c r="Q163" s="1">
        <v>94</v>
      </c>
      <c r="R163" s="1">
        <v>50.5</v>
      </c>
      <c r="S163" s="1">
        <v>93.5</v>
      </c>
      <c r="T163" s="4">
        <v>0</v>
      </c>
      <c r="U163" s="1">
        <v>1.637</v>
      </c>
      <c r="V163" s="1">
        <v>5.8000000000000003E-2</v>
      </c>
      <c r="W163" s="1">
        <v>4.0199999999999996</v>
      </c>
      <c r="X163" s="1">
        <f t="shared" ref="X163" si="3700">H161</f>
        <v>2.1000000000000001E-2</v>
      </c>
      <c r="Y163" s="1">
        <f t="shared" ref="Y163" si="3701">H162</f>
        <v>4.9000000000000002E-2</v>
      </c>
      <c r="Z163" s="1">
        <f t="shared" ref="Z163" si="3702">H163</f>
        <v>2.1000000000000001E-2</v>
      </c>
      <c r="AA163" s="1">
        <f t="shared" ref="AA163" si="3703">H164</f>
        <v>1.9E-2</v>
      </c>
      <c r="AB163" s="1">
        <f t="shared" ref="AB163" si="3704">H165</f>
        <v>2.1000000000000001E-2</v>
      </c>
      <c r="AC163" s="1">
        <f t="shared" si="2917"/>
        <v>4563.7826972432331</v>
      </c>
      <c r="CQ163" s="20"/>
    </row>
    <row r="164" spans="3:160" x14ac:dyDescent="0.4">
      <c r="C164" s="1" t="s">
        <v>36</v>
      </c>
      <c r="D164" s="1" t="s">
        <v>9</v>
      </c>
      <c r="E164" s="1">
        <v>0.26600000000000001</v>
      </c>
      <c r="F164" s="1">
        <v>0.157</v>
      </c>
      <c r="G164" s="1">
        <v>0.109</v>
      </c>
      <c r="H164" s="1">
        <v>1.9E-2</v>
      </c>
      <c r="I164" s="1">
        <v>4791</v>
      </c>
      <c r="J164" s="1">
        <v>4365</v>
      </c>
      <c r="K164" s="1">
        <v>56</v>
      </c>
      <c r="L164" s="1">
        <v>5628</v>
      </c>
      <c r="M164" s="1">
        <v>6337</v>
      </c>
      <c r="N164" s="1">
        <v>74.5</v>
      </c>
      <c r="O164" s="1">
        <v>92</v>
      </c>
      <c r="P164" s="1">
        <v>89.5</v>
      </c>
      <c r="Q164" s="1">
        <v>94</v>
      </c>
      <c r="R164" s="1">
        <v>50.5</v>
      </c>
      <c r="S164" s="1">
        <v>93.5</v>
      </c>
      <c r="T164" s="4">
        <v>0</v>
      </c>
      <c r="U164" s="1">
        <v>1.637</v>
      </c>
      <c r="V164" s="1">
        <v>5.8000000000000003E-2</v>
      </c>
      <c r="W164" s="1">
        <v>4.0199999999999996</v>
      </c>
      <c r="X164" s="1">
        <f t="shared" ref="X164" si="3705">H161</f>
        <v>2.1000000000000001E-2</v>
      </c>
      <c r="Y164" s="1">
        <f t="shared" ref="Y164" si="3706">H162</f>
        <v>4.9000000000000002E-2</v>
      </c>
      <c r="Z164" s="1">
        <f t="shared" ref="Z164" si="3707">H163</f>
        <v>2.1000000000000001E-2</v>
      </c>
      <c r="AA164" s="1">
        <f t="shared" ref="AA164" si="3708">H164</f>
        <v>1.9E-2</v>
      </c>
      <c r="AB164" s="1">
        <f t="shared" ref="AB164" si="3709">H165</f>
        <v>2.1000000000000001E-2</v>
      </c>
      <c r="AC164" s="1">
        <f t="shared" si="2917"/>
        <v>4563.7826972432331</v>
      </c>
      <c r="AE164" s="1" t="s">
        <v>98</v>
      </c>
      <c r="AF164" s="1">
        <v>0</v>
      </c>
      <c r="AG164" s="1">
        <v>6.5000000000000002E-2</v>
      </c>
      <c r="AH164" s="1">
        <v>0.14499999999999999</v>
      </c>
      <c r="AI164" s="1">
        <v>0.245</v>
      </c>
      <c r="AJ164" s="1">
        <v>0.36</v>
      </c>
      <c r="AK164" s="1">
        <v>0.39500000000000002</v>
      </c>
      <c r="AL164" s="1">
        <v>0.64500000000000002</v>
      </c>
      <c r="AM164" s="20">
        <v>0.81499999999999995</v>
      </c>
      <c r="AN164" s="1">
        <v>0</v>
      </c>
      <c r="AO164" s="1">
        <v>6.5000000000000002E-2</v>
      </c>
      <c r="AP164" s="1">
        <v>0.14499999999999999</v>
      </c>
      <c r="AQ164" s="1">
        <v>0.245</v>
      </c>
      <c r="AR164" s="1">
        <v>0.36</v>
      </c>
      <c r="AS164" s="1">
        <v>0.39500000000000002</v>
      </c>
      <c r="AT164" s="1">
        <v>0.64500000000000002</v>
      </c>
      <c r="AU164" s="20">
        <v>0.81499999999999995</v>
      </c>
      <c r="AV164" s="1">
        <v>0</v>
      </c>
      <c r="AW164" s="1">
        <v>6.5000000000000002E-2</v>
      </c>
      <c r="AX164" s="1">
        <v>0.14499999999999999</v>
      </c>
      <c r="AY164" s="1">
        <v>0.245</v>
      </c>
      <c r="AZ164" s="1">
        <v>0.36</v>
      </c>
      <c r="BA164" s="1">
        <v>0.39500000000000002</v>
      </c>
      <c r="BB164" s="1">
        <v>0.64500000000000002</v>
      </c>
      <c r="BC164" s="20">
        <v>0.81499999999999995</v>
      </c>
      <c r="BD164" s="1">
        <v>0</v>
      </c>
      <c r="BE164" s="1">
        <v>6.5000000000000002E-2</v>
      </c>
      <c r="BF164" s="1">
        <v>0.14499999999999999</v>
      </c>
      <c r="BG164" s="1">
        <v>0.245</v>
      </c>
      <c r="BH164" s="1">
        <v>0.36</v>
      </c>
      <c r="BI164" s="1">
        <v>0.39500000000000002</v>
      </c>
      <c r="BJ164" s="1">
        <v>0.64500000000000002</v>
      </c>
      <c r="BK164" s="20">
        <v>0.81499999999999995</v>
      </c>
      <c r="BL164" s="1">
        <v>0</v>
      </c>
      <c r="BM164" s="1">
        <v>6.5000000000000002E-2</v>
      </c>
      <c r="BN164" s="1">
        <v>0.14499999999999999</v>
      </c>
      <c r="BO164" s="1">
        <v>0.245</v>
      </c>
      <c r="BP164" s="1">
        <v>0.36</v>
      </c>
      <c r="BQ164" s="1">
        <v>0.39500000000000002</v>
      </c>
      <c r="BR164" s="1">
        <v>0.64500000000000002</v>
      </c>
      <c r="BS164" s="20">
        <v>0.81499999999999995</v>
      </c>
      <c r="BT164" s="1">
        <v>0</v>
      </c>
      <c r="BU164" s="1">
        <v>6.5000000000000002E-2</v>
      </c>
      <c r="BV164" s="1">
        <v>0.14499999999999999</v>
      </c>
      <c r="BW164" s="1">
        <v>0.245</v>
      </c>
      <c r="BX164" s="1">
        <v>0.36</v>
      </c>
      <c r="BY164" s="1">
        <v>0.39500000000000002</v>
      </c>
      <c r="BZ164" s="1">
        <v>0.64500000000000002</v>
      </c>
      <c r="CA164" s="20">
        <v>0.81499999999999995</v>
      </c>
      <c r="CB164" s="1">
        <v>0</v>
      </c>
      <c r="CC164" s="1">
        <v>6.5000000000000002E-2</v>
      </c>
      <c r="CD164" s="1">
        <v>0.14499999999999999</v>
      </c>
      <c r="CE164" s="1">
        <v>0.245</v>
      </c>
      <c r="CF164" s="1">
        <v>0.36</v>
      </c>
      <c r="CG164" s="1">
        <v>0.39500000000000002</v>
      </c>
      <c r="CH164" s="1">
        <v>0.64500000000000002</v>
      </c>
      <c r="CI164" s="20">
        <v>0.81499999999999995</v>
      </c>
      <c r="CJ164" s="1">
        <v>0</v>
      </c>
      <c r="CK164" s="1">
        <v>6.5000000000000002E-2</v>
      </c>
      <c r="CL164" s="1">
        <v>0.14499999999999999</v>
      </c>
      <c r="CM164" s="1">
        <v>0.245</v>
      </c>
      <c r="CN164" s="1">
        <v>0.36</v>
      </c>
      <c r="CO164" s="1">
        <v>0.39500000000000002</v>
      </c>
      <c r="CP164" s="1">
        <v>0.64500000000000002</v>
      </c>
      <c r="CQ164" s="20">
        <v>0.81499999999999995</v>
      </c>
    </row>
    <row r="165" spans="3:160" s="50" customFormat="1" ht="10.199999999999999" thickBot="1" x14ac:dyDescent="0.45">
      <c r="C165" s="50" t="s">
        <v>36</v>
      </c>
      <c r="D165" s="50" t="s">
        <v>10</v>
      </c>
      <c r="E165" s="50">
        <v>0.26900000000000002</v>
      </c>
      <c r="F165" s="50">
        <v>0.16</v>
      </c>
      <c r="G165" s="50">
        <v>0.109</v>
      </c>
      <c r="H165" s="50">
        <v>2.1000000000000001E-2</v>
      </c>
      <c r="I165" s="50">
        <v>4791</v>
      </c>
      <c r="J165" s="50">
        <v>4365</v>
      </c>
      <c r="K165" s="50">
        <v>56</v>
      </c>
      <c r="L165" s="50">
        <v>5628</v>
      </c>
      <c r="M165" s="50">
        <v>6337</v>
      </c>
      <c r="N165" s="50">
        <v>74.5</v>
      </c>
      <c r="O165" s="50">
        <v>92</v>
      </c>
      <c r="P165" s="50">
        <v>89.5</v>
      </c>
      <c r="Q165" s="50">
        <v>94</v>
      </c>
      <c r="R165" s="50">
        <v>50.5</v>
      </c>
      <c r="S165" s="50">
        <v>93.5</v>
      </c>
      <c r="T165" s="51">
        <f t="shared" si="2448"/>
        <v>6873.0402551278912</v>
      </c>
      <c r="U165" s="50">
        <v>1.637</v>
      </c>
      <c r="V165" s="50">
        <v>5.8000000000000003E-2</v>
      </c>
      <c r="W165" s="50">
        <v>4.0199999999999996</v>
      </c>
      <c r="X165" s="50">
        <f t="shared" ref="X165" si="3710">H161</f>
        <v>2.1000000000000001E-2</v>
      </c>
      <c r="Y165" s="50">
        <f t="shared" ref="Y165" si="3711">H162</f>
        <v>4.9000000000000002E-2</v>
      </c>
      <c r="Z165" s="50">
        <f t="shared" ref="Z165" si="3712">H163</f>
        <v>2.1000000000000001E-2</v>
      </c>
      <c r="AA165" s="50">
        <f t="shared" ref="AA165" si="3713">H164</f>
        <v>1.9E-2</v>
      </c>
      <c r="AB165" s="50">
        <f t="shared" ref="AB165" si="3714">H165</f>
        <v>2.1000000000000001E-2</v>
      </c>
      <c r="AC165" s="50">
        <f t="shared" si="2917"/>
        <v>4563.7826972432331</v>
      </c>
      <c r="AE165" s="50" t="s">
        <v>99</v>
      </c>
      <c r="AF165" s="52">
        <f>($O165*$Q165*$S165)^(1/3)/(AF160*((1-AF$2)*$H160+AF$2*$H161) + AF162*((1-AF$2)*$H162+AF$2*$H163) + AF164*((1-AF$2)*$H164+AF$2*$H165))</f>
        <v>1693.8686925486315</v>
      </c>
      <c r="AG165" s="52">
        <f t="shared" ref="AG165" si="3715">($O165*$Q165*$S165)^(1/3)/(AG160*((1-AG$2)*$H160+AG$2*$H161) + AG162*((1-AG$2)*$H162+AG$2*$H163) + AG164*((1-AG$2)*$H164+AG$2*$H165))</f>
        <v>1793.6614957677077</v>
      </c>
      <c r="AH165" s="52">
        <f t="shared" ref="AH165" si="3716">($O165*$Q165*$S165)^(1/3)/(AH160*((1-AH$2)*$H160+AH$2*$H161) + AH162*((1-AH$2)*$H162+AH$2*$H163) + AH164*((1-AH$2)*$H164+AH$2*$H165))</f>
        <v>1920.090232691153</v>
      </c>
      <c r="AI165" s="52">
        <f t="shared" ref="AI165" si="3717">($O165*$Q165*$S165)^(1/3)/(AI160*((1-AI$2)*$H160+AI$2*$H161) + AI162*((1-AI$2)*$H162+AI$2*$H163) + AI164*((1-AI$2)*$H164+AI$2*$H165))</f>
        <v>2381.4616076220536</v>
      </c>
      <c r="AJ165" s="52">
        <f t="shared" ref="AJ165" si="3718">($O165*$Q165*$S165)^(1/3)/(AJ160*((1-AJ$2)*$H160+AJ$2*$H161) + AJ162*((1-AJ$2)*$H162+AJ$2*$H163) + AJ164*((1-AJ$2)*$H164+AJ$2*$H165))</f>
        <v>2308.2947990628031</v>
      </c>
      <c r="AK165" s="52">
        <f t="shared" ref="AK165" si="3719">($O165*$Q165*$S165)^(1/3)/(AK160*((1-AK$2)*$H160+AK$2*$H161) + AK162*((1-AK$2)*$H162+AK$2*$H163) + AK164*((1-AK$2)*$H164+AK$2*$H165))</f>
        <v>2762.8344629351941</v>
      </c>
      <c r="AL165" s="52">
        <f t="shared" ref="AL165" si="3720">($O165*$Q165*$S165)^(1/3)/(AL160*((1-AL$2)*$H160+AL$2*$H161) + AL162*((1-AL$2)*$H162+AL$2*$H163) + AL164*((1-AL$2)*$H164+AL$2*$H165))</f>
        <v>3052.5156648156863</v>
      </c>
      <c r="AM165" s="52">
        <f t="shared" ref="AM165" si="3721">($O165*$Q165*$S165)^(1/3)/(AM160*((1-AM$2)*$H160+AM$2*$H161) + AM162*((1-AM$2)*$H162+AM$2*$H163) + AM164*((1-AM$2)*$H164+AM$2*$H165))</f>
        <v>3735.4762666469428</v>
      </c>
      <c r="AN165" s="52">
        <f t="shared" ref="AN165" si="3722">($O165*$Q165*$S165)^(1/3)/(AN160*((1-AN$2)*$H160+AN$2*$H161) + AN162*((1-AN$2)*$H162+AN$2*$H163) + AN164*((1-AN$2)*$H164+AN$2*$H165))</f>
        <v>1835.7197653236401</v>
      </c>
      <c r="AO165" s="52">
        <f t="shared" ref="AO165" si="3723">($O165*$Q165*$S165)^(1/3)/(AO160*((1-AO$2)*$H160+AO$2*$H161) + AO162*((1-AO$2)*$H162+AO$2*$H163) + AO164*((1-AO$2)*$H164+AO$2*$H165))</f>
        <v>1937.9640769707157</v>
      </c>
      <c r="AP165" s="52">
        <f t="shared" ref="AP165" si="3724">($O165*$Q165*$S165)^(1/3)/(AP160*((1-AP$2)*$H160+AP$2*$H161) + AP162*((1-AP$2)*$H162+AP$2*$H163) + AP164*((1-AP$2)*$H164+AP$2*$H165))</f>
        <v>2066.6099842540975</v>
      </c>
      <c r="AQ165" s="52">
        <f t="shared" ref="AQ165" si="3725">($O165*$Q165*$S165)^(1/3)/(AQ160*((1-AQ$2)*$H160+AQ$2*$H161) + AQ162*((1-AQ$2)*$H162+AQ$2*$H163) + AQ164*((1-AQ$2)*$H164+AQ$2*$H165))</f>
        <v>2545.9528070007445</v>
      </c>
      <c r="AR165" s="52">
        <f t="shared" ref="AR165" si="3726">($O165*$Q165*$S165)^(1/3)/(AR160*((1-AR$2)*$H160+AR$2*$H161) + AR162*((1-AR$2)*$H162+AR$2*$H163) + AR164*((1-AR$2)*$H164+AR$2*$H165))</f>
        <v>2455.529206383098</v>
      </c>
      <c r="AS165" s="52">
        <f t="shared" ref="AS165" si="3727">($O165*$Q165*$S165)^(1/3)/(AS160*((1-AS$2)*$H160+AS$2*$H161) + AS162*((1-AS$2)*$H162+AS$2*$H163) + AS164*((1-AS$2)*$H164+AS$2*$H165))</f>
        <v>2923.4416910700475</v>
      </c>
      <c r="AT165" s="52">
        <f t="shared" ref="AT165" si="3728">($O165*$Q165*$S165)^(1/3)/(AT160*((1-AT$2)*$H160+AT$2*$H161) + AT162*((1-AT$2)*$H162+AT$2*$H163) + AT164*((1-AT$2)*$H164+AT$2*$H165))</f>
        <v>3176.3647490683511</v>
      </c>
      <c r="AU165" s="52">
        <f t="shared" ref="AU165" si="3729">($O165*$Q165*$S165)^(1/3)/(AU160*((1-AU$2)*$H160+AU$2*$H161) + AU162*((1-AU$2)*$H162+AU$2*$H163) + AU164*((1-AU$2)*$H164+AU$2*$H165))</f>
        <v>3810.7282172072705</v>
      </c>
      <c r="AV165" s="52">
        <f t="shared" ref="AV165" si="3730">($O165*$Q165*$S165)^(1/3)/(AV160*((1-AV$2)*$H160+AV$2*$H161) + AV162*((1-AV$2)*$H162+AV$2*$H163) + AV164*((1-AV$2)*$H164+AV$2*$H165))</f>
        <v>2003.5006040897795</v>
      </c>
      <c r="AW165" s="52">
        <f t="shared" ref="AW165" si="3731">($O165*$Q165*$S165)^(1/3)/(AW160*((1-AW$2)*$H160+AW$2*$H161) + AW162*((1-AW$2)*$H162+AW$2*$H163) + AW164*((1-AW$2)*$H164+AW$2*$H165))</f>
        <v>2107.5167535386208</v>
      </c>
      <c r="AX165" s="52">
        <f t="shared" ref="AX165" si="3732">($O165*$Q165*$S165)^(1/3)/(AX160*((1-AX$2)*$H160+AX$2*$H161) + AX162*((1-AX$2)*$H162+AX$2*$H163) + AX164*((1-AX$2)*$H164+AX$2*$H165))</f>
        <v>2237.3385708495375</v>
      </c>
      <c r="AY165" s="52">
        <f t="shared" ref="AY165" si="3733">($O165*$Q165*$S165)^(1/3)/(AY160*((1-AY$2)*$H160+AY$2*$H161) + AY162*((1-AY$2)*$H162+AY$2*$H163) + AY164*((1-AY$2)*$H164+AY$2*$H165))</f>
        <v>2734.8533124959563</v>
      </c>
      <c r="AZ165" s="52">
        <f t="shared" ref="AZ165" si="3734">($O165*$Q165*$S165)^(1/3)/(AZ160*((1-AZ$2)*$H160+AZ$2*$H161) + AZ162*((1-AZ$2)*$H162+AZ$2*$H163) + AZ164*((1-AZ$2)*$H164+AZ$2*$H165))</f>
        <v>2622.825959745911</v>
      </c>
      <c r="BA165" s="52">
        <f t="shared" ref="BA165" si="3735">($O165*$Q165*$S165)^(1/3)/(BA160*((1-BA$2)*$H160+BA$2*$H161) + BA162*((1-BA$2)*$H162+BA$2*$H163) + BA164*((1-BA$2)*$H164+BA$2*$H165))</f>
        <v>3103.8739993394884</v>
      </c>
      <c r="BB165" s="52">
        <f t="shared" ref="BB165" si="3736">($O165*$Q165*$S165)^(1/3)/(BB160*((1-BB$2)*$H160+BB$2*$H161) + BB162*((1-BB$2)*$H162+BB$2*$H163) + BB164*((1-BB$2)*$H164+BB$2*$H165))</f>
        <v>3310.6886314916396</v>
      </c>
      <c r="BC165" s="52">
        <f t="shared" ref="BC165" si="3737">($O165*$Q165*$S165)^(1/3)/(BC160*((1-BC$2)*$H160+BC$2*$H161) + BC162*((1-BC$2)*$H162+BC$2*$H163) + BC164*((1-BC$2)*$H164+BC$2*$H165))</f>
        <v>3889.0744349895526</v>
      </c>
      <c r="BD165" s="52">
        <f t="shared" ref="BD165" si="3738">($O165*$Q165*$S165)^(1/3)/(BD160*((1-BD$2)*$H160+BD$2*$H161) + BD162*((1-BD$2)*$H162+BD$2*$H163) + BD164*((1-BD$2)*$H164+BD$2*$H165))</f>
        <v>2205.0361678147865</v>
      </c>
      <c r="BE165" s="52">
        <f t="shared" ref="BE165" si="3739">($O165*$Q165*$S165)^(1/3)/(BE160*((1-BE$2)*$H160+BE$2*$H161) + BE162*((1-BE$2)*$H162+BE$2*$H163) + BE164*((1-BE$2)*$H164+BE$2*$H165))</f>
        <v>2309.5823511664021</v>
      </c>
      <c r="BF165" s="52">
        <f t="shared" ref="BF165" si="3740">($O165*$Q165*$S165)^(1/3)/(BF160*((1-BF$2)*$H160+BF$2*$H161) + BF162*((1-BF$2)*$H162+BF$2*$H163) + BF164*((1-BF$2)*$H164+BF$2*$H165))</f>
        <v>2438.8161803710668</v>
      </c>
      <c r="BG165" s="52">
        <f t="shared" ref="BG165" si="3741">($O165*$Q165*$S165)^(1/3)/(BG160*((1-BG$2)*$H160+BG$2*$H161) + BG162*((1-BG$2)*$H162+BG$2*$H163) + BG164*((1-BG$2)*$H164+BG$2*$H165))</f>
        <v>2954.0318062679266</v>
      </c>
      <c r="BH165" s="52">
        <f t="shared" ref="BH165" si="3742">($O165*$Q165*$S165)^(1/3)/(BH160*((1-BH$2)*$H160+BH$2*$H161) + BH162*((1-BH$2)*$H162+BH$2*$H163) + BH164*((1-BH$2)*$H164+BH$2*$H165))</f>
        <v>2814.5854407907773</v>
      </c>
      <c r="BI165" s="52">
        <f t="shared" ref="BI165" si="3743">($O165*$Q165*$S165)^(1/3)/(BI160*((1-BI$2)*$H160+BI$2*$H161) + BI162*((1-BI$2)*$H162+BI$2*$H163) + BI164*((1-BI$2)*$H164+BI$2*$H165))</f>
        <v>3308.0436072853881</v>
      </c>
      <c r="BJ165" s="52">
        <f t="shared" ref="BJ165" si="3744">($O165*$Q165*$S165)^(1/3)/(BJ160*((1-BJ$2)*$H160+BJ$2*$H161) + BJ162*((1-BJ$2)*$H162+BJ$2*$H163) + BJ164*((1-BJ$2)*$H164+BJ$2*$H165))</f>
        <v>3456.8748827523091</v>
      </c>
      <c r="BK165" s="52">
        <f t="shared" ref="BK165" si="3745">($O165*$Q165*$S165)^(1/3)/(BK160*((1-BK$2)*$H160+BK$2*$H161) + BK162*((1-BK$2)*$H162+BK$2*$H163) + BK164*((1-BK$2)*$H164+BK$2*$H165))</f>
        <v>3970.7097747543839</v>
      </c>
      <c r="BL165" s="52">
        <f t="shared" ref="BL165" si="3746">($O165*$Q165*$S165)^(1/3)/(BL160*((1-BL$2)*$H160+BL$2*$H161) + BL162*((1-BL$2)*$H162+BL$2*$H163) + BL164*((1-BL$2)*$H164+BL$2*$H165))</f>
        <v>2451.6520550045984</v>
      </c>
      <c r="BM165" s="52">
        <f t="shared" ref="BM165" si="3747">($O165*$Q165*$S165)^(1/3)/(BM160*((1-BM$2)*$H160+BM$2*$H161) + BM162*((1-BM$2)*$H162+BM$2*$H163) + BM164*((1-BM$2)*$H164+BM$2*$H165))</f>
        <v>2554.5044718994991</v>
      </c>
      <c r="BN165" s="52">
        <f t="shared" ref="BN165" si="3748">($O165*$Q165*$S165)^(1/3)/(BN160*((1-BN$2)*$H160+BN$2*$H161) + BN162*((1-BN$2)*$H162+BN$2*$H163) + BN164*((1-BN$2)*$H164+BN$2*$H165))</f>
        <v>2680.1719818807464</v>
      </c>
      <c r="BO165" s="52">
        <f t="shared" ref="BO165" si="3749">($O165*$Q165*$S165)^(1/3)/(BO160*((1-BO$2)*$H160+BO$2*$H161) + BO162*((1-BO$2)*$H162+BO$2*$H163) + BO164*((1-BO$2)*$H164+BO$2*$H165))</f>
        <v>3211.4022092442169</v>
      </c>
      <c r="BP165" s="52">
        <f t="shared" ref="BP165" si="3750">($O165*$Q165*$S165)^(1/3)/(BP160*((1-BP$2)*$H160+BP$2*$H161) + BP162*((1-BP$2)*$H162+BP$2*$H163) + BP164*((1-BP$2)*$H164+BP$2*$H165))</f>
        <v>3036.5964175415497</v>
      </c>
      <c r="BQ165" s="52">
        <f t="shared" ref="BQ165" si="3751">($O165*$Q165*$S165)^(1/3)/(BQ160*((1-BQ$2)*$H160+BQ$2*$H161) + BQ162*((1-BQ$2)*$H162+BQ$2*$H163) + BQ164*((1-BQ$2)*$H164+BQ$2*$H165))</f>
        <v>3540.9645796341597</v>
      </c>
      <c r="BR165" s="52">
        <f t="shared" ref="BR165" si="3752">($O165*$Q165*$S165)^(1/3)/(BR160*((1-BR$2)*$H160+BR$2*$H161) + BR162*((1-BR$2)*$H162+BR$2*$H163) + BR164*((1-BR$2)*$H164+BR$2*$H165))</f>
        <v>3616.5674724446717</v>
      </c>
      <c r="BS165" s="52">
        <f t="shared" ref="BS165" si="3753">($O165*$Q165*$S165)^(1/3)/(BS160*((1-BS$2)*$H160+BS$2*$H161) + BS162*((1-BS$2)*$H162+BS$2*$H163) + BS164*((1-BS$2)*$H164+BS$2*$H165))</f>
        <v>4055.8458027938509</v>
      </c>
      <c r="BT165" s="52">
        <f t="shared" ref="BT165" si="3754">($O165*$Q165*$S165)^(1/3)/(BT160*((1-BT$2)*$H160+BT$2*$H161) + BT162*((1-BT$2)*$H162+BT$2*$H163) + BT164*((1-BT$2)*$H164+BT$2*$H165))</f>
        <v>2760.3786100792513</v>
      </c>
      <c r="BU165" s="52">
        <f t="shared" ref="BU165" si="3755">($O165*$Q165*$S165)^(1/3)/(BU160*((1-BU$2)*$H160+BU$2*$H161) + BU162*((1-BU$2)*$H162+BU$2*$H163) + BU164*((1-BU$2)*$H164+BU$2*$H165))</f>
        <v>2857.5347930427033</v>
      </c>
      <c r="BV165" s="52">
        <f t="shared" ref="BV165" si="3756">($O165*$Q165*$S165)^(1/3)/(BV160*((1-BV$2)*$H160+BV$2*$H161) + BV162*((1-BV$2)*$H162+BV$2*$H163) + BV164*((1-BV$2)*$H164+BV$2*$H165))</f>
        <v>2974.5459160336763</v>
      </c>
      <c r="BW165" s="52">
        <f t="shared" ref="BW165" si="3757">($O165*$Q165*$S165)^(1/3)/(BW160*((1-BW$2)*$H160+BW$2*$H161) + BW162*((1-BW$2)*$H162+BW$2*$H163) + BW164*((1-BW$2)*$H164+BW$2*$H165))</f>
        <v>3517.8996729981964</v>
      </c>
      <c r="BX165" s="52">
        <f t="shared" ref="BX165" si="3758">($O165*$Q165*$S165)^(1/3)/(BX160*((1-BX$2)*$H160+BX$2*$H161) + BX162*((1-BX$2)*$H162+BX$2*$H163) + BX164*((1-BX$2)*$H164+BX$2*$H165))</f>
        <v>3296.6305056678957</v>
      </c>
      <c r="BY165" s="52">
        <f t="shared" ref="BY165" si="3759">($O165*$Q165*$S165)^(1/3)/(BY160*((1-BY$2)*$H160+BY$2*$H161) + BY162*((1-BY$2)*$H162+BY$2*$H163) + BY164*((1-BY$2)*$H164+BY$2*$H165))</f>
        <v>3809.1701151047628</v>
      </c>
      <c r="BZ165" s="52">
        <f t="shared" ref="BZ165" si="3760">($O165*$Q165*$S165)^(1/3)/(BZ160*((1-BZ$2)*$H160+BZ$2*$H161) + BZ162*((1-BZ$2)*$H162+BZ$2*$H163) + BZ164*((1-BZ$2)*$H164+BZ$2*$H165))</f>
        <v>3791.7288599989715</v>
      </c>
      <c r="CA165" s="52">
        <f t="shared" ref="CA165" si="3761">($O165*$Q165*$S165)^(1/3)/(CA160*((1-CA$2)*$H160+CA$2*$H161) + CA162*((1-CA$2)*$H162+CA$2*$H163) + CA164*((1-CA$2)*$H164+CA$2*$H165))</f>
        <v>4144.7126277466241</v>
      </c>
      <c r="CB165" s="52">
        <f t="shared" ref="CB165" si="3762">($O165*$Q165*$S165)^(1/3)/(CB160*((1-CB$2)*$H160+CB$2*$H161) + CB162*((1-CB$2)*$H162+CB$2*$H163) + CB164*((1-CB$2)*$H164+CB$2*$H165))</f>
        <v>3158.0602742432116</v>
      </c>
      <c r="CC165" s="52">
        <f t="shared" ref="CC165" si="3763">($O165*$Q165*$S165)^(1/3)/(CC160*((1-CC$2)*$H160+CC$2*$H161) + CC162*((1-CC$2)*$H162+CC$2*$H163) + CC164*((1-CC$2)*$H164+CC$2*$H165))</f>
        <v>3242.1360045301808</v>
      </c>
      <c r="CD165" s="52">
        <f t="shared" ref="CD165" si="3764">($O165*$Q165*$S165)^(1/3)/(CD160*((1-CD$2)*$H160+CD$2*$H161) + CD162*((1-CD$2)*$H162+CD$2*$H163) + CD164*((1-CD$2)*$H164+CD$2*$H165))</f>
        <v>3341.5630591884774</v>
      </c>
      <c r="CE165" s="52">
        <f t="shared" ref="CE165" si="3765">($O165*$Q165*$S165)^(1/3)/(CE160*((1-CE$2)*$H160+CE$2*$H161) + CE162*((1-CE$2)*$H162+CE$2*$H163) + CE164*((1-CE$2)*$H164+CE$2*$H165))</f>
        <v>3889.0744349895535</v>
      </c>
      <c r="CF165" s="52">
        <f t="shared" ref="CF165" si="3766">($O165*$Q165*$S165)^(1/3)/(CF160*((1-CF$2)*$H160+CF$2*$H161) + CF162*((1-CF$2)*$H162+CF$2*$H163) + CF164*((1-CF$2)*$H164+CF$2*$H165))</f>
        <v>3605.3706691244092</v>
      </c>
      <c r="CG165" s="52">
        <f t="shared" ref="CG165" si="3767">($O165*$Q165*$S165)^(1/3)/(CG160*((1-CG$2)*$H160+CG$2*$H161) + CG162*((1-CG$2)*$H162+CG$2*$H163) + CG164*((1-CG$2)*$H164+CG$2*$H165))</f>
        <v>4121.3350183665007</v>
      </c>
      <c r="CH165" s="52">
        <f t="shared" ref="CH165" si="3768">($O165*$Q165*$S165)^(1/3)/(CH160*((1-CH$2)*$H160+CH$2*$H161) + CH162*((1-CH$2)*$H162+CH$2*$H163) + CH164*((1-CH$2)*$H164+CH$2*$H165))</f>
        <v>3984.7210474839494</v>
      </c>
      <c r="CI165" s="52">
        <f t="shared" ref="CI165" si="3769">($O165*$Q165*$S165)^(1/3)/(CI160*((1-CI$2)*$H160+CI$2*$H161) + CI162*((1-CI$2)*$H162+CI$2*$H163) + CI164*((1-CI$2)*$H164+CI$2*$H165))</f>
        <v>4237.560977492597</v>
      </c>
      <c r="CJ165" s="52">
        <f t="shared" ref="CJ165" si="3770">($O165*$Q165*$S165)^(1/3)/(CJ160*((1-CJ$2)*$H160+CJ$2*$H161) + CJ162*((1-CJ$2)*$H162+CJ$2*$H163) + CJ164*((1-CJ$2)*$H164+CJ$2*$H165))</f>
        <v>3689.6149738683062</v>
      </c>
      <c r="CK165" s="52">
        <f t="shared" ref="CK165" si="3771">($O165*$Q165*$S165)^(1/3)/(CK160*((1-CK$2)*$H160+CK$2*$H161) + CK162*((1-CK$2)*$H162+CK$2*$H163) + CK164*((1-CK$2)*$H164+CK$2*$H165))</f>
        <v>3746.3668680074293</v>
      </c>
      <c r="CL165" s="52">
        <f t="shared" ref="CL165" si="3772">($O165*$Q165*$S165)^(1/3)/(CL160*((1-CL$2)*$H160+CL$2*$H161) + CL162*((1-CL$2)*$H162+CL$2*$H163) + CL164*((1-CL$2)*$H164+CL$2*$H165))</f>
        <v>3811.8976305308806</v>
      </c>
      <c r="CM165" s="52">
        <f t="shared" ref="CM165" si="3773">($O165*$Q165*$S165)^(1/3)/(CM160*((1-CM$2)*$H160+CM$2*$H161) + CM162*((1-CM$2)*$H162+CM$2*$H163) + CM164*((1-CM$2)*$H164+CM$2*$H165))</f>
        <v>4347.8137015598977</v>
      </c>
      <c r="CN165" s="52">
        <f t="shared" ref="CN165" si="3774">($O165*$Q165*$S165)^(1/3)/(CN160*((1-CN$2)*$H160+CN$2*$H161) + CN162*((1-CN$2)*$H162+CN$2*$H163) + CN164*((1-CN$2)*$H164+CN$2*$H165))</f>
        <v>3977.9153753276996</v>
      </c>
      <c r="CO165" s="52">
        <f t="shared" ref="CO165" si="3775">($O165*$Q165*$S165)^(1/3)/(CO160*((1-CO$2)*$H160+CO$2*$H161) + CO162*((1-CO$2)*$H162+CO$2*$H163) + CO164*((1-CO$2)*$H164+CO$2*$H165))</f>
        <v>4489.2315668076008</v>
      </c>
      <c r="CP165" s="52">
        <f t="shared" ref="CP165" si="3776">($O165*$Q165*$S165)^(1/3)/(CP160*((1-CP$2)*$H160+CP$2*$H161) + CP162*((1-CP$2)*$H162+CP$2*$H163) + CP164*((1-CP$2)*$H164+CP$2*$H165))</f>
        <v>4198.4127124909746</v>
      </c>
      <c r="CQ165" s="52">
        <f t="shared" ref="CQ165" si="3777">($O165*$Q165*$S165)^(1/3)/(CQ160*((1-CQ$2)*$H160+CQ$2*$H161) + CQ162*((1-CQ$2)*$H162+CQ$2*$H163) + CQ164*((1-CQ$2)*$H164+CQ$2*$H165))</f>
        <v>4334.6645615993839</v>
      </c>
      <c r="CS165" s="50">
        <f t="shared" ref="CS165" si="3778">100*$AF165/AF165</f>
        <v>100</v>
      </c>
      <c r="CT165" s="50">
        <f t="shared" ref="CT165" si="3779">100*$AF165/AG165</f>
        <v>94.436363636363637</v>
      </c>
      <c r="CU165" s="50">
        <f t="shared" ref="CU165" si="3780">100*$AF165/AH165</f>
        <v>88.218181818181804</v>
      </c>
      <c r="CV165" s="50">
        <f t="shared" ref="CV165" si="3781">100*$AF165/AI165</f>
        <v>71.127272727272725</v>
      </c>
      <c r="CW165" s="50">
        <f t="shared" ref="CW165" si="3782">100*$AF165/AJ165</f>
        <v>73.381818181818176</v>
      </c>
      <c r="CX165" s="50">
        <f t="shared" ref="CX165" si="3783">100*$AF165/AK165</f>
        <v>61.309090909090898</v>
      </c>
      <c r="CY165" s="50">
        <f t="shared" ref="CY165" si="3784">100*$AF165/AL165</f>
        <v>55.490909090909085</v>
      </c>
      <c r="CZ165" s="50">
        <f t="shared" ref="CZ165" si="3785">100*$AF165/AM165</f>
        <v>45.345454545454537</v>
      </c>
      <c r="DA165" s="50">
        <f t="shared" ref="DA165" si="3786">100*$AF165/AN165</f>
        <v>92.272727272727266</v>
      </c>
      <c r="DB165" s="50">
        <f t="shared" ref="DB165" si="3787">100*$AF165/AO165</f>
        <v>87.404545454545456</v>
      </c>
      <c r="DC165" s="50">
        <f t="shared" ref="DC165" si="3788">100*$AF165/AP165</f>
        <v>81.963636363636382</v>
      </c>
      <c r="DD165" s="50">
        <f t="shared" ref="DD165" si="3789">100*$AF165/AQ165</f>
        <v>66.531818181818167</v>
      </c>
      <c r="DE165" s="50">
        <f t="shared" ref="DE165" si="3790">100*$AF165/AR165</f>
        <v>68.981818181818184</v>
      </c>
      <c r="DF165" s="50">
        <f t="shared" ref="DF165" si="3791">100*$AF165/AS165</f>
        <v>57.940909090909088</v>
      </c>
      <c r="DG165" s="50">
        <f t="shared" ref="DG165" si="3792">100*$AF165/AT165</f>
        <v>53.327272727272728</v>
      </c>
      <c r="DH165" s="50">
        <f t="shared" ref="DH165" si="3793">100*$AF165/AU165</f>
        <v>44.449999999999996</v>
      </c>
      <c r="DI165" s="50">
        <f t="shared" ref="DI165" si="3794">100*$AF165/AV165</f>
        <v>84.545454545454533</v>
      </c>
      <c r="DJ165" s="50">
        <f t="shared" ref="DJ165" si="3795">100*$AF165/AW165</f>
        <v>80.372727272727275</v>
      </c>
      <c r="DK165" s="50">
        <f t="shared" ref="DK165" si="3796">100*$AF165/AX165</f>
        <v>75.709090909090904</v>
      </c>
      <c r="DL165" s="50">
        <f t="shared" ref="DL165" si="3797">100*$AF165/AY165</f>
        <v>61.936363636363623</v>
      </c>
      <c r="DM165" s="50">
        <f t="shared" ref="DM165" si="3798">100*$AF165/AZ165</f>
        <v>64.581818181818164</v>
      </c>
      <c r="DN165" s="50">
        <f t="shared" ref="DN165" si="3799">100*$AF165/BA165</f>
        <v>54.572727272727263</v>
      </c>
      <c r="DO165" s="50">
        <f t="shared" ref="DO165" si="3800">100*$AF165/BB165</f>
        <v>51.163636363636364</v>
      </c>
      <c r="DP165" s="50">
        <f t="shared" ref="DP165" si="3801">100*$AF165/BC165</f>
        <v>43.554545454545455</v>
      </c>
      <c r="DQ165" s="50">
        <f t="shared" ref="DQ165" si="3802">100*$AF165/BD165</f>
        <v>76.818181818181827</v>
      </c>
      <c r="DR165" s="50">
        <f t="shared" ref="DR165" si="3803">100*$AF165/BE165</f>
        <v>73.340909090909079</v>
      </c>
      <c r="DS165" s="50">
        <f t="shared" ref="DS165" si="3804">100*$AF165/BF165</f>
        <v>69.454545454545439</v>
      </c>
      <c r="DT165" s="50">
        <f t="shared" ref="DT165" si="3805">100*$AF165/BG165</f>
        <v>57.340909090909086</v>
      </c>
      <c r="DU165" s="50">
        <f t="shared" ref="DU165" si="3806">100*$AF165/BH165</f>
        <v>60.181818181818187</v>
      </c>
      <c r="DV165" s="50">
        <f t="shared" ref="DV165" si="3807">100*$AF165/BI165</f>
        <v>51.204545454545446</v>
      </c>
      <c r="DW165" s="50">
        <f t="shared" ref="DW165" si="3808">100*$AF165/BJ165</f>
        <v>49</v>
      </c>
      <c r="DX165" s="50">
        <f t="shared" ref="DX165" si="3809">100*$AF165/BK165</f>
        <v>42.659090909090907</v>
      </c>
      <c r="DY165" s="50">
        <f t="shared" ref="DY165" si="3810">100*$AF165/BL165</f>
        <v>69.090909090909079</v>
      </c>
      <c r="DZ165" s="50">
        <f t="shared" ref="DZ165" si="3811">100*$AF165/BM165</f>
        <v>66.309090909090912</v>
      </c>
      <c r="EA165" s="50">
        <f t="shared" ref="EA165" si="3812">100*$AF165/BN165</f>
        <v>63.199999999999989</v>
      </c>
      <c r="EB165" s="50">
        <f t="shared" ref="EB165" si="3813">100*$AF165/BO165</f>
        <v>52.745454545454542</v>
      </c>
      <c r="EC165" s="50">
        <f t="shared" ref="EC165" si="3814">100*$AF165/BP165</f>
        <v>55.781818181818174</v>
      </c>
      <c r="ED165" s="50">
        <f t="shared" ref="ED165" si="3815">100*$AF165/BQ165</f>
        <v>47.836363636363629</v>
      </c>
      <c r="EE165" s="50">
        <f t="shared" ref="EE165" si="3816">100*$AF165/BR165</f>
        <v>46.836363636363629</v>
      </c>
      <c r="EF165" s="50">
        <f t="shared" ref="EF165" si="3817">100*$AF165/BS165</f>
        <v>41.763636363636351</v>
      </c>
      <c r="EG165" s="50">
        <f t="shared" ref="EG165" si="3818">100*$AF165/BT165</f>
        <v>61.363636363636367</v>
      </c>
      <c r="EH165" s="50">
        <f t="shared" ref="EH165" si="3819">100*$AF165/BU165</f>
        <v>59.277272727272724</v>
      </c>
      <c r="EI165" s="50">
        <f t="shared" ref="EI165" si="3820">100*$AF165/BV165</f>
        <v>56.945454545454538</v>
      </c>
      <c r="EJ165" s="50">
        <f t="shared" ref="EJ165" si="3821">100*$AF165/BW165</f>
        <v>48.15</v>
      </c>
      <c r="EK165" s="50">
        <f t="shared" ref="EK165" si="3822">100*$AF165/BX165</f>
        <v>51.381818181818183</v>
      </c>
      <c r="EL165" s="50">
        <f t="shared" ref="EL165" si="3823">100*$AF165/BY165</f>
        <v>44.468181818181819</v>
      </c>
      <c r="EM165" s="50">
        <f t="shared" ref="EM165" si="3824">100*$AF165/BZ165</f>
        <v>44.672727272727272</v>
      </c>
      <c r="EN165" s="50">
        <f t="shared" ref="EN165" si="3825">100*$AF165/CA165</f>
        <v>40.868181818181817</v>
      </c>
      <c r="EO165" s="50">
        <f t="shared" ref="EO165" si="3826">100*$AF165/CB165</f>
        <v>53.636363636363633</v>
      </c>
      <c r="EP165" s="50">
        <f t="shared" ref="EP165" si="3827">100*$AF165/CC165</f>
        <v>52.245454545454535</v>
      </c>
      <c r="EQ165" s="50">
        <f t="shared" ref="EQ165" si="3828">100*$AF165/CD165</f>
        <v>50.690909090909081</v>
      </c>
      <c r="ER165" s="50">
        <f t="shared" ref="ER165" si="3829">100*$AF165/CE165</f>
        <v>43.554545454545448</v>
      </c>
      <c r="ES165" s="50">
        <f t="shared" ref="ES165" si="3830">100*$AF165/CF165</f>
        <v>46.981818181818184</v>
      </c>
      <c r="ET165" s="50">
        <f t="shared" ref="ET165" si="3831">100*$AF165/CG165</f>
        <v>41.099999999999994</v>
      </c>
      <c r="EU165" s="50">
        <f t="shared" ref="EU165" si="3832">100*$AF165/CH165</f>
        <v>42.509090909090908</v>
      </c>
      <c r="EV165" s="50">
        <f t="shared" ref="EV165" si="3833">100*$AF165/CI165</f>
        <v>39.972727272727269</v>
      </c>
      <c r="EW165" s="50">
        <f t="shared" ref="EW165" si="3834">100*$AF165/CJ165</f>
        <v>45.909090909090914</v>
      </c>
      <c r="EX165" s="50">
        <f t="shared" ref="EX165" si="3835">100*$AF165/CK165</f>
        <v>45.213636363636354</v>
      </c>
      <c r="EY165" s="50">
        <f t="shared" ref="EY165" si="3836">100*$AF165/CL165</f>
        <v>44.436363636363645</v>
      </c>
      <c r="EZ165" s="50">
        <f t="shared" ref="EZ165" si="3837">100*$AF165/CM165</f>
        <v>38.959090909090918</v>
      </c>
      <c r="FA165" s="50">
        <f t="shared" ref="FA165" si="3838">100*$AF165/CN165</f>
        <v>42.581818181818186</v>
      </c>
      <c r="FB165" s="50">
        <f t="shared" ref="FB165" si="3839">100*$AF165/CO165</f>
        <v>37.731818181818184</v>
      </c>
      <c r="FC165" s="50">
        <f t="shared" ref="FC165" si="3840">100*$AF165/CP165</f>
        <v>40.345454545454551</v>
      </c>
      <c r="FD165" s="50">
        <f t="shared" ref="FD165" si="3841">100*$AF165/CQ165</f>
        <v>39.077272727272714</v>
      </c>
    </row>
    <row r="166" spans="3:160" x14ac:dyDescent="0.4">
      <c r="C166" s="1" t="s">
        <v>37</v>
      </c>
      <c r="D166" s="1" t="s">
        <v>5</v>
      </c>
      <c r="E166" s="1">
        <v>0.251</v>
      </c>
      <c r="F166" s="1">
        <v>0.14299999999999999</v>
      </c>
      <c r="G166" s="1">
        <v>0.109</v>
      </c>
      <c r="H166" s="1">
        <v>6.5000000000000002E-2</v>
      </c>
      <c r="I166" s="1">
        <v>5612</v>
      </c>
      <c r="J166" s="1">
        <v>4429</v>
      </c>
      <c r="K166" s="1">
        <v>72</v>
      </c>
      <c r="L166" s="1">
        <v>6623</v>
      </c>
      <c r="M166" s="1">
        <v>6451</v>
      </c>
      <c r="N166" s="1">
        <v>75.5</v>
      </c>
      <c r="O166" s="1">
        <v>96.5</v>
      </c>
      <c r="P166" s="1">
        <v>90.5</v>
      </c>
      <c r="Q166" s="1">
        <v>97</v>
      </c>
      <c r="R166" s="1">
        <v>51</v>
      </c>
      <c r="S166" s="1">
        <v>96</v>
      </c>
      <c r="T166" s="4">
        <v>0</v>
      </c>
      <c r="U166" s="1">
        <v>1.7030000000000001</v>
      </c>
      <c r="V166" s="1">
        <v>8.1000000000000003E-2</v>
      </c>
      <c r="W166" s="1">
        <v>4.0199999999999996</v>
      </c>
      <c r="X166" s="1">
        <f t="shared" ref="X166" si="3842">H167</f>
        <v>0.03</v>
      </c>
      <c r="Y166" s="1">
        <f t="shared" ref="Y166" si="3843">H168</f>
        <v>7.0000000000000007E-2</v>
      </c>
      <c r="Z166" s="1">
        <f t="shared" ref="Z166" si="3844">H169</f>
        <v>3.3000000000000002E-2</v>
      </c>
      <c r="AA166" s="1">
        <f t="shared" ref="AA166" si="3845">H170</f>
        <v>2.1999999999999999E-2</v>
      </c>
      <c r="AB166" s="1">
        <f t="shared" ref="AB166" si="3846">H171</f>
        <v>3.3000000000000002E-2</v>
      </c>
      <c r="AC166" s="1">
        <f t="shared" si="2917"/>
        <v>3843.5917564938845</v>
      </c>
      <c r="AE166" s="1" t="s">
        <v>96</v>
      </c>
      <c r="AF166" s="1">
        <v>1</v>
      </c>
      <c r="AG166" s="1">
        <v>0.81499999999999995</v>
      </c>
      <c r="AH166" s="1">
        <v>0.64500000000000002</v>
      </c>
      <c r="AI166" s="1">
        <v>0.39500000000000002</v>
      </c>
      <c r="AJ166" s="1">
        <v>0.36</v>
      </c>
      <c r="AK166" s="1">
        <v>0.245</v>
      </c>
      <c r="AL166" s="1">
        <v>0.14499999999999999</v>
      </c>
      <c r="AM166" s="20">
        <v>6.5000000000000002E-2</v>
      </c>
      <c r="AN166" s="1">
        <v>1</v>
      </c>
      <c r="AO166" s="1">
        <v>0.81499999999999995</v>
      </c>
      <c r="AP166" s="1">
        <v>0.64500000000000002</v>
      </c>
      <c r="AQ166" s="1">
        <v>0.39500000000000002</v>
      </c>
      <c r="AR166" s="1">
        <v>0.36</v>
      </c>
      <c r="AS166" s="1">
        <v>0.245</v>
      </c>
      <c r="AT166" s="1">
        <v>0.14499999999999999</v>
      </c>
      <c r="AU166" s="20">
        <v>6.5000000000000002E-2</v>
      </c>
      <c r="AV166" s="1">
        <v>1</v>
      </c>
      <c r="AW166" s="1">
        <v>0.81499999999999995</v>
      </c>
      <c r="AX166" s="1">
        <v>0.64500000000000002</v>
      </c>
      <c r="AY166" s="1">
        <v>0.39500000000000002</v>
      </c>
      <c r="AZ166" s="1">
        <v>0.36</v>
      </c>
      <c r="BA166" s="1">
        <v>0.245</v>
      </c>
      <c r="BB166" s="1">
        <v>0.14499999999999999</v>
      </c>
      <c r="BC166" s="20">
        <v>6.5000000000000002E-2</v>
      </c>
      <c r="BD166" s="1">
        <v>1</v>
      </c>
      <c r="BE166" s="1">
        <v>0.81499999999999995</v>
      </c>
      <c r="BF166" s="1">
        <v>0.64500000000000002</v>
      </c>
      <c r="BG166" s="1">
        <v>0.39500000000000002</v>
      </c>
      <c r="BH166" s="1">
        <v>0.36</v>
      </c>
      <c r="BI166" s="1">
        <v>0.245</v>
      </c>
      <c r="BJ166" s="1">
        <v>0.14499999999999999</v>
      </c>
      <c r="BK166" s="20">
        <v>6.5000000000000002E-2</v>
      </c>
      <c r="BL166" s="1">
        <v>1</v>
      </c>
      <c r="BM166" s="1">
        <v>0.81499999999999995</v>
      </c>
      <c r="BN166" s="1">
        <v>0.64500000000000002</v>
      </c>
      <c r="BO166" s="1">
        <v>0.39500000000000002</v>
      </c>
      <c r="BP166" s="1">
        <v>0.36</v>
      </c>
      <c r="BQ166" s="1">
        <v>0.245</v>
      </c>
      <c r="BR166" s="1">
        <v>0.14499999999999999</v>
      </c>
      <c r="BS166" s="20">
        <v>6.5000000000000002E-2</v>
      </c>
      <c r="BT166" s="1">
        <v>1</v>
      </c>
      <c r="BU166" s="1">
        <v>0.81499999999999995</v>
      </c>
      <c r="BV166" s="1">
        <v>0.64500000000000002</v>
      </c>
      <c r="BW166" s="1">
        <v>0.39500000000000002</v>
      </c>
      <c r="BX166" s="1">
        <v>0.36</v>
      </c>
      <c r="BY166" s="1">
        <v>0.245</v>
      </c>
      <c r="BZ166" s="1">
        <v>0.14499999999999999</v>
      </c>
      <c r="CA166" s="20">
        <v>6.5000000000000002E-2</v>
      </c>
      <c r="CB166" s="1">
        <v>1</v>
      </c>
      <c r="CC166" s="1">
        <v>0.81499999999999995</v>
      </c>
      <c r="CD166" s="1">
        <v>0.64500000000000002</v>
      </c>
      <c r="CE166" s="1">
        <v>0.39500000000000002</v>
      </c>
      <c r="CF166" s="1">
        <v>0.36</v>
      </c>
      <c r="CG166" s="1">
        <v>0.245</v>
      </c>
      <c r="CH166" s="1">
        <v>0.14499999999999999</v>
      </c>
      <c r="CI166" s="20">
        <v>6.5000000000000002E-2</v>
      </c>
      <c r="CJ166" s="1">
        <v>1</v>
      </c>
      <c r="CK166" s="1">
        <v>0.81499999999999995</v>
      </c>
      <c r="CL166" s="1">
        <v>0.64500000000000002</v>
      </c>
      <c r="CM166" s="1">
        <v>0.39500000000000002</v>
      </c>
      <c r="CN166" s="1">
        <v>0.36</v>
      </c>
      <c r="CO166" s="1">
        <v>0.245</v>
      </c>
      <c r="CP166" s="1">
        <v>0.14499999999999999</v>
      </c>
      <c r="CQ166" s="20">
        <v>6.5000000000000002E-2</v>
      </c>
    </row>
    <row r="167" spans="3:160" x14ac:dyDescent="0.4">
      <c r="C167" s="1" t="s">
        <v>37</v>
      </c>
      <c r="D167" s="1" t="s">
        <v>6</v>
      </c>
      <c r="E167" s="1">
        <v>0.20799999999999999</v>
      </c>
      <c r="F167" s="1">
        <v>0.1</v>
      </c>
      <c r="G167" s="1">
        <v>0.108</v>
      </c>
      <c r="H167" s="1">
        <v>0.03</v>
      </c>
      <c r="I167" s="1">
        <v>5612</v>
      </c>
      <c r="J167" s="1">
        <v>4429</v>
      </c>
      <c r="K167" s="1">
        <v>72</v>
      </c>
      <c r="L167" s="1">
        <v>6623</v>
      </c>
      <c r="M167" s="1">
        <v>6451</v>
      </c>
      <c r="N167" s="1">
        <v>75.5</v>
      </c>
      <c r="O167" s="1">
        <v>96.5</v>
      </c>
      <c r="P167" s="1">
        <v>90.5</v>
      </c>
      <c r="Q167" s="1">
        <v>97</v>
      </c>
      <c r="R167" s="1">
        <v>51</v>
      </c>
      <c r="S167" s="1">
        <v>96</v>
      </c>
      <c r="T167" s="4">
        <v>0</v>
      </c>
      <c r="U167" s="1">
        <v>1.7030000000000001</v>
      </c>
      <c r="V167" s="1">
        <v>8.1000000000000003E-2</v>
      </c>
      <c r="W167" s="1">
        <v>4.0199999999999996</v>
      </c>
      <c r="X167" s="1">
        <f t="shared" ref="X167" si="3847">H167</f>
        <v>0.03</v>
      </c>
      <c r="Y167" s="1">
        <f t="shared" ref="Y167" si="3848">H168</f>
        <v>7.0000000000000007E-2</v>
      </c>
      <c r="Z167" s="1">
        <f t="shared" ref="Z167" si="3849">H169</f>
        <v>3.3000000000000002E-2</v>
      </c>
      <c r="AA167" s="1">
        <f t="shared" ref="AA167" si="3850">H170</f>
        <v>2.1999999999999999E-2</v>
      </c>
      <c r="AB167" s="1">
        <f t="shared" ref="AB167" si="3851">H171</f>
        <v>3.3000000000000002E-2</v>
      </c>
      <c r="AC167" s="1">
        <f t="shared" si="2917"/>
        <v>3843.5917564938845</v>
      </c>
      <c r="CQ167" s="20"/>
    </row>
    <row r="168" spans="3:160" x14ac:dyDescent="0.4">
      <c r="C168" s="1" t="s">
        <v>37</v>
      </c>
      <c r="D168" s="1" t="s">
        <v>7</v>
      </c>
      <c r="E168" s="1">
        <v>0.25700000000000001</v>
      </c>
      <c r="F168" s="1">
        <v>0.14799999999999999</v>
      </c>
      <c r="G168" s="1">
        <v>0.109</v>
      </c>
      <c r="H168" s="1">
        <v>7.0000000000000007E-2</v>
      </c>
      <c r="I168" s="1">
        <v>5612</v>
      </c>
      <c r="J168" s="1">
        <v>4429</v>
      </c>
      <c r="K168" s="1">
        <v>72</v>
      </c>
      <c r="L168" s="1">
        <v>6623</v>
      </c>
      <c r="M168" s="1">
        <v>6451</v>
      </c>
      <c r="N168" s="1">
        <v>75.5</v>
      </c>
      <c r="O168" s="1">
        <v>96.5</v>
      </c>
      <c r="P168" s="1">
        <v>90.5</v>
      </c>
      <c r="Q168" s="1">
        <v>97</v>
      </c>
      <c r="R168" s="1">
        <v>51</v>
      </c>
      <c r="S168" s="1">
        <v>96</v>
      </c>
      <c r="T168" s="4">
        <v>0</v>
      </c>
      <c r="U168" s="1">
        <v>1.7030000000000001</v>
      </c>
      <c r="V168" s="1">
        <v>8.1000000000000003E-2</v>
      </c>
      <c r="W168" s="1">
        <v>4.0199999999999996</v>
      </c>
      <c r="X168" s="1">
        <f t="shared" ref="X168" si="3852">H167</f>
        <v>0.03</v>
      </c>
      <c r="Y168" s="1">
        <f t="shared" ref="Y168" si="3853">H168</f>
        <v>7.0000000000000007E-2</v>
      </c>
      <c r="Z168" s="1">
        <f t="shared" ref="Z168" si="3854">H169</f>
        <v>3.3000000000000002E-2</v>
      </c>
      <c r="AA168" s="1">
        <f t="shared" ref="AA168" si="3855">H170</f>
        <v>2.1999999999999999E-2</v>
      </c>
      <c r="AB168" s="1">
        <f t="shared" ref="AB168" si="3856">H171</f>
        <v>3.3000000000000002E-2</v>
      </c>
      <c r="AC168" s="1">
        <f t="shared" si="2917"/>
        <v>3843.5917564938845</v>
      </c>
      <c r="AE168" s="1" t="s">
        <v>97</v>
      </c>
      <c r="AF168" s="1">
        <v>0</v>
      </c>
      <c r="AG168" s="1">
        <v>0.12</v>
      </c>
      <c r="AH168" s="1">
        <v>0.21</v>
      </c>
      <c r="AI168" s="1">
        <v>0.26</v>
      </c>
      <c r="AJ168" s="1">
        <v>0.28000000000000003</v>
      </c>
      <c r="AK168" s="1">
        <v>0.26</v>
      </c>
      <c r="AL168" s="1">
        <v>0.21</v>
      </c>
      <c r="AM168" s="20">
        <v>0.12</v>
      </c>
      <c r="AN168" s="1">
        <v>0</v>
      </c>
      <c r="AO168" s="1">
        <v>0.12</v>
      </c>
      <c r="AP168" s="1">
        <v>0.21</v>
      </c>
      <c r="AQ168" s="1">
        <v>0.26</v>
      </c>
      <c r="AR168" s="1">
        <v>0.28000000000000003</v>
      </c>
      <c r="AS168" s="1">
        <v>0.26</v>
      </c>
      <c r="AT168" s="1">
        <v>0.21</v>
      </c>
      <c r="AU168" s="20">
        <v>0.12</v>
      </c>
      <c r="AV168" s="1">
        <v>0</v>
      </c>
      <c r="AW168" s="1">
        <v>0.12</v>
      </c>
      <c r="AX168" s="1">
        <v>0.21</v>
      </c>
      <c r="AY168" s="1">
        <v>0.26</v>
      </c>
      <c r="AZ168" s="1">
        <v>0.28000000000000003</v>
      </c>
      <c r="BA168" s="1">
        <v>0.26</v>
      </c>
      <c r="BB168" s="1">
        <v>0.21</v>
      </c>
      <c r="BC168" s="20">
        <v>0.12</v>
      </c>
      <c r="BD168" s="1">
        <v>0</v>
      </c>
      <c r="BE168" s="1">
        <v>0.12</v>
      </c>
      <c r="BF168" s="1">
        <v>0.21</v>
      </c>
      <c r="BG168" s="1">
        <v>0.26</v>
      </c>
      <c r="BH168" s="1">
        <v>0.28000000000000003</v>
      </c>
      <c r="BI168" s="1">
        <v>0.26</v>
      </c>
      <c r="BJ168" s="1">
        <v>0.21</v>
      </c>
      <c r="BK168" s="20">
        <v>0.12</v>
      </c>
      <c r="BL168" s="1">
        <v>0</v>
      </c>
      <c r="BM168" s="1">
        <v>0.12</v>
      </c>
      <c r="BN168" s="1">
        <v>0.21</v>
      </c>
      <c r="BO168" s="1">
        <v>0.26</v>
      </c>
      <c r="BP168" s="1">
        <v>0.28000000000000003</v>
      </c>
      <c r="BQ168" s="1">
        <v>0.26</v>
      </c>
      <c r="BR168" s="1">
        <v>0.21</v>
      </c>
      <c r="BS168" s="20">
        <v>0.12</v>
      </c>
      <c r="BT168" s="1">
        <v>0</v>
      </c>
      <c r="BU168" s="1">
        <v>0.12</v>
      </c>
      <c r="BV168" s="1">
        <v>0.21</v>
      </c>
      <c r="BW168" s="1">
        <v>0.26</v>
      </c>
      <c r="BX168" s="1">
        <v>0.28000000000000003</v>
      </c>
      <c r="BY168" s="1">
        <v>0.26</v>
      </c>
      <c r="BZ168" s="1">
        <v>0.21</v>
      </c>
      <c r="CA168" s="20">
        <v>0.12</v>
      </c>
      <c r="CB168" s="1">
        <v>0</v>
      </c>
      <c r="CC168" s="1">
        <v>0.12</v>
      </c>
      <c r="CD168" s="1">
        <v>0.21</v>
      </c>
      <c r="CE168" s="1">
        <v>0.26</v>
      </c>
      <c r="CF168" s="1">
        <v>0.28000000000000003</v>
      </c>
      <c r="CG168" s="1">
        <v>0.26</v>
      </c>
      <c r="CH168" s="1">
        <v>0.21</v>
      </c>
      <c r="CI168" s="20">
        <v>0.12</v>
      </c>
      <c r="CJ168" s="1">
        <v>0</v>
      </c>
      <c r="CK168" s="1">
        <v>0.12</v>
      </c>
      <c r="CL168" s="1">
        <v>0.21</v>
      </c>
      <c r="CM168" s="1">
        <v>0.26</v>
      </c>
      <c r="CN168" s="1">
        <v>0.28000000000000003</v>
      </c>
      <c r="CO168" s="1">
        <v>0.26</v>
      </c>
      <c r="CP168" s="1">
        <v>0.21</v>
      </c>
      <c r="CQ168" s="20">
        <v>0.12</v>
      </c>
    </row>
    <row r="169" spans="3:160" x14ac:dyDescent="0.4">
      <c r="C169" s="1" t="s">
        <v>37</v>
      </c>
      <c r="D169" s="1" t="s">
        <v>8</v>
      </c>
      <c r="E169" s="1">
        <v>0.21099999999999999</v>
      </c>
      <c r="F169" s="1">
        <v>0.10299999999999999</v>
      </c>
      <c r="G169" s="1">
        <v>0.108</v>
      </c>
      <c r="H169" s="1">
        <v>3.3000000000000002E-2</v>
      </c>
      <c r="I169" s="1">
        <v>5612</v>
      </c>
      <c r="J169" s="1">
        <v>4429</v>
      </c>
      <c r="K169" s="1">
        <v>72</v>
      </c>
      <c r="L169" s="1">
        <v>6623</v>
      </c>
      <c r="M169" s="1">
        <v>6451</v>
      </c>
      <c r="N169" s="1">
        <v>75.5</v>
      </c>
      <c r="O169" s="1">
        <v>96.5</v>
      </c>
      <c r="P169" s="1">
        <v>90.5</v>
      </c>
      <c r="Q169" s="1">
        <v>97</v>
      </c>
      <c r="R169" s="1">
        <v>51</v>
      </c>
      <c r="S169" s="1">
        <v>96</v>
      </c>
      <c r="T169" s="4">
        <v>0</v>
      </c>
      <c r="U169" s="1">
        <v>1.7030000000000001</v>
      </c>
      <c r="V169" s="1">
        <v>8.1000000000000003E-2</v>
      </c>
      <c r="W169" s="1">
        <v>4.0199999999999996</v>
      </c>
      <c r="X169" s="1">
        <f t="shared" ref="X169" si="3857">H167</f>
        <v>0.03</v>
      </c>
      <c r="Y169" s="1">
        <f t="shared" ref="Y169" si="3858">H168</f>
        <v>7.0000000000000007E-2</v>
      </c>
      <c r="Z169" s="1">
        <f t="shared" ref="Z169" si="3859">H169</f>
        <v>3.3000000000000002E-2</v>
      </c>
      <c r="AA169" s="1">
        <f t="shared" ref="AA169" si="3860">H170</f>
        <v>2.1999999999999999E-2</v>
      </c>
      <c r="AB169" s="1">
        <f t="shared" ref="AB169" si="3861">H171</f>
        <v>3.3000000000000002E-2</v>
      </c>
      <c r="AC169" s="1">
        <f t="shared" si="2917"/>
        <v>3843.5917564938845</v>
      </c>
      <c r="CQ169" s="20"/>
    </row>
    <row r="170" spans="3:160" x14ac:dyDescent="0.4">
      <c r="C170" s="1" t="s">
        <v>37</v>
      </c>
      <c r="D170" s="1" t="s">
        <v>9</v>
      </c>
      <c r="E170" s="1">
        <v>0.19900000000000001</v>
      </c>
      <c r="F170" s="1">
        <v>9.1999999999999998E-2</v>
      </c>
      <c r="G170" s="1">
        <v>0.108</v>
      </c>
      <c r="H170" s="1">
        <v>2.1999999999999999E-2</v>
      </c>
      <c r="I170" s="1">
        <v>5612</v>
      </c>
      <c r="J170" s="1">
        <v>4429</v>
      </c>
      <c r="K170" s="1">
        <v>72</v>
      </c>
      <c r="L170" s="1">
        <v>6623</v>
      </c>
      <c r="M170" s="1">
        <v>6451</v>
      </c>
      <c r="N170" s="1">
        <v>75.5</v>
      </c>
      <c r="O170" s="1">
        <v>96.5</v>
      </c>
      <c r="P170" s="1">
        <v>90.5</v>
      </c>
      <c r="Q170" s="1">
        <v>97</v>
      </c>
      <c r="R170" s="1">
        <v>51</v>
      </c>
      <c r="S170" s="1">
        <v>96</v>
      </c>
      <c r="T170" s="4">
        <v>0</v>
      </c>
      <c r="U170" s="1">
        <v>1.7030000000000001</v>
      </c>
      <c r="V170" s="1">
        <v>8.1000000000000003E-2</v>
      </c>
      <c r="W170" s="1">
        <v>4.0199999999999996</v>
      </c>
      <c r="X170" s="1">
        <f t="shared" ref="X170" si="3862">H167</f>
        <v>0.03</v>
      </c>
      <c r="Y170" s="1">
        <f t="shared" ref="Y170" si="3863">H168</f>
        <v>7.0000000000000007E-2</v>
      </c>
      <c r="Z170" s="1">
        <f t="shared" ref="Z170" si="3864">H169</f>
        <v>3.3000000000000002E-2</v>
      </c>
      <c r="AA170" s="1">
        <f t="shared" ref="AA170" si="3865">H170</f>
        <v>2.1999999999999999E-2</v>
      </c>
      <c r="AB170" s="1">
        <f t="shared" ref="AB170" si="3866">H171</f>
        <v>3.3000000000000002E-2</v>
      </c>
      <c r="AC170" s="1">
        <f t="shared" si="2917"/>
        <v>3843.5917564938845</v>
      </c>
      <c r="AE170" s="1" t="s">
        <v>98</v>
      </c>
      <c r="AF170" s="1">
        <v>0</v>
      </c>
      <c r="AG170" s="1">
        <v>6.5000000000000002E-2</v>
      </c>
      <c r="AH170" s="1">
        <v>0.14499999999999999</v>
      </c>
      <c r="AI170" s="1">
        <v>0.245</v>
      </c>
      <c r="AJ170" s="1">
        <v>0.36</v>
      </c>
      <c r="AK170" s="1">
        <v>0.39500000000000002</v>
      </c>
      <c r="AL170" s="1">
        <v>0.64500000000000002</v>
      </c>
      <c r="AM170" s="20">
        <v>0.81499999999999995</v>
      </c>
      <c r="AN170" s="1">
        <v>0</v>
      </c>
      <c r="AO170" s="1">
        <v>6.5000000000000002E-2</v>
      </c>
      <c r="AP170" s="1">
        <v>0.14499999999999999</v>
      </c>
      <c r="AQ170" s="1">
        <v>0.245</v>
      </c>
      <c r="AR170" s="1">
        <v>0.36</v>
      </c>
      <c r="AS170" s="1">
        <v>0.39500000000000002</v>
      </c>
      <c r="AT170" s="1">
        <v>0.64500000000000002</v>
      </c>
      <c r="AU170" s="20">
        <v>0.81499999999999995</v>
      </c>
      <c r="AV170" s="1">
        <v>0</v>
      </c>
      <c r="AW170" s="1">
        <v>6.5000000000000002E-2</v>
      </c>
      <c r="AX170" s="1">
        <v>0.14499999999999999</v>
      </c>
      <c r="AY170" s="1">
        <v>0.245</v>
      </c>
      <c r="AZ170" s="1">
        <v>0.36</v>
      </c>
      <c r="BA170" s="1">
        <v>0.39500000000000002</v>
      </c>
      <c r="BB170" s="1">
        <v>0.64500000000000002</v>
      </c>
      <c r="BC170" s="20">
        <v>0.81499999999999995</v>
      </c>
      <c r="BD170" s="1">
        <v>0</v>
      </c>
      <c r="BE170" s="1">
        <v>6.5000000000000002E-2</v>
      </c>
      <c r="BF170" s="1">
        <v>0.14499999999999999</v>
      </c>
      <c r="BG170" s="1">
        <v>0.245</v>
      </c>
      <c r="BH170" s="1">
        <v>0.36</v>
      </c>
      <c r="BI170" s="1">
        <v>0.39500000000000002</v>
      </c>
      <c r="BJ170" s="1">
        <v>0.64500000000000002</v>
      </c>
      <c r="BK170" s="20">
        <v>0.81499999999999995</v>
      </c>
      <c r="BL170" s="1">
        <v>0</v>
      </c>
      <c r="BM170" s="1">
        <v>6.5000000000000002E-2</v>
      </c>
      <c r="BN170" s="1">
        <v>0.14499999999999999</v>
      </c>
      <c r="BO170" s="1">
        <v>0.245</v>
      </c>
      <c r="BP170" s="1">
        <v>0.36</v>
      </c>
      <c r="BQ170" s="1">
        <v>0.39500000000000002</v>
      </c>
      <c r="BR170" s="1">
        <v>0.64500000000000002</v>
      </c>
      <c r="BS170" s="20">
        <v>0.81499999999999995</v>
      </c>
      <c r="BT170" s="1">
        <v>0</v>
      </c>
      <c r="BU170" s="1">
        <v>6.5000000000000002E-2</v>
      </c>
      <c r="BV170" s="1">
        <v>0.14499999999999999</v>
      </c>
      <c r="BW170" s="1">
        <v>0.245</v>
      </c>
      <c r="BX170" s="1">
        <v>0.36</v>
      </c>
      <c r="BY170" s="1">
        <v>0.39500000000000002</v>
      </c>
      <c r="BZ170" s="1">
        <v>0.64500000000000002</v>
      </c>
      <c r="CA170" s="20">
        <v>0.81499999999999995</v>
      </c>
      <c r="CB170" s="1">
        <v>0</v>
      </c>
      <c r="CC170" s="1">
        <v>6.5000000000000002E-2</v>
      </c>
      <c r="CD170" s="1">
        <v>0.14499999999999999</v>
      </c>
      <c r="CE170" s="1">
        <v>0.245</v>
      </c>
      <c r="CF170" s="1">
        <v>0.36</v>
      </c>
      <c r="CG170" s="1">
        <v>0.39500000000000002</v>
      </c>
      <c r="CH170" s="1">
        <v>0.64500000000000002</v>
      </c>
      <c r="CI170" s="20">
        <v>0.81499999999999995</v>
      </c>
      <c r="CJ170" s="1">
        <v>0</v>
      </c>
      <c r="CK170" s="1">
        <v>6.5000000000000002E-2</v>
      </c>
      <c r="CL170" s="1">
        <v>0.14499999999999999</v>
      </c>
      <c r="CM170" s="1">
        <v>0.245</v>
      </c>
      <c r="CN170" s="1">
        <v>0.36</v>
      </c>
      <c r="CO170" s="1">
        <v>0.39500000000000002</v>
      </c>
      <c r="CP170" s="1">
        <v>0.64500000000000002</v>
      </c>
      <c r="CQ170" s="20">
        <v>0.81499999999999995</v>
      </c>
    </row>
    <row r="171" spans="3:160" s="2" customFormat="1" x14ac:dyDescent="0.4">
      <c r="C171" s="2" t="s">
        <v>37</v>
      </c>
      <c r="D171" s="2" t="s">
        <v>10</v>
      </c>
      <c r="E171" s="2">
        <v>0.21099999999999999</v>
      </c>
      <c r="F171" s="2">
        <v>0.10299999999999999</v>
      </c>
      <c r="G171" s="2">
        <v>0.108</v>
      </c>
      <c r="H171" s="2">
        <v>3.3000000000000002E-2</v>
      </c>
      <c r="I171" s="2">
        <v>5612</v>
      </c>
      <c r="J171" s="2">
        <v>4429</v>
      </c>
      <c r="K171" s="2">
        <v>72</v>
      </c>
      <c r="L171" s="2">
        <v>6623</v>
      </c>
      <c r="M171" s="2">
        <v>6451</v>
      </c>
      <c r="N171" s="2">
        <v>75.5</v>
      </c>
      <c r="O171" s="2">
        <v>96.5</v>
      </c>
      <c r="P171" s="2">
        <v>90.5</v>
      </c>
      <c r="Q171" s="2">
        <v>97</v>
      </c>
      <c r="R171" s="2">
        <v>51</v>
      </c>
      <c r="S171" s="2">
        <v>96</v>
      </c>
      <c r="T171" s="6">
        <f t="shared" si="2606"/>
        <v>5558.8737980276637</v>
      </c>
      <c r="U171" s="2">
        <v>1.7030000000000001</v>
      </c>
      <c r="V171" s="2">
        <v>8.1000000000000003E-2</v>
      </c>
      <c r="W171" s="2">
        <v>4.0199999999999996</v>
      </c>
      <c r="X171" s="2">
        <f t="shared" ref="X171" si="3867">H167</f>
        <v>0.03</v>
      </c>
      <c r="Y171" s="2">
        <f t="shared" ref="Y171" si="3868">H168</f>
        <v>7.0000000000000007E-2</v>
      </c>
      <c r="Z171" s="2">
        <f t="shared" ref="Z171" si="3869">H169</f>
        <v>3.3000000000000002E-2</v>
      </c>
      <c r="AA171" s="2">
        <f t="shared" ref="AA171" si="3870">H170</f>
        <v>2.1999999999999999E-2</v>
      </c>
      <c r="AB171" s="2">
        <f t="shared" ref="AB171" si="3871">H171</f>
        <v>3.3000000000000002E-2</v>
      </c>
      <c r="AC171" s="1">
        <f t="shared" si="2917"/>
        <v>3843.5917564938845</v>
      </c>
      <c r="AE171" s="2" t="s">
        <v>99</v>
      </c>
      <c r="AF171" s="23">
        <f>($O171*$Q171*$S171)^(1/3)/(AF166*((1-AF$2)*$H166+AF$2*$H167) + AF168*((1-AF$2)*$H168+AF$2*$H169) + AF170*((1-AF$2)*$H170+AF$2*$H171))</f>
        <v>1484.6020989909803</v>
      </c>
      <c r="AG171" s="23">
        <f t="shared" ref="AG171" si="3872">($O171*$Q171*$S171)^(1/3)/(AG166*((1-AG$2)*$H166+AG$2*$H167) + AG168*((1-AG$2)*$H168+AG$2*$H169) + AG170*((1-AG$2)*$H170+AG$2*$H171))</f>
        <v>1536.4881209205273</v>
      </c>
      <c r="AH171" s="23">
        <f t="shared" ref="AH171" si="3873">($O171*$Q171*$S171)^(1/3)/(AH166*((1-AH$2)*$H166+AH$2*$H167) + AH168*((1-AH$2)*$H168+AH$2*$H169) + AH170*((1-AH$2)*$H170+AH$2*$H171))</f>
        <v>1613.2932614630729</v>
      </c>
      <c r="AI171" s="23">
        <f t="shared" ref="AI171" si="3874">($O171*$Q171*$S171)^(1/3)/(AI166*((1-AI$2)*$H166+AI$2*$H167) + AI168*((1-AI$2)*$H168+AI$2*$H169) + AI170*((1-AI$2)*$H170+AI$2*$H171))</f>
        <v>1958.7767468672223</v>
      </c>
      <c r="AJ171" s="23">
        <f t="shared" ref="AJ171" si="3875">($O171*$Q171*$S171)^(1/3)/(AJ166*((1-AJ$2)*$H166+AJ$2*$H167) + AJ168*((1-AJ$2)*$H168+AJ$2*$H169) + AJ170*((1-AJ$2)*$H170+AJ$2*$H171))</f>
        <v>1895.1126558211645</v>
      </c>
      <c r="AK171" s="23">
        <f t="shared" ref="AK171" si="3876">($O171*$Q171*$S171)^(1/3)/(AK166*((1-AK$2)*$H166+AK$2*$H167) + AK168*((1-AK$2)*$H168+AK$2*$H169) + AK170*((1-AK$2)*$H170+AK$2*$H171))</f>
        <v>2253.8628152379702</v>
      </c>
      <c r="AL171" s="23">
        <f t="shared" ref="AL171" si="3877">($O171*$Q171*$S171)^(1/3)/(AL166*((1-AL$2)*$H166+AL$2*$H167) + AL168*((1-AL$2)*$H168+AL$2*$H169) + AL170*((1-AL$2)*$H170+AL$2*$H171))</f>
        <v>2518.5733116119982</v>
      </c>
      <c r="AM171" s="23">
        <f t="shared" ref="AM171" si="3878">($O171*$Q171*$S171)^(1/3)/(AM166*((1-AM$2)*$H166+AM$2*$H167) + AM168*((1-AM$2)*$H168+AM$2*$H169) + AM170*((1-AM$2)*$H170+AM$2*$H171))</f>
        <v>3158.2109780531409</v>
      </c>
      <c r="AN171" s="23">
        <f t="shared" ref="AN171" si="3879">($O171*$Q171*$S171)^(1/3)/(AN166*((1-AN$2)*$H166+AN$2*$H167) + AN168*((1-AN$2)*$H168+AN$2*$H169) + AN170*((1-AN$2)*$H170+AN$2*$H171))</f>
        <v>1591.7383329387831</v>
      </c>
      <c r="AO171" s="23">
        <f t="shared" ref="AO171" si="3880">($O171*$Q171*$S171)^(1/3)/(AO166*((1-AO$2)*$H166+AO$2*$H167) + AO168*((1-AO$2)*$H168+AO$2*$H169) + AO170*((1-AO$2)*$H170+AO$2*$H171))</f>
        <v>1641.8747558972111</v>
      </c>
      <c r="AP171" s="23">
        <f t="shared" ref="AP171" si="3881">($O171*$Q171*$S171)^(1/3)/(AP166*((1-AP$2)*$H166+AP$2*$H167) + AP168*((1-AP$2)*$H168+AP$2*$H169) + AP170*((1-AP$2)*$H170+AP$2*$H171))</f>
        <v>1716.417483325499</v>
      </c>
      <c r="AQ171" s="23">
        <f t="shared" ref="AQ171" si="3882">($O171*$Q171*$S171)^(1/3)/(AQ166*((1-AQ$2)*$H166+AQ$2*$H167) + AQ168*((1-AQ$2)*$H168+AQ$2*$H169) + AQ170*((1-AQ$2)*$H170+AQ$2*$H171))</f>
        <v>2067.6355665300093</v>
      </c>
      <c r="AR171" s="23">
        <f t="shared" ref="AR171" si="3883">($O171*$Q171*$S171)^(1/3)/(AR166*((1-AR$2)*$H166+AR$2*$H167) + AR168*((1-AR$2)*$H168+AR$2*$H169) + AR170*((1-AR$2)*$H170+AR$2*$H171))</f>
        <v>1987.8285391783647</v>
      </c>
      <c r="AS171" s="23">
        <f t="shared" ref="AS171" si="3884">($O171*$Q171*$S171)^(1/3)/(AS166*((1-AS$2)*$H166+AS$2*$H167) + AS168*((1-AS$2)*$H168+AS$2*$H169) + AS170*((1-AS$2)*$H170+AS$2*$H171))</f>
        <v>2348.8395395847192</v>
      </c>
      <c r="AT171" s="23">
        <f t="shared" ref="AT171" si="3885">($O171*$Q171*$S171)^(1/3)/(AT166*((1-AT$2)*$H166+AT$2*$H167) + AT168*((1-AT$2)*$H168+AT$2*$H169) + AT170*((1-AT$2)*$H170+AT$2*$H171))</f>
        <v>2566.7223841317609</v>
      </c>
      <c r="AU171" s="23">
        <f t="shared" ref="AU171" si="3886">($O171*$Q171*$S171)^(1/3)/(AU166*((1-AU$2)*$H166+AU$2*$H167) + AU168*((1-AU$2)*$H168+AU$2*$H169) + AU170*((1-AU$2)*$H170+AU$2*$H171))</f>
        <v>3129.4056973339407</v>
      </c>
      <c r="AV171" s="23">
        <f t="shared" ref="AV171" si="3887">($O171*$Q171*$S171)^(1/3)/(AV166*((1-AV$2)*$H166+AV$2*$H167) + AV168*((1-AV$2)*$H168+AV$2*$H169) + AV170*((1-AV$2)*$H170+AV$2*$H171))</f>
        <v>1715.5402032784659</v>
      </c>
      <c r="AW171" s="23">
        <f t="shared" ref="AW171" si="3888">($O171*$Q171*$S171)^(1/3)/(AW166*((1-AW$2)*$H166+AW$2*$H167) + AW168*((1-AW$2)*$H168+AW$2*$H169) + AW170*((1-AW$2)*$H170+AW$2*$H171))</f>
        <v>1762.7827818315518</v>
      </c>
      <c r="AX171" s="23">
        <f t="shared" ref="AX171" si="3889">($O171*$Q171*$S171)^(1/3)/(AX166*((1-AX$2)*$H166+AX$2*$H167) + AX168*((1-AX$2)*$H168+AX$2*$H169) + AX170*((1-AX$2)*$H170+AX$2*$H171))</f>
        <v>1833.6256982454743</v>
      </c>
      <c r="AY171" s="23">
        <f t="shared" ref="AY171" si="3890">($O171*$Q171*$S171)^(1/3)/(AY166*((1-AY$2)*$H166+AY$2*$H167) + AY168*((1-AY$2)*$H168+AY$2*$H169) + AY170*((1-AY$2)*$H170+AY$2*$H171))</f>
        <v>2189.3060276652191</v>
      </c>
      <c r="AZ171" s="23">
        <f t="shared" ref="AZ171" si="3891">($O171*$Q171*$S171)^(1/3)/(AZ166*((1-AZ$2)*$H166+AZ$2*$H167) + AZ168*((1-AZ$2)*$H168+AZ$2*$H169) + AZ170*((1-AZ$2)*$H170+AZ$2*$H171))</f>
        <v>2090.0830936628486</v>
      </c>
      <c r="BA171" s="23">
        <f t="shared" ref="BA171" si="3892">($O171*$Q171*$S171)^(1/3)/(BA166*((1-BA$2)*$H166+BA$2*$H167) + BA168*((1-BA$2)*$H168+BA$2*$H169) + BA170*((1-BA$2)*$H170+BA$2*$H171))</f>
        <v>2452.1729606610434</v>
      </c>
      <c r="BB171" s="23">
        <f t="shared" ref="BB171" si="3893">($O171*$Q171*$S171)^(1/3)/(BB166*((1-BB$2)*$H166+BB$2*$H167) + BB168*((1-BB$2)*$H168+BB$2*$H169) + BB170*((1-BB$2)*$H170+BB$2*$H171))</f>
        <v>2616.7483271483611</v>
      </c>
      <c r="BC171" s="23">
        <f t="shared" ref="BC171" si="3894">($O171*$Q171*$S171)^(1/3)/(BC166*((1-BC$2)*$H166+BC$2*$H167) + BC168*((1-BC$2)*$H168+BC$2*$H169) + BC170*((1-BC$2)*$H170+BC$2*$H171))</f>
        <v>3101.1211194476973</v>
      </c>
      <c r="BD171" s="23">
        <f t="shared" ref="BD171" si="3895">($O171*$Q171*$S171)^(1/3)/(BD166*((1-BD$2)*$H166+BD$2*$H167) + BD168*((1-BD$2)*$H168+BD$2*$H169) + BD170*((1-BD$2)*$H170+BD$2*$H171))</f>
        <v>1860.2243168079751</v>
      </c>
      <c r="BE171" s="23">
        <f t="shared" ref="BE171" si="3896">($O171*$Q171*$S171)^(1/3)/(BE166*((1-BE$2)*$H166+BE$2*$H167) + BE168*((1-BE$2)*$H168+BE$2*$H169) + BE170*((1-BE$2)*$H170+BE$2*$H171))</f>
        <v>1902.9137801654213</v>
      </c>
      <c r="BF171" s="23">
        <f t="shared" ref="BF171" si="3897">($O171*$Q171*$S171)^(1/3)/(BF166*((1-BF$2)*$H166+BF$2*$H167) + BF168*((1-BF$2)*$H168+BF$2*$H169) + BF170*((1-BF$2)*$H170+BF$2*$H171))</f>
        <v>1968.0146110467524</v>
      </c>
      <c r="BG171" s="23">
        <f t="shared" ref="BG171" si="3898">($O171*$Q171*$S171)^(1/3)/(BG166*((1-BG$2)*$H166+BG$2*$H167) + BG168*((1-BG$2)*$H168+BG$2*$H169) + BG170*((1-BG$2)*$H170+BG$2*$H171))</f>
        <v>2326.1912540311255</v>
      </c>
      <c r="BH171" s="23">
        <f t="shared" ref="BH171" si="3899">($O171*$Q171*$S171)^(1/3)/(BH166*((1-BH$2)*$H166+BH$2*$H167) + BH168*((1-BH$2)*$H168+BH$2*$H169) + BH170*((1-BH$2)*$H170+BH$2*$H171))</f>
        <v>2203.4281638181005</v>
      </c>
      <c r="BI171" s="23">
        <f t="shared" ref="BI171" si="3900">($O171*$Q171*$S171)^(1/3)/(BI166*((1-BI$2)*$H166+BI$2*$H167) + BI168*((1-BI$2)*$H168+BI$2*$H169) + BI170*((1-BI$2)*$H170+BI$2*$H171))</f>
        <v>2565.0167507569181</v>
      </c>
      <c r="BJ171" s="23">
        <f t="shared" ref="BJ171" si="3901">($O171*$Q171*$S171)^(1/3)/(BJ166*((1-BJ$2)*$H166+BJ$2*$H167) + BJ168*((1-BJ$2)*$H168+BJ$2*$H169) + BJ170*((1-BJ$2)*$H170+BJ$2*$H171))</f>
        <v>2668.7630638341675</v>
      </c>
      <c r="BK171" s="23">
        <f t="shared" ref="BK171" si="3902">($O171*$Q171*$S171)^(1/3)/(BK166*((1-BK$2)*$H166+BK$2*$H167) + BK168*((1-BK$2)*$H168+BK$2*$H169) + BK170*((1-BK$2)*$H170+BK$2*$H171))</f>
        <v>3073.3432520216156</v>
      </c>
      <c r="BL171" s="23">
        <f t="shared" ref="BL171" si="3903">($O171*$Q171*$S171)^(1/3)/(BL166*((1-BL$2)*$H166+BL$2*$H167) + BL168*((1-BL$2)*$H168+BL$2*$H169) + BL170*((1-BL$2)*$H170+BL$2*$H171))</f>
        <v>2031.5607670402887</v>
      </c>
      <c r="BM171" s="23">
        <f t="shared" ref="BM171" si="3904">($O171*$Q171*$S171)^(1/3)/(BM166*((1-BM$2)*$H166+BM$2*$H167) + BM168*((1-BM$2)*$H168+BM$2*$H169) + BM170*((1-BM$2)*$H170+BM$2*$H171))</f>
        <v>2067.2479955958383</v>
      </c>
      <c r="BN171" s="23">
        <f t="shared" ref="BN171" si="3905">($O171*$Q171*$S171)^(1/3)/(BN166*((1-BN$2)*$H166+BN$2*$H167) + BN168*((1-BN$2)*$H168+BN$2*$H169) + BN170*((1-BN$2)*$H170+BN$2*$H171))</f>
        <v>2123.6605729404428</v>
      </c>
      <c r="BO171" s="23">
        <f t="shared" ref="BO171" si="3906">($O171*$Q171*$S171)^(1/3)/(BO166*((1-BO$2)*$H166+BO$2*$H167) + BO168*((1-BO$2)*$H168+BO$2*$H169) + BO170*((1-BO$2)*$H170+BO$2*$H171))</f>
        <v>2481.3354701572052</v>
      </c>
      <c r="BP171" s="23">
        <f t="shared" ref="BP171" si="3907">($O171*$Q171*$S171)^(1/3)/(BP166*((1-BP$2)*$H166+BP$2*$H167) + BP168*((1-BP$2)*$H168+BP$2*$H169) + BP170*((1-BP$2)*$H170+BP$2*$H171))</f>
        <v>2329.7715218351932</v>
      </c>
      <c r="BQ171" s="23">
        <f t="shared" ref="BQ171" si="3908">($O171*$Q171*$S171)^(1/3)/(BQ166*((1-BQ$2)*$H166+BQ$2*$H167) + BQ168*((1-BQ$2)*$H168+BQ$2*$H169) + BQ170*((1-BQ$2)*$H170+BQ$2*$H171))</f>
        <v>2688.7471840182138</v>
      </c>
      <c r="BR171" s="23">
        <f t="shared" ref="BR171" si="3909">($O171*$Q171*$S171)^(1/3)/(BR166*((1-BR$2)*$H166+BR$2*$H167) + BR168*((1-BR$2)*$H168+BR$2*$H169) + BR170*((1-BR$2)*$H170+BR$2*$H171))</f>
        <v>2722.8875969078363</v>
      </c>
      <c r="BS171" s="23">
        <f t="shared" ref="BS171" si="3910">($O171*$Q171*$S171)^(1/3)/(BS166*((1-BS$2)*$H166+BS$2*$H167) + BS168*((1-BS$2)*$H168+BS$2*$H169) + BS170*((1-BS$2)*$H170+BS$2*$H171))</f>
        <v>3046.0585995711399</v>
      </c>
      <c r="BT171" s="23">
        <f t="shared" ref="BT171" si="3911">($O171*$Q171*$S171)^(1/3)/(BT166*((1-BT$2)*$H166+BT$2*$H167) + BT168*((1-BT$2)*$H168+BT$2*$H169) + BT170*((1-BT$2)*$H170+BT$2*$H171))</f>
        <v>2237.6611347110429</v>
      </c>
      <c r="BU171" s="23">
        <f t="shared" ref="BU171" si="3912">($O171*$Q171*$S171)^(1/3)/(BU166*((1-BU$2)*$H166+BU$2*$H167) + BU168*((1-BU$2)*$H168+BU$2*$H169) + BU170*((1-BU$2)*$H170+BU$2*$H171))</f>
        <v>2262.6486458434006</v>
      </c>
      <c r="BV171" s="23">
        <f t="shared" ref="BV171" si="3913">($O171*$Q171*$S171)^(1/3)/(BV166*((1-BV$2)*$H166+BV$2*$H167) + BV168*((1-BV$2)*$H168+BV$2*$H169) + BV170*((1-BV$2)*$H170+BV$2*$H171))</f>
        <v>2306.040240987274</v>
      </c>
      <c r="BW171" s="23">
        <f t="shared" ref="BW171" si="3914">($O171*$Q171*$S171)^(1/3)/(BW166*((1-BW$2)*$H166+BW$2*$H167) + BW168*((1-BW$2)*$H168+BW$2*$H169) + BW170*((1-BW$2)*$H170+BW$2*$H171))</f>
        <v>2658.6530684137811</v>
      </c>
      <c r="BX171" s="23">
        <f t="shared" ref="BX171" si="3915">($O171*$Q171*$S171)^(1/3)/(BX166*((1-BX$2)*$H166+BX$2*$H167) + BX168*((1-BX$2)*$H168+BX$2*$H169) + BX170*((1-BX$2)*$H170+BX$2*$H171))</f>
        <v>2471.485118053879</v>
      </c>
      <c r="BY171" s="23">
        <f t="shared" ref="BY171" si="3916">($O171*$Q171*$S171)^(1/3)/(BY166*((1-BY$2)*$H166+BY$2*$H167) + BY168*((1-BY$2)*$H168+BY$2*$H169) + BY170*((1-BY$2)*$H170+BY$2*$H171))</f>
        <v>2825.01954651191</v>
      </c>
      <c r="BZ171" s="23">
        <f t="shared" ref="BZ171" si="3917">($O171*$Q171*$S171)^(1/3)/(BZ166*((1-BZ$2)*$H166+BZ$2*$H167) + BZ168*((1-BZ$2)*$H168+BZ$2*$H169) + BZ170*((1-BZ$2)*$H170+BZ$2*$H171))</f>
        <v>2779.2529483936696</v>
      </c>
      <c r="CA171" s="23">
        <f t="shared" ref="CA171" si="3918">($O171*$Q171*$S171)^(1/3)/(CA166*((1-CA$2)*$H166+CA$2*$H167) + CA168*((1-CA$2)*$H168+CA$2*$H169) + CA170*((1-CA$2)*$H170+CA$2*$H171))</f>
        <v>3019.254141637568</v>
      </c>
      <c r="CB171" s="23">
        <f t="shared" ref="CB171" si="3919">($O171*$Q171*$S171)^(1/3)/(CB166*((1-CB$2)*$H166+CB$2*$H167) + CB168*((1-CB$2)*$H168+CB$2*$H169) + CB170*((1-CB$2)*$H170+CB$2*$H171))</f>
        <v>2490.3002950816444</v>
      </c>
      <c r="CC171" s="23">
        <f t="shared" ref="CC171" si="3920">($O171*$Q171*$S171)^(1/3)/(CC166*((1-CC$2)*$H166+CC$2*$H167) + CC168*((1-CC$2)*$H168+CC$2*$H169) + CC170*((1-CC$2)*$H170+CC$2*$H171))</f>
        <v>2498.8447319068741</v>
      </c>
      <c r="CD171" s="23">
        <f t="shared" ref="CD171" si="3921">($O171*$Q171*$S171)^(1/3)/(CD166*((1-CD$2)*$H166+CD$2*$H167) + CD168*((1-CD$2)*$H168+CD$2*$H169) + CD170*((1-CD$2)*$H170+CD$2*$H171))</f>
        <v>2522.6883585233309</v>
      </c>
      <c r="CE171" s="23">
        <f t="shared" ref="CE171" si="3922">($O171*$Q171*$S171)^(1/3)/(CE166*((1-CE$2)*$H166+CE$2*$H167) + CE168*((1-CE$2)*$H168+CE$2*$H169) + CE170*((1-CE$2)*$H170+CE$2*$H171))</f>
        <v>2863.2634503201157</v>
      </c>
      <c r="CF171" s="23">
        <f t="shared" ref="CF171" si="3923">($O171*$Q171*$S171)^(1/3)/(CF166*((1-CF$2)*$H166+CF$2*$H167) + CF168*((1-CF$2)*$H168+CF$2*$H169) + CF170*((1-CF$2)*$H170+CF$2*$H171))</f>
        <v>2631.5553977205814</v>
      </c>
      <c r="CG171" s="23">
        <f t="shared" ref="CG171" si="3924">($O171*$Q171*$S171)^(1/3)/(CG166*((1-CG$2)*$H166+CG$2*$H167) + CG168*((1-CG$2)*$H168+CG$2*$H169) + CG170*((1-CG$2)*$H170+CG$2*$H171))</f>
        <v>2975.8426161256248</v>
      </c>
      <c r="CH171" s="23">
        <f t="shared" ref="CH171" si="3925">($O171*$Q171*$S171)^(1/3)/(CH166*((1-CH$2)*$H166+CH$2*$H167) + CH168*((1-CH$2)*$H168+CH$2*$H169) + CH170*((1-CH$2)*$H170+CH$2*$H171))</f>
        <v>2838.001218569626</v>
      </c>
      <c r="CI171" s="23">
        <f t="shared" ref="CI171" si="3926">($O171*$Q171*$S171)^(1/3)/(CI166*((1-CI$2)*$H166+CI$2*$H167) + CI168*((1-CI$2)*$H168+CI$2*$H169) + CI170*((1-CI$2)*$H170+CI$2*$H171))</f>
        <v>2992.9173120698988</v>
      </c>
      <c r="CJ171" s="23">
        <f t="shared" ref="CJ171" si="3927">($O171*$Q171*$S171)^(1/3)/(CJ166*((1-CJ$2)*$H166+CJ$2*$H167) + CJ168*((1-CJ$2)*$H168+CJ$2*$H169) + CJ170*((1-CJ$2)*$H170+CJ$2*$H171))</f>
        <v>2807.2476053647624</v>
      </c>
      <c r="CK171" s="23">
        <f t="shared" ref="CK171" si="3928">($O171*$Q171*$S171)^(1/3)/(CK166*((1-CK$2)*$H166+CK$2*$H167) + CK168*((1-CK$2)*$H168+CK$2*$H169) + CK170*((1-CK$2)*$H170+CK$2*$H171))</f>
        <v>2790.1011654751155</v>
      </c>
      <c r="CL171" s="23">
        <f t="shared" ref="CL171" si="3929">($O171*$Q171*$S171)^(1/3)/(CL166*((1-CL$2)*$H166+CL$2*$H167) + CL168*((1-CL$2)*$H168+CL$2*$H169) + CL170*((1-CL$2)*$H170+CL$2*$H171))</f>
        <v>2784.2647653020872</v>
      </c>
      <c r="CM171" s="23">
        <f t="shared" ref="CM171" si="3930">($O171*$Q171*$S171)^(1/3)/(CM166*((1-CM$2)*$H166+CM$2*$H167) + CM168*((1-CM$2)*$H168+CM$2*$H169) + CM170*((1-CM$2)*$H170+CM$2*$H171))</f>
        <v>3101.9933759605801</v>
      </c>
      <c r="CN171" s="23">
        <f t="shared" ref="CN171" si="3931">($O171*$Q171*$S171)^(1/3)/(CN166*((1-CN$2)*$H166+CN$2*$H167) + CN168*((1-CN$2)*$H168+CN$2*$H169) + CN170*((1-CN$2)*$H170+CN$2*$H171))</f>
        <v>2813.7960762330863</v>
      </c>
      <c r="CO171" s="23">
        <f t="shared" ref="CO171" si="3932">($O171*$Q171*$S171)^(1/3)/(CO166*((1-CO$2)*$H166+CO$2*$H167) + CO168*((1-CO$2)*$H168+CO$2*$H169) + CO170*((1-CO$2)*$H170+CO$2*$H171))</f>
        <v>3143.6783461958289</v>
      </c>
      <c r="CP171" s="23">
        <f t="shared" ref="CP171" si="3933">($O171*$Q171*$S171)^(1/3)/(CP166*((1-CP$2)*$H166+CP$2*$H167) + CP168*((1-CP$2)*$H168+CP$2*$H169) + CP170*((1-CP$2)*$H170+CP$2*$H171))</f>
        <v>2899.286782120816</v>
      </c>
      <c r="CQ171" s="23">
        <f t="shared" ref="CQ171" si="3934">($O171*$Q171*$S171)^(1/3)/(CQ166*((1-CQ$2)*$H166+CQ$2*$H167) + CQ168*((1-CQ$2)*$H168+CQ$2*$H169) + CQ170*((1-CQ$2)*$H170+CQ$2*$H171))</f>
        <v>2967.0359793816433</v>
      </c>
      <c r="CS171" s="2">
        <f t="shared" ref="CS171" si="3935">100*$AF171/AF171</f>
        <v>100</v>
      </c>
      <c r="CT171" s="2">
        <f t="shared" ref="CT171" si="3936">100*$AF171/AG171</f>
        <v>96.623076923076923</v>
      </c>
      <c r="CU171" s="2">
        <f t="shared" ref="CU171" si="3937">100*$AF171/AH171</f>
        <v>92.023076923076943</v>
      </c>
      <c r="CV171" s="2">
        <f t="shared" ref="CV171" si="3938">100*$AF171/AI171</f>
        <v>75.792307692307702</v>
      </c>
      <c r="CW171" s="2">
        <f t="shared" ref="CW171" si="3939">100*$AF171/AJ171</f>
        <v>78.338461538461559</v>
      </c>
      <c r="CX171" s="2">
        <f t="shared" ref="CX171" si="3940">100*$AF171/AK171</f>
        <v>65.869230769230782</v>
      </c>
      <c r="CY171" s="2">
        <f t="shared" ref="CY171" si="3941">100*$AF171/AL171</f>
        <v>58.946153846153855</v>
      </c>
      <c r="CZ171" s="2">
        <f t="shared" ref="CZ171" si="3942">100*$AF171/AM171</f>
        <v>47.007692307692309</v>
      </c>
      <c r="DA171" s="2">
        <f t="shared" ref="DA171" si="3943">100*$AF171/AN171</f>
        <v>93.269230769230759</v>
      </c>
      <c r="DB171" s="2">
        <f t="shared" ref="DB171" si="3944">100*$AF171/AO171</f>
        <v>90.421153846153857</v>
      </c>
      <c r="DC171" s="2">
        <f t="shared" ref="DC171" si="3945">100*$AF171/AP171</f>
        <v>86.494230769230782</v>
      </c>
      <c r="DD171" s="2">
        <f t="shared" ref="DD171" si="3946">100*$AF171/AQ171</f>
        <v>71.801923076923089</v>
      </c>
      <c r="DE171" s="2">
        <f t="shared" ref="DE171" si="3947">100*$AF171/AR171</f>
        <v>74.684615384615384</v>
      </c>
      <c r="DF171" s="2">
        <f t="shared" ref="DF171" si="3948">100*$AF171/AS171</f>
        <v>63.205769230769242</v>
      </c>
      <c r="DG171" s="2">
        <f t="shared" ref="DG171" si="3949">100*$AF171/AT171</f>
        <v>57.840384615384615</v>
      </c>
      <c r="DH171" s="2">
        <f t="shared" ref="DH171" si="3950">100*$AF171/AU171</f>
        <v>47.440384615384609</v>
      </c>
      <c r="DI171" s="2">
        <f t="shared" ref="DI171" si="3951">100*$AF171/AV171</f>
        <v>86.538461538461547</v>
      </c>
      <c r="DJ171" s="2">
        <f t="shared" ref="DJ171" si="3952">100*$AF171/AW171</f>
        <v>84.219230769230762</v>
      </c>
      <c r="DK171" s="2">
        <f t="shared" ref="DK171" si="3953">100*$AF171/AX171</f>
        <v>80.965384615384636</v>
      </c>
      <c r="DL171" s="2">
        <f t="shared" ref="DL171" si="3954">100*$AF171/AY171</f>
        <v>67.811538461538476</v>
      </c>
      <c r="DM171" s="2">
        <f t="shared" ref="DM171" si="3955">100*$AF171/AZ171</f>
        <v>71.030769230769238</v>
      </c>
      <c r="DN171" s="2">
        <f t="shared" ref="DN171" si="3956">100*$AF171/BA171</f>
        <v>60.542307692307702</v>
      </c>
      <c r="DO171" s="2">
        <f t="shared" ref="DO171" si="3957">100*$AF171/BB171</f>
        <v>56.734615384615402</v>
      </c>
      <c r="DP171" s="2">
        <f t="shared" ref="DP171" si="3958">100*$AF171/BC171</f>
        <v>47.873076923076923</v>
      </c>
      <c r="DQ171" s="2">
        <f t="shared" ref="DQ171" si="3959">100*$AF171/BD171</f>
        <v>79.807692307692321</v>
      </c>
      <c r="DR171" s="2">
        <f t="shared" ref="DR171" si="3960">100*$AF171/BE171</f>
        <v>78.017307692307696</v>
      </c>
      <c r="DS171" s="2">
        <f t="shared" ref="DS171" si="3961">100*$AF171/BF171</f>
        <v>75.436538461538476</v>
      </c>
      <c r="DT171" s="2">
        <f t="shared" ref="DT171" si="3962">100*$AF171/BG171</f>
        <v>63.821153846153855</v>
      </c>
      <c r="DU171" s="2">
        <f t="shared" ref="DU171" si="3963">100*$AF171/BH171</f>
        <v>67.376923076923077</v>
      </c>
      <c r="DV171" s="2">
        <f t="shared" ref="DV171" si="3964">100*$AF171/BI171</f>
        <v>57.878846153846162</v>
      </c>
      <c r="DW171" s="2">
        <f t="shared" ref="DW171" si="3965">100*$AF171/BJ171</f>
        <v>55.628846153846162</v>
      </c>
      <c r="DX171" s="2">
        <f t="shared" ref="DX171" si="3966">100*$AF171/BK171</f>
        <v>48.305769230769236</v>
      </c>
      <c r="DY171" s="2">
        <f t="shared" ref="DY171" si="3967">100*$AF171/BL171</f>
        <v>73.07692307692308</v>
      </c>
      <c r="DZ171" s="2">
        <f t="shared" ref="DZ171" si="3968">100*$AF171/BM171</f>
        <v>71.815384615384602</v>
      </c>
      <c r="EA171" s="2">
        <f t="shared" ref="EA171" si="3969">100*$AF171/BN171</f>
        <v>69.907692307692315</v>
      </c>
      <c r="EB171" s="2">
        <f t="shared" ref="EB171" si="3970">100*$AF171/BO171</f>
        <v>59.830769230769235</v>
      </c>
      <c r="EC171" s="2">
        <f t="shared" ref="EC171" si="3971">100*$AF171/BP171</f>
        <v>63.723076923076931</v>
      </c>
      <c r="ED171" s="2">
        <f t="shared" ref="ED171" si="3972">100*$AF171/BQ171</f>
        <v>55.215384615384629</v>
      </c>
      <c r="EE171" s="2">
        <f t="shared" ref="EE171" si="3973">100*$AF171/BR171</f>
        <v>54.523076923076921</v>
      </c>
      <c r="EF171" s="2">
        <f t="shared" ref="EF171" si="3974">100*$AF171/BS171</f>
        <v>48.738461538461543</v>
      </c>
      <c r="EG171" s="2">
        <f t="shared" ref="EG171" si="3975">100*$AF171/BT171</f>
        <v>66.34615384615384</v>
      </c>
      <c r="EH171" s="2">
        <f t="shared" ref="EH171" si="3976">100*$AF171/BU171</f>
        <v>65.613461538461536</v>
      </c>
      <c r="EI171" s="2">
        <f t="shared" ref="EI171" si="3977">100*$AF171/BV171</f>
        <v>64.378846153846155</v>
      </c>
      <c r="EJ171" s="2">
        <f t="shared" ref="EJ171" si="3978">100*$AF171/BW171</f>
        <v>55.840384615384629</v>
      </c>
      <c r="EK171" s="2">
        <f t="shared" ref="EK171" si="3979">100*$AF171/BX171</f>
        <v>60.069230769230778</v>
      </c>
      <c r="EL171" s="2">
        <f t="shared" ref="EL171" si="3980">100*$AF171/BY171</f>
        <v>52.551923076923082</v>
      </c>
      <c r="EM171" s="2">
        <f t="shared" ref="EM171" si="3981">100*$AF171/BZ171</f>
        <v>53.417307692307702</v>
      </c>
      <c r="EN171" s="2">
        <f t="shared" ref="EN171" si="3982">100*$AF171/CA171</f>
        <v>49.17115384615385</v>
      </c>
      <c r="EO171" s="2">
        <f t="shared" ref="EO171" si="3983">100*$AF171/CB171</f>
        <v>59.615384615384613</v>
      </c>
      <c r="EP171" s="2">
        <f t="shared" ref="EP171" si="3984">100*$AF171/CC171</f>
        <v>59.41153846153847</v>
      </c>
      <c r="EQ171" s="2">
        <f t="shared" ref="EQ171" si="3985">100*$AF171/CD171</f>
        <v>58.85</v>
      </c>
      <c r="ER171" s="2">
        <f t="shared" ref="ER171" si="3986">100*$AF171/CE171</f>
        <v>51.850000000000009</v>
      </c>
      <c r="ES171" s="2">
        <f t="shared" ref="ES171" si="3987">100*$AF171/CF171</f>
        <v>56.415384615384617</v>
      </c>
      <c r="ET171" s="2">
        <f t="shared" ref="ET171" si="3988">100*$AF171/CG171</f>
        <v>49.888461538461549</v>
      </c>
      <c r="EU171" s="2">
        <f t="shared" ref="EU171" si="3989">100*$AF171/CH171</f>
        <v>52.311538461538468</v>
      </c>
      <c r="EV171" s="2">
        <f t="shared" ref="EV171" si="3990">100*$AF171/CI171</f>
        <v>49.603846153846156</v>
      </c>
      <c r="EW171" s="2">
        <f t="shared" ref="EW171" si="3991">100*$AF171/CJ171</f>
        <v>52.884615384615394</v>
      </c>
      <c r="EX171" s="2">
        <f t="shared" ref="EX171" si="3992">100*$AF171/CK171</f>
        <v>53.20961538461539</v>
      </c>
      <c r="EY171" s="2">
        <f t="shared" ref="EY171" si="3993">100*$AF171/CL171</f>
        <v>53.321153846153848</v>
      </c>
      <c r="EZ171" s="2">
        <f t="shared" ref="EZ171" si="3994">100*$AF171/CM171</f>
        <v>47.859615384615395</v>
      </c>
      <c r="FA171" s="2">
        <f t="shared" ref="FA171" si="3995">100*$AF171/CN171</f>
        <v>52.761538461538478</v>
      </c>
      <c r="FB171" s="2">
        <f t="shared" ref="FB171" si="3996">100*$AF171/CO171</f>
        <v>47.225000000000001</v>
      </c>
      <c r="FC171" s="2">
        <f t="shared" ref="FC171" si="3997">100*$AF171/CP171</f>
        <v>51.205769230769235</v>
      </c>
      <c r="FD171" s="2">
        <f t="shared" ref="FD171" si="3998">100*$AF171/CQ171</f>
        <v>50.036538461538463</v>
      </c>
    </row>
    <row r="172" spans="3:160" x14ac:dyDescent="0.4">
      <c r="C172" s="1" t="s">
        <v>38</v>
      </c>
      <c r="D172" s="1" t="s">
        <v>5</v>
      </c>
      <c r="E172" s="1">
        <v>0.247</v>
      </c>
      <c r="F172" s="1">
        <v>0.13900000000000001</v>
      </c>
      <c r="G172" s="1">
        <v>0.109</v>
      </c>
      <c r="H172" s="1">
        <v>6.0999999999999999E-2</v>
      </c>
      <c r="I172" s="1">
        <v>5390</v>
      </c>
      <c r="J172" s="1">
        <v>4493</v>
      </c>
      <c r="K172" s="1">
        <v>72</v>
      </c>
      <c r="L172" s="1">
        <v>6423</v>
      </c>
      <c r="M172" s="1">
        <v>6515</v>
      </c>
      <c r="N172" s="1">
        <v>75.5</v>
      </c>
      <c r="O172" s="1">
        <v>96.5</v>
      </c>
      <c r="P172" s="1">
        <v>90.5</v>
      </c>
      <c r="Q172" s="1">
        <v>97</v>
      </c>
      <c r="R172" s="1">
        <v>51</v>
      </c>
      <c r="S172" s="1">
        <v>96</v>
      </c>
      <c r="T172" s="4">
        <v>0</v>
      </c>
      <c r="U172" s="1">
        <v>1.581</v>
      </c>
      <c r="V172" s="1">
        <v>6.6000000000000003E-2</v>
      </c>
      <c r="W172" s="1">
        <v>4.0199999999999996</v>
      </c>
      <c r="X172" s="1">
        <f t="shared" ref="X172" si="3999">H173</f>
        <v>2.3E-2</v>
      </c>
      <c r="Y172" s="1">
        <f t="shared" ref="Y172" si="4000">H174</f>
        <v>6.6000000000000003E-2</v>
      </c>
      <c r="Z172" s="1">
        <f t="shared" ref="Z172" si="4001">H175</f>
        <v>2.4E-2</v>
      </c>
      <c r="AA172" s="1">
        <f t="shared" ref="AA172" si="4002">H176</f>
        <v>2.1999999999999999E-2</v>
      </c>
      <c r="AB172" s="1">
        <f t="shared" ref="AB172" si="4003">H177</f>
        <v>2.4E-2</v>
      </c>
      <c r="AC172" s="1">
        <f t="shared" si="2917"/>
        <v>3872.9009465379854</v>
      </c>
      <c r="AE172" s="1" t="s">
        <v>96</v>
      </c>
      <c r="AF172" s="1">
        <v>1</v>
      </c>
      <c r="AG172" s="1">
        <v>0.81499999999999995</v>
      </c>
      <c r="AH172" s="1">
        <v>0.64500000000000002</v>
      </c>
      <c r="AI172" s="1">
        <v>0.39500000000000002</v>
      </c>
      <c r="AJ172" s="1">
        <v>0.36</v>
      </c>
      <c r="AK172" s="1">
        <v>0.245</v>
      </c>
      <c r="AL172" s="1">
        <v>0.14499999999999999</v>
      </c>
      <c r="AM172" s="20">
        <v>6.5000000000000002E-2</v>
      </c>
      <c r="AN172" s="1">
        <v>1</v>
      </c>
      <c r="AO172" s="1">
        <v>0.81499999999999995</v>
      </c>
      <c r="AP172" s="1">
        <v>0.64500000000000002</v>
      </c>
      <c r="AQ172" s="1">
        <v>0.39500000000000002</v>
      </c>
      <c r="AR172" s="1">
        <v>0.36</v>
      </c>
      <c r="AS172" s="1">
        <v>0.245</v>
      </c>
      <c r="AT172" s="1">
        <v>0.14499999999999999</v>
      </c>
      <c r="AU172" s="20">
        <v>6.5000000000000002E-2</v>
      </c>
      <c r="AV172" s="1">
        <v>1</v>
      </c>
      <c r="AW172" s="1">
        <v>0.81499999999999995</v>
      </c>
      <c r="AX172" s="1">
        <v>0.64500000000000002</v>
      </c>
      <c r="AY172" s="1">
        <v>0.39500000000000002</v>
      </c>
      <c r="AZ172" s="1">
        <v>0.36</v>
      </c>
      <c r="BA172" s="1">
        <v>0.245</v>
      </c>
      <c r="BB172" s="1">
        <v>0.14499999999999999</v>
      </c>
      <c r="BC172" s="20">
        <v>6.5000000000000002E-2</v>
      </c>
      <c r="BD172" s="1">
        <v>1</v>
      </c>
      <c r="BE172" s="1">
        <v>0.81499999999999995</v>
      </c>
      <c r="BF172" s="1">
        <v>0.64500000000000002</v>
      </c>
      <c r="BG172" s="1">
        <v>0.39500000000000002</v>
      </c>
      <c r="BH172" s="1">
        <v>0.36</v>
      </c>
      <c r="BI172" s="1">
        <v>0.245</v>
      </c>
      <c r="BJ172" s="1">
        <v>0.14499999999999999</v>
      </c>
      <c r="BK172" s="20">
        <v>6.5000000000000002E-2</v>
      </c>
      <c r="BL172" s="1">
        <v>1</v>
      </c>
      <c r="BM172" s="1">
        <v>0.81499999999999995</v>
      </c>
      <c r="BN172" s="1">
        <v>0.64500000000000002</v>
      </c>
      <c r="BO172" s="1">
        <v>0.39500000000000002</v>
      </c>
      <c r="BP172" s="1">
        <v>0.36</v>
      </c>
      <c r="BQ172" s="1">
        <v>0.245</v>
      </c>
      <c r="BR172" s="1">
        <v>0.14499999999999999</v>
      </c>
      <c r="BS172" s="20">
        <v>6.5000000000000002E-2</v>
      </c>
      <c r="BT172" s="1">
        <v>1</v>
      </c>
      <c r="BU172" s="1">
        <v>0.81499999999999995</v>
      </c>
      <c r="BV172" s="1">
        <v>0.64500000000000002</v>
      </c>
      <c r="BW172" s="1">
        <v>0.39500000000000002</v>
      </c>
      <c r="BX172" s="1">
        <v>0.36</v>
      </c>
      <c r="BY172" s="1">
        <v>0.245</v>
      </c>
      <c r="BZ172" s="1">
        <v>0.14499999999999999</v>
      </c>
      <c r="CA172" s="20">
        <v>6.5000000000000002E-2</v>
      </c>
      <c r="CB172" s="1">
        <v>1</v>
      </c>
      <c r="CC172" s="1">
        <v>0.81499999999999995</v>
      </c>
      <c r="CD172" s="1">
        <v>0.64500000000000002</v>
      </c>
      <c r="CE172" s="1">
        <v>0.39500000000000002</v>
      </c>
      <c r="CF172" s="1">
        <v>0.36</v>
      </c>
      <c r="CG172" s="1">
        <v>0.245</v>
      </c>
      <c r="CH172" s="1">
        <v>0.14499999999999999</v>
      </c>
      <c r="CI172" s="20">
        <v>6.5000000000000002E-2</v>
      </c>
      <c r="CJ172" s="1">
        <v>1</v>
      </c>
      <c r="CK172" s="1">
        <v>0.81499999999999995</v>
      </c>
      <c r="CL172" s="1">
        <v>0.64500000000000002</v>
      </c>
      <c r="CM172" s="1">
        <v>0.39500000000000002</v>
      </c>
      <c r="CN172" s="1">
        <v>0.36</v>
      </c>
      <c r="CO172" s="1">
        <v>0.245</v>
      </c>
      <c r="CP172" s="1">
        <v>0.14499999999999999</v>
      </c>
      <c r="CQ172" s="20">
        <v>6.5000000000000002E-2</v>
      </c>
    </row>
    <row r="173" spans="3:160" x14ac:dyDescent="0.4">
      <c r="C173" s="1" t="s">
        <v>38</v>
      </c>
      <c r="D173" s="1" t="s">
        <v>6</v>
      </c>
      <c r="E173" s="1">
        <v>0.2</v>
      </c>
      <c r="F173" s="1">
        <v>9.2999999999999999E-2</v>
      </c>
      <c r="G173" s="1">
        <v>0.108</v>
      </c>
      <c r="H173" s="1">
        <v>2.3E-2</v>
      </c>
      <c r="I173" s="1">
        <v>5390</v>
      </c>
      <c r="J173" s="1">
        <v>4493</v>
      </c>
      <c r="K173" s="1">
        <v>72</v>
      </c>
      <c r="L173" s="1">
        <v>6423</v>
      </c>
      <c r="M173" s="1">
        <v>6515</v>
      </c>
      <c r="N173" s="1">
        <v>75.5</v>
      </c>
      <c r="O173" s="1">
        <v>96.5</v>
      </c>
      <c r="P173" s="1">
        <v>90.5</v>
      </c>
      <c r="Q173" s="1">
        <v>97</v>
      </c>
      <c r="R173" s="1">
        <v>51</v>
      </c>
      <c r="S173" s="1">
        <v>96</v>
      </c>
      <c r="T173" s="4">
        <v>0</v>
      </c>
      <c r="U173" s="1">
        <v>1.581</v>
      </c>
      <c r="V173" s="1">
        <v>6.6000000000000003E-2</v>
      </c>
      <c r="W173" s="1">
        <v>4.0199999999999996</v>
      </c>
      <c r="X173" s="1">
        <f t="shared" ref="X173" si="4004">H173</f>
        <v>2.3E-2</v>
      </c>
      <c r="Y173" s="1">
        <f t="shared" ref="Y173" si="4005">H174</f>
        <v>6.6000000000000003E-2</v>
      </c>
      <c r="Z173" s="1">
        <f t="shared" ref="Z173" si="4006">H175</f>
        <v>2.4E-2</v>
      </c>
      <c r="AA173" s="1">
        <f t="shared" ref="AA173" si="4007">H176</f>
        <v>2.1999999999999999E-2</v>
      </c>
      <c r="AB173" s="1">
        <f t="shared" ref="AB173" si="4008">H177</f>
        <v>2.4E-2</v>
      </c>
      <c r="AC173" s="1">
        <f t="shared" si="2917"/>
        <v>3872.9009465379854</v>
      </c>
      <c r="CQ173" s="20"/>
    </row>
    <row r="174" spans="3:160" x14ac:dyDescent="0.4">
      <c r="C174" s="1" t="s">
        <v>38</v>
      </c>
      <c r="D174" s="1" t="s">
        <v>7</v>
      </c>
      <c r="E174" s="1">
        <v>0.253</v>
      </c>
      <c r="F174" s="1">
        <v>0.14399999999999999</v>
      </c>
      <c r="G174" s="1">
        <v>0.109</v>
      </c>
      <c r="H174" s="1">
        <v>6.6000000000000003E-2</v>
      </c>
      <c r="I174" s="1">
        <v>5390</v>
      </c>
      <c r="J174" s="1">
        <v>4493</v>
      </c>
      <c r="K174" s="1">
        <v>72</v>
      </c>
      <c r="L174" s="1">
        <v>6423</v>
      </c>
      <c r="M174" s="1">
        <v>6515</v>
      </c>
      <c r="N174" s="1">
        <v>75.5</v>
      </c>
      <c r="O174" s="1">
        <v>96.5</v>
      </c>
      <c r="P174" s="1">
        <v>90.5</v>
      </c>
      <c r="Q174" s="1">
        <v>97</v>
      </c>
      <c r="R174" s="1">
        <v>51</v>
      </c>
      <c r="S174" s="1">
        <v>96</v>
      </c>
      <c r="T174" s="4">
        <v>0</v>
      </c>
      <c r="U174" s="1">
        <v>1.581</v>
      </c>
      <c r="V174" s="1">
        <v>6.6000000000000003E-2</v>
      </c>
      <c r="W174" s="1">
        <v>4.0199999999999996</v>
      </c>
      <c r="X174" s="1">
        <f t="shared" ref="X174" si="4009">H173</f>
        <v>2.3E-2</v>
      </c>
      <c r="Y174" s="1">
        <f t="shared" ref="Y174" si="4010">H174</f>
        <v>6.6000000000000003E-2</v>
      </c>
      <c r="Z174" s="1">
        <f t="shared" ref="Z174" si="4011">H175</f>
        <v>2.4E-2</v>
      </c>
      <c r="AA174" s="1">
        <f t="shared" ref="AA174" si="4012">H176</f>
        <v>2.1999999999999999E-2</v>
      </c>
      <c r="AB174" s="1">
        <f t="shared" ref="AB174" si="4013">H177</f>
        <v>2.4E-2</v>
      </c>
      <c r="AC174" s="1">
        <f t="shared" si="2917"/>
        <v>3872.9009465379854</v>
      </c>
      <c r="AE174" s="1" t="s">
        <v>97</v>
      </c>
      <c r="AF174" s="1">
        <v>0</v>
      </c>
      <c r="AG174" s="1">
        <v>0.12</v>
      </c>
      <c r="AH174" s="1">
        <v>0.21</v>
      </c>
      <c r="AI174" s="1">
        <v>0.26</v>
      </c>
      <c r="AJ174" s="1">
        <v>0.28000000000000003</v>
      </c>
      <c r="AK174" s="1">
        <v>0.26</v>
      </c>
      <c r="AL174" s="1">
        <v>0.21</v>
      </c>
      <c r="AM174" s="20">
        <v>0.12</v>
      </c>
      <c r="AN174" s="1">
        <v>0</v>
      </c>
      <c r="AO174" s="1">
        <v>0.12</v>
      </c>
      <c r="AP174" s="1">
        <v>0.21</v>
      </c>
      <c r="AQ174" s="1">
        <v>0.26</v>
      </c>
      <c r="AR174" s="1">
        <v>0.28000000000000003</v>
      </c>
      <c r="AS174" s="1">
        <v>0.26</v>
      </c>
      <c r="AT174" s="1">
        <v>0.21</v>
      </c>
      <c r="AU174" s="20">
        <v>0.12</v>
      </c>
      <c r="AV174" s="1">
        <v>0</v>
      </c>
      <c r="AW174" s="1">
        <v>0.12</v>
      </c>
      <c r="AX174" s="1">
        <v>0.21</v>
      </c>
      <c r="AY174" s="1">
        <v>0.26</v>
      </c>
      <c r="AZ174" s="1">
        <v>0.28000000000000003</v>
      </c>
      <c r="BA174" s="1">
        <v>0.26</v>
      </c>
      <c r="BB174" s="1">
        <v>0.21</v>
      </c>
      <c r="BC174" s="20">
        <v>0.12</v>
      </c>
      <c r="BD174" s="1">
        <v>0</v>
      </c>
      <c r="BE174" s="1">
        <v>0.12</v>
      </c>
      <c r="BF174" s="1">
        <v>0.21</v>
      </c>
      <c r="BG174" s="1">
        <v>0.26</v>
      </c>
      <c r="BH174" s="1">
        <v>0.28000000000000003</v>
      </c>
      <c r="BI174" s="1">
        <v>0.26</v>
      </c>
      <c r="BJ174" s="1">
        <v>0.21</v>
      </c>
      <c r="BK174" s="20">
        <v>0.12</v>
      </c>
      <c r="BL174" s="1">
        <v>0</v>
      </c>
      <c r="BM174" s="1">
        <v>0.12</v>
      </c>
      <c r="BN174" s="1">
        <v>0.21</v>
      </c>
      <c r="BO174" s="1">
        <v>0.26</v>
      </c>
      <c r="BP174" s="1">
        <v>0.28000000000000003</v>
      </c>
      <c r="BQ174" s="1">
        <v>0.26</v>
      </c>
      <c r="BR174" s="1">
        <v>0.21</v>
      </c>
      <c r="BS174" s="20">
        <v>0.12</v>
      </c>
      <c r="BT174" s="1">
        <v>0</v>
      </c>
      <c r="BU174" s="1">
        <v>0.12</v>
      </c>
      <c r="BV174" s="1">
        <v>0.21</v>
      </c>
      <c r="BW174" s="1">
        <v>0.26</v>
      </c>
      <c r="BX174" s="1">
        <v>0.28000000000000003</v>
      </c>
      <c r="BY174" s="1">
        <v>0.26</v>
      </c>
      <c r="BZ174" s="1">
        <v>0.21</v>
      </c>
      <c r="CA174" s="20">
        <v>0.12</v>
      </c>
      <c r="CB174" s="1">
        <v>0</v>
      </c>
      <c r="CC174" s="1">
        <v>0.12</v>
      </c>
      <c r="CD174" s="1">
        <v>0.21</v>
      </c>
      <c r="CE174" s="1">
        <v>0.26</v>
      </c>
      <c r="CF174" s="1">
        <v>0.28000000000000003</v>
      </c>
      <c r="CG174" s="1">
        <v>0.26</v>
      </c>
      <c r="CH174" s="1">
        <v>0.21</v>
      </c>
      <c r="CI174" s="20">
        <v>0.12</v>
      </c>
      <c r="CJ174" s="1">
        <v>0</v>
      </c>
      <c r="CK174" s="1">
        <v>0.12</v>
      </c>
      <c r="CL174" s="1">
        <v>0.21</v>
      </c>
      <c r="CM174" s="1">
        <v>0.26</v>
      </c>
      <c r="CN174" s="1">
        <v>0.28000000000000003</v>
      </c>
      <c r="CO174" s="1">
        <v>0.26</v>
      </c>
      <c r="CP174" s="1">
        <v>0.21</v>
      </c>
      <c r="CQ174" s="20">
        <v>0.12</v>
      </c>
    </row>
    <row r="175" spans="3:160" x14ac:dyDescent="0.4">
      <c r="C175" s="1" t="s">
        <v>38</v>
      </c>
      <c r="D175" s="1" t="s">
        <v>8</v>
      </c>
      <c r="E175" s="1">
        <v>0.20200000000000001</v>
      </c>
      <c r="F175" s="1">
        <v>9.4E-2</v>
      </c>
      <c r="G175" s="1">
        <v>0.108</v>
      </c>
      <c r="H175" s="1">
        <v>2.4E-2</v>
      </c>
      <c r="I175" s="1">
        <v>5390</v>
      </c>
      <c r="J175" s="1">
        <v>4493</v>
      </c>
      <c r="K175" s="1">
        <v>72</v>
      </c>
      <c r="L175" s="1">
        <v>6423</v>
      </c>
      <c r="M175" s="1">
        <v>6515</v>
      </c>
      <c r="N175" s="1">
        <v>75.5</v>
      </c>
      <c r="O175" s="1">
        <v>96.5</v>
      </c>
      <c r="P175" s="1">
        <v>90.5</v>
      </c>
      <c r="Q175" s="1">
        <v>97</v>
      </c>
      <c r="R175" s="1">
        <v>51</v>
      </c>
      <c r="S175" s="1">
        <v>96</v>
      </c>
      <c r="T175" s="4">
        <v>0</v>
      </c>
      <c r="U175" s="1">
        <v>1.581</v>
      </c>
      <c r="V175" s="1">
        <v>6.6000000000000003E-2</v>
      </c>
      <c r="W175" s="1">
        <v>4.0199999999999996</v>
      </c>
      <c r="X175" s="1">
        <f t="shared" ref="X175" si="4014">H173</f>
        <v>2.3E-2</v>
      </c>
      <c r="Y175" s="1">
        <f t="shared" ref="Y175" si="4015">H174</f>
        <v>6.6000000000000003E-2</v>
      </c>
      <c r="Z175" s="1">
        <f t="shared" ref="Z175" si="4016">H175</f>
        <v>2.4E-2</v>
      </c>
      <c r="AA175" s="1">
        <f t="shared" ref="AA175" si="4017">H176</f>
        <v>2.1999999999999999E-2</v>
      </c>
      <c r="AB175" s="1">
        <f t="shared" ref="AB175" si="4018">H177</f>
        <v>2.4E-2</v>
      </c>
      <c r="AC175" s="1">
        <f t="shared" si="2917"/>
        <v>3872.9009465379854</v>
      </c>
      <c r="CQ175" s="20"/>
    </row>
    <row r="176" spans="3:160" x14ac:dyDescent="0.4">
      <c r="C176" s="1" t="s">
        <v>38</v>
      </c>
      <c r="D176" s="1" t="s">
        <v>9</v>
      </c>
      <c r="E176" s="1">
        <v>0.19900000000000001</v>
      </c>
      <c r="F176" s="1">
        <v>9.1999999999999998E-2</v>
      </c>
      <c r="G176" s="1">
        <v>0.108</v>
      </c>
      <c r="H176" s="1">
        <v>2.1999999999999999E-2</v>
      </c>
      <c r="I176" s="1">
        <v>5390</v>
      </c>
      <c r="J176" s="1">
        <v>4493</v>
      </c>
      <c r="K176" s="1">
        <v>72</v>
      </c>
      <c r="L176" s="1">
        <v>6423</v>
      </c>
      <c r="M176" s="1">
        <v>6515</v>
      </c>
      <c r="N176" s="1">
        <v>75.5</v>
      </c>
      <c r="O176" s="1">
        <v>96.5</v>
      </c>
      <c r="P176" s="1">
        <v>90.5</v>
      </c>
      <c r="Q176" s="1">
        <v>97</v>
      </c>
      <c r="R176" s="1">
        <v>51</v>
      </c>
      <c r="S176" s="1">
        <v>96</v>
      </c>
      <c r="T176" s="4">
        <v>0</v>
      </c>
      <c r="U176" s="1">
        <v>1.581</v>
      </c>
      <c r="V176" s="1">
        <v>6.6000000000000003E-2</v>
      </c>
      <c r="W176" s="1">
        <v>4.0199999999999996</v>
      </c>
      <c r="X176" s="1">
        <f t="shared" ref="X176" si="4019">H173</f>
        <v>2.3E-2</v>
      </c>
      <c r="Y176" s="1">
        <f t="shared" ref="Y176" si="4020">H174</f>
        <v>6.6000000000000003E-2</v>
      </c>
      <c r="Z176" s="1">
        <f t="shared" ref="Z176" si="4021">H175</f>
        <v>2.4E-2</v>
      </c>
      <c r="AA176" s="1">
        <f t="shared" ref="AA176" si="4022">H176</f>
        <v>2.1999999999999999E-2</v>
      </c>
      <c r="AB176" s="1">
        <f t="shared" ref="AB176" si="4023">H177</f>
        <v>2.4E-2</v>
      </c>
      <c r="AC176" s="1">
        <f t="shared" si="2917"/>
        <v>3872.9009465379854</v>
      </c>
      <c r="AE176" s="1" t="s">
        <v>98</v>
      </c>
      <c r="AF176" s="1">
        <v>0</v>
      </c>
      <c r="AG176" s="1">
        <v>6.5000000000000002E-2</v>
      </c>
      <c r="AH176" s="1">
        <v>0.14499999999999999</v>
      </c>
      <c r="AI176" s="1">
        <v>0.245</v>
      </c>
      <c r="AJ176" s="1">
        <v>0.36</v>
      </c>
      <c r="AK176" s="1">
        <v>0.39500000000000002</v>
      </c>
      <c r="AL176" s="1">
        <v>0.64500000000000002</v>
      </c>
      <c r="AM176" s="20">
        <v>0.81499999999999995</v>
      </c>
      <c r="AN176" s="1">
        <v>0</v>
      </c>
      <c r="AO176" s="1">
        <v>6.5000000000000002E-2</v>
      </c>
      <c r="AP176" s="1">
        <v>0.14499999999999999</v>
      </c>
      <c r="AQ176" s="1">
        <v>0.245</v>
      </c>
      <c r="AR176" s="1">
        <v>0.36</v>
      </c>
      <c r="AS176" s="1">
        <v>0.39500000000000002</v>
      </c>
      <c r="AT176" s="1">
        <v>0.64500000000000002</v>
      </c>
      <c r="AU176" s="20">
        <v>0.81499999999999995</v>
      </c>
      <c r="AV176" s="1">
        <v>0</v>
      </c>
      <c r="AW176" s="1">
        <v>6.5000000000000002E-2</v>
      </c>
      <c r="AX176" s="1">
        <v>0.14499999999999999</v>
      </c>
      <c r="AY176" s="1">
        <v>0.245</v>
      </c>
      <c r="AZ176" s="1">
        <v>0.36</v>
      </c>
      <c r="BA176" s="1">
        <v>0.39500000000000002</v>
      </c>
      <c r="BB176" s="1">
        <v>0.64500000000000002</v>
      </c>
      <c r="BC176" s="20">
        <v>0.81499999999999995</v>
      </c>
      <c r="BD176" s="1">
        <v>0</v>
      </c>
      <c r="BE176" s="1">
        <v>6.5000000000000002E-2</v>
      </c>
      <c r="BF176" s="1">
        <v>0.14499999999999999</v>
      </c>
      <c r="BG176" s="1">
        <v>0.245</v>
      </c>
      <c r="BH176" s="1">
        <v>0.36</v>
      </c>
      <c r="BI176" s="1">
        <v>0.39500000000000002</v>
      </c>
      <c r="BJ176" s="1">
        <v>0.64500000000000002</v>
      </c>
      <c r="BK176" s="20">
        <v>0.81499999999999995</v>
      </c>
      <c r="BL176" s="1">
        <v>0</v>
      </c>
      <c r="BM176" s="1">
        <v>6.5000000000000002E-2</v>
      </c>
      <c r="BN176" s="1">
        <v>0.14499999999999999</v>
      </c>
      <c r="BO176" s="1">
        <v>0.245</v>
      </c>
      <c r="BP176" s="1">
        <v>0.36</v>
      </c>
      <c r="BQ176" s="1">
        <v>0.39500000000000002</v>
      </c>
      <c r="BR176" s="1">
        <v>0.64500000000000002</v>
      </c>
      <c r="BS176" s="20">
        <v>0.81499999999999995</v>
      </c>
      <c r="BT176" s="1">
        <v>0</v>
      </c>
      <c r="BU176" s="1">
        <v>6.5000000000000002E-2</v>
      </c>
      <c r="BV176" s="1">
        <v>0.14499999999999999</v>
      </c>
      <c r="BW176" s="1">
        <v>0.245</v>
      </c>
      <c r="BX176" s="1">
        <v>0.36</v>
      </c>
      <c r="BY176" s="1">
        <v>0.39500000000000002</v>
      </c>
      <c r="BZ176" s="1">
        <v>0.64500000000000002</v>
      </c>
      <c r="CA176" s="20">
        <v>0.81499999999999995</v>
      </c>
      <c r="CB176" s="1">
        <v>0</v>
      </c>
      <c r="CC176" s="1">
        <v>6.5000000000000002E-2</v>
      </c>
      <c r="CD176" s="1">
        <v>0.14499999999999999</v>
      </c>
      <c r="CE176" s="1">
        <v>0.245</v>
      </c>
      <c r="CF176" s="1">
        <v>0.36</v>
      </c>
      <c r="CG176" s="1">
        <v>0.39500000000000002</v>
      </c>
      <c r="CH176" s="1">
        <v>0.64500000000000002</v>
      </c>
      <c r="CI176" s="20">
        <v>0.81499999999999995</v>
      </c>
      <c r="CJ176" s="1">
        <v>0</v>
      </c>
      <c r="CK176" s="1">
        <v>6.5000000000000002E-2</v>
      </c>
      <c r="CL176" s="1">
        <v>0.14499999999999999</v>
      </c>
      <c r="CM176" s="1">
        <v>0.245</v>
      </c>
      <c r="CN176" s="1">
        <v>0.36</v>
      </c>
      <c r="CO176" s="1">
        <v>0.39500000000000002</v>
      </c>
      <c r="CP176" s="1">
        <v>0.64500000000000002</v>
      </c>
      <c r="CQ176" s="20">
        <v>0.81499999999999995</v>
      </c>
    </row>
    <row r="177" spans="3:160" s="2" customFormat="1" x14ac:dyDescent="0.4">
      <c r="C177" s="2" t="s">
        <v>38</v>
      </c>
      <c r="D177" s="2" t="s">
        <v>10</v>
      </c>
      <c r="E177" s="2">
        <v>0.20200000000000001</v>
      </c>
      <c r="F177" s="2">
        <v>9.4E-2</v>
      </c>
      <c r="G177" s="2">
        <v>0.108</v>
      </c>
      <c r="H177" s="2">
        <v>2.4E-2</v>
      </c>
      <c r="I177" s="2">
        <v>5390</v>
      </c>
      <c r="J177" s="2">
        <v>4493</v>
      </c>
      <c r="K177" s="2">
        <v>72</v>
      </c>
      <c r="L177" s="2">
        <v>6423</v>
      </c>
      <c r="M177" s="2">
        <v>6515</v>
      </c>
      <c r="N177" s="2">
        <v>75.5</v>
      </c>
      <c r="O177" s="2">
        <v>96.5</v>
      </c>
      <c r="P177" s="2">
        <v>90.5</v>
      </c>
      <c r="Q177" s="2">
        <v>97</v>
      </c>
      <c r="R177" s="2">
        <v>51</v>
      </c>
      <c r="S177" s="2">
        <v>96</v>
      </c>
      <c r="T177" s="6">
        <f t="shared" ref="T177" si="4024">(N172*O172*P172*Q172*R172*S172)/(I172*J172*K172*(F172*H172 + F173*H173 + F174*H174 + F175*H175 + F176*H176 + F177*H177))</f>
        <v>6736.754850768566</v>
      </c>
      <c r="U177" s="2">
        <v>1.581</v>
      </c>
      <c r="V177" s="2">
        <v>6.6000000000000003E-2</v>
      </c>
      <c r="W177" s="2">
        <v>4.0199999999999996</v>
      </c>
      <c r="X177" s="2">
        <f t="shared" ref="X177" si="4025">H173</f>
        <v>2.3E-2</v>
      </c>
      <c r="Y177" s="2">
        <f t="shared" ref="Y177" si="4026">H174</f>
        <v>6.6000000000000003E-2</v>
      </c>
      <c r="Z177" s="2">
        <f t="shared" ref="Z177" si="4027">H175</f>
        <v>2.4E-2</v>
      </c>
      <c r="AA177" s="2">
        <f t="shared" ref="AA177" si="4028">H176</f>
        <v>2.1999999999999999E-2</v>
      </c>
      <c r="AB177" s="2">
        <f t="shared" ref="AB177" si="4029">H177</f>
        <v>2.4E-2</v>
      </c>
      <c r="AC177" s="1">
        <f t="shared" si="2917"/>
        <v>3872.9009465379854</v>
      </c>
      <c r="AE177" s="2" t="s">
        <v>99</v>
      </c>
      <c r="AF177" s="23">
        <f>($O177*$Q177*$S177)^(1/3)/(AF172*((1-AF$2)*$H172+AF$2*$H173) + AF174*((1-AF$2)*$H174+AF$2*$H175) + AF176*((1-AF$2)*$H176+AF$2*$H177))</f>
        <v>1581.9530563018643</v>
      </c>
      <c r="AG177" s="23">
        <f t="shared" ref="AG177" si="4030">($O177*$Q177*$S177)^(1/3)/(AG172*((1-AG$2)*$H172+AG$2*$H173) + AG174*((1-AG$2)*$H174+AG$2*$H175) + AG176*((1-AG$2)*$H176+AG$2*$H177))</f>
        <v>1633.7786579939682</v>
      </c>
      <c r="AH177" s="23">
        <f t="shared" ref="AH177" si="4031">($O177*$Q177*$S177)^(1/3)/(AH172*((1-AH$2)*$H172+AH$2*$H173) + AH174*((1-AH$2)*$H174+AH$2*$H175) + AH176*((1-AH$2)*$H176+AH$2*$H177))</f>
        <v>1711.1292922140919</v>
      </c>
      <c r="AI177" s="23">
        <f t="shared" ref="AI177" si="4032">($O177*$Q177*$S177)^(1/3)/(AI172*((1-AI$2)*$H172+AI$2*$H173) + AI174*((1-AI$2)*$H174+AI$2*$H175) + AI176*((1-AI$2)*$H176+AI$2*$H177))</f>
        <v>2068.799151772188</v>
      </c>
      <c r="AJ177" s="23">
        <f t="shared" ref="AJ177" si="4033">($O177*$Q177*$S177)^(1/3)/(AJ172*((1-AJ$2)*$H172+AJ$2*$H173) + AJ174*((1-AJ$2)*$H174+AJ$2*$H175) + AJ176*((1-AJ$2)*$H176+AJ$2*$H177))</f>
        <v>1995.4329287513174</v>
      </c>
      <c r="AK177" s="23">
        <f t="shared" ref="AK177" si="4034">($O177*$Q177*$S177)^(1/3)/(AK172*((1-AK$2)*$H172+AK$2*$H173) + AK174*((1-AK$2)*$H174+AK$2*$H175) + AK176*((1-AK$2)*$H176+AK$2*$H177))</f>
        <v>2365.4647980000914</v>
      </c>
      <c r="AL177" s="23">
        <f t="shared" ref="AL177" si="4035">($O177*$Q177*$S177)^(1/3)/(AL172*((1-AL$2)*$H172+AL$2*$H173) + AL174*((1-AL$2)*$H174+AL$2*$H175) + AL176*((1-AL$2)*$H176+AL$2*$H177))</f>
        <v>2615.50715366347</v>
      </c>
      <c r="AM177" s="23">
        <f t="shared" ref="AM177" si="4036">($O177*$Q177*$S177)^(1/3)/(AM172*((1-AM$2)*$H172+AM$2*$H173) + AM174*((1-AM$2)*$H174+AM$2*$H175) + AM176*((1-AM$2)*$H176+AM$2*$H177))</f>
        <v>3236.5968953350234</v>
      </c>
      <c r="AN177" s="23">
        <f t="shared" ref="AN177" si="4037">($O177*$Q177*$S177)^(1/3)/(AN172*((1-AN$2)*$H172+AN$2*$H173) + AN174*((1-AN$2)*$H174+AN$2*$H175) + AN176*((1-AN$2)*$H176+AN$2*$H177))</f>
        <v>1715.5402032784659</v>
      </c>
      <c r="AO177" s="23">
        <f t="shared" ref="AO177" si="4038">($O177*$Q177*$S177)^(1/3)/(AO172*((1-AO$2)*$H172+AO$2*$H173) + AO174*((1-AO$2)*$H174+AO$2*$H175) + AO176*((1-AO$2)*$H176+AO$2*$H177))</f>
        <v>1768.0310816125636</v>
      </c>
      <c r="AP177" s="23">
        <f t="shared" ref="AP177" si="4039">($O177*$Q177*$S177)^(1/3)/(AP172*((1-AP$2)*$H172+AP$2*$H173) + AP174*((1-AP$2)*$H174+AP$2*$H175) + AP176*((1-AP$2)*$H176+AP$2*$H177))</f>
        <v>1846.3433738527447</v>
      </c>
      <c r="AQ177" s="23">
        <f t="shared" ref="AQ177" si="4040">($O177*$Q177*$S177)^(1/3)/(AQ172*((1-AQ$2)*$H172+AQ$2*$H173) + AQ174*((1-AQ$2)*$H174+AQ$2*$H175) + AQ176*((1-AQ$2)*$H176+AQ$2*$H177))</f>
        <v>2220.157285963734</v>
      </c>
      <c r="AR177" s="23">
        <f t="shared" ref="AR177" si="4041">($O177*$Q177*$S177)^(1/3)/(AR172*((1-AR$2)*$H172+AR$2*$H173) + AR174*((1-AR$2)*$H174+AR$2*$H175) + AR176*((1-AR$2)*$H176+AR$2*$H177))</f>
        <v>2131.6354414493858</v>
      </c>
      <c r="AS177" s="23">
        <f t="shared" ref="AS177" si="4042">($O177*$Q177*$S177)^(1/3)/(AS172*((1-AS$2)*$H172+AS$2*$H173) + AS174*((1-AS$2)*$H174+AS$2*$H175) + AS176*((1-AS$2)*$H176+AS$2*$H177))</f>
        <v>2515.2909275228385</v>
      </c>
      <c r="AT177" s="23">
        <f t="shared" ref="AT177" si="4043">($O177*$Q177*$S177)^(1/3)/(AT172*((1-AT$2)*$H172+AT$2*$H173) + AT174*((1-AT$2)*$H174+AT$2*$H175) + AT176*((1-AT$2)*$H176+AT$2*$H177))</f>
        <v>2736.3997287512748</v>
      </c>
      <c r="AU177" s="23">
        <f t="shared" ref="AU177" si="4044">($O177*$Q177*$S177)^(1/3)/(AU172*((1-AU$2)*$H172+AU$2*$H173) + AU174*((1-AU$2)*$H174+AU$2*$H175) + AU176*((1-AU$2)*$H176+AU$2*$H177))</f>
        <v>3318.4022157638829</v>
      </c>
      <c r="AV177" s="23">
        <f t="shared" ref="AV177" si="4045">($O177*$Q177*$S177)^(1/3)/(AV172*((1-AV$2)*$H172+AV$2*$H173) + AV174*((1-AV$2)*$H174+AV$2*$H175) + AV176*((1-AV$2)*$H176+AV$2*$H177))</f>
        <v>1873.769639503179</v>
      </c>
      <c r="AW177" s="23">
        <f t="shared" ref="AW177" si="4046">($O177*$Q177*$S177)^(1/3)/(AW172*((1-AW$2)*$H172+AW$2*$H173) + AW174*((1-AW$2)*$H174+AW$2*$H175) + AW176*((1-AW$2)*$H176+AW$2*$H177))</f>
        <v>1926.3227155287698</v>
      </c>
      <c r="AX177" s="23">
        <f t="shared" ref="AX177" si="4047">($O177*$Q177*$S177)^(1/3)/(AX172*((1-AX$2)*$H172+AX$2*$H173) + AX174*((1-AX$2)*$H174+AX$2*$H175) + AX176*((1-AX$2)*$H176+AX$2*$H177))</f>
        <v>2004.7602874086158</v>
      </c>
      <c r="AY177" s="23">
        <f t="shared" ref="AY177" si="4048">($O177*$Q177*$S177)^(1/3)/(AY172*((1-AY$2)*$H172+AY$2*$H173) + AY174*((1-AY$2)*$H174+AY$2*$H175) + AY176*((1-AY$2)*$H176+AY$2*$H177))</f>
        <v>2395.4111067249278</v>
      </c>
      <c r="AZ177" s="23">
        <f t="shared" ref="AZ177" si="4049">($O177*$Q177*$S177)^(1/3)/(AZ172*((1-AZ$2)*$H172+AZ$2*$H173) + AZ174*((1-AZ$2)*$H174+AZ$2*$H175) + AZ176*((1-AZ$2)*$H176+AZ$2*$H177))</f>
        <v>2287.7936565769019</v>
      </c>
      <c r="BA177" s="23">
        <f t="shared" ref="BA177" si="4050">($O177*$Q177*$S177)^(1/3)/(BA172*((1-BA$2)*$H172+BA$2*$H173) + BA174*((1-BA$2)*$H174+BA$2*$H175) + BA176*((1-BA$2)*$H176+BA$2*$H177))</f>
        <v>2685.3801707086054</v>
      </c>
      <c r="BB177" s="23">
        <f t="shared" ref="BB177" si="4051">($O177*$Q177*$S177)^(1/3)/(BB172*((1-BB$2)*$H172+BB$2*$H173) + BB174*((1-BB$2)*$H174+BB$2*$H175) + BB176*((1-BB$2)*$H176+BB$2*$H177))</f>
        <v>2869.0095565456731</v>
      </c>
      <c r="BC177" s="23">
        <f t="shared" ref="BC177" si="4052">($O177*$Q177*$S177)^(1/3)/(BC172*((1-BC$2)*$H172+BC$2*$H173) + BC174*((1-BC$2)*$H174+BC$2*$H175) + BC176*((1-BC$2)*$H176+BC$2*$H177))</f>
        <v>3404.4500417856311</v>
      </c>
      <c r="BD177" s="23">
        <f t="shared" ref="BD177" si="4053">($O177*$Q177*$S177)^(1/3)/(BD172*((1-BD$2)*$H172+BD$2*$H173) + BD174*((1-BD$2)*$H174+BD$2*$H175) + BD176*((1-BD$2)*$H176+BD$2*$H177))</f>
        <v>2064.1526510035019</v>
      </c>
      <c r="BE177" s="23">
        <f t="shared" ref="BE177" si="4054">($O177*$Q177*$S177)^(1/3)/(BE172*((1-BE$2)*$H172+BE$2*$H173) + BE174*((1-BE$2)*$H174+BE$2*$H175) + BE176*((1-BE$2)*$H176+BE$2*$H177))</f>
        <v>2115.7451531333854</v>
      </c>
      <c r="BF177" s="23">
        <f t="shared" ref="BF177" si="4055">($O177*$Q177*$S177)^(1/3)/(BF172*((1-BF$2)*$H172+BF$2*$H173) + BF174*((1-BF$2)*$H174+BF$2*$H175) + BF176*((1-BF$2)*$H176+BF$2*$H177))</f>
        <v>2192.912997032467</v>
      </c>
      <c r="BG177" s="23">
        <f t="shared" ref="BG177" si="4056">($O177*$Q177*$S177)^(1/3)/(BG172*((1-BG$2)*$H172+BG$2*$H173) + BG174*((1-BG$2)*$H174+BG$2*$H175) + BG176*((1-BG$2)*$H176+BG$2*$H177))</f>
        <v>2600.7043911713704</v>
      </c>
      <c r="BH177" s="23">
        <f t="shared" ref="BH177" si="4057">($O177*$Q177*$S177)^(1/3)/(BH172*((1-BH$2)*$H172+BH$2*$H173) + BH174*((1-BH$2)*$H174+BH$2*$H175) + BH176*((1-BH$2)*$H176+BH$2*$H177))</f>
        <v>2468.6399701819828</v>
      </c>
      <c r="BI177" s="23">
        <f t="shared" ref="BI177" si="4058">($O177*$Q177*$S177)^(1/3)/(BI172*((1-BI$2)*$H172+BI$2*$H173) + BI174*((1-BI$2)*$H174+BI$2*$H175) + BI176*((1-BI$2)*$H176+BI$2*$H177))</f>
        <v>2880.1413650026479</v>
      </c>
      <c r="BJ177" s="23">
        <f t="shared" ref="BJ177" si="4059">($O177*$Q177*$S177)^(1/3)/(BJ172*((1-BJ$2)*$H172+BJ$2*$H173) + BJ174*((1-BJ$2)*$H174+BJ$2*$H175) + BJ176*((1-BJ$2)*$H176+BJ$2*$H177))</f>
        <v>3015.126899997304</v>
      </c>
      <c r="BK177" s="23">
        <f t="shared" ref="BK177" si="4060">($O177*$Q177*$S177)^(1/3)/(BK172*((1-BK$2)*$H172+BK$2*$H173) + BK174*((1-BK$2)*$H174+BK$2*$H175) + BK176*((1-BK$2)*$H176+BK$2*$H177))</f>
        <v>3495.0791899461688</v>
      </c>
      <c r="BL177" s="23">
        <f t="shared" ref="BL177" si="4061">($O177*$Q177*$S177)^(1/3)/(BL172*((1-BL$2)*$H172+BL$2*$H173) + BL174*((1-BL$2)*$H174+BL$2*$H175) + BL176*((1-BL$2)*$H176+BL$2*$H177))</f>
        <v>2297.59848653366</v>
      </c>
      <c r="BM177" s="23">
        <f t="shared" ref="BM177" si="4062">($O177*$Q177*$S177)^(1/3)/(BM172*((1-BM$2)*$H172+BM$2*$H173) + BM174*((1-BM$2)*$H174+BM$2*$H175) + BM176*((1-BM$2)*$H176+BM$2*$H177))</f>
        <v>2346.4835607152268</v>
      </c>
      <c r="BN177" s="23">
        <f t="shared" ref="BN177" si="4063">($O177*$Q177*$S177)^(1/3)/(BN172*((1-BN$2)*$H172+BN$2*$H173) + BN174*((1-BN$2)*$H174+BN$2*$H175) + BN176*((1-BN$2)*$H176+BN$2*$H177))</f>
        <v>2420.0410391075538</v>
      </c>
      <c r="BO177" s="23">
        <f t="shared" ref="BO177" si="4064">($O177*$Q177*$S177)^(1/3)/(BO172*((1-BO$2)*$H172+BO$2*$H173) + BO174*((1-BO$2)*$H174+BO$2*$H175) + BO176*((1-BO$2)*$H176+BO$2*$H177))</f>
        <v>2844.4844932767487</v>
      </c>
      <c r="BP177" s="23">
        <f t="shared" ref="BP177" si="4065">($O177*$Q177*$S177)^(1/3)/(BP172*((1-BP$2)*$H172+BP$2*$H173) + BP174*((1-BP$2)*$H174+BP$2*$H175) + BP176*((1-BP$2)*$H176+BP$2*$H177))</f>
        <v>2680.5315676226032</v>
      </c>
      <c r="BQ177" s="23">
        <f t="shared" ref="BQ177" si="4066">($O177*$Q177*$S177)^(1/3)/(BQ172*((1-BQ$2)*$H172+BQ$2*$H173) + BQ174*((1-BQ$2)*$H174+BQ$2*$H175) + BQ176*((1-BQ$2)*$H176+BQ$2*$H177))</f>
        <v>3105.3623953150031</v>
      </c>
      <c r="BR177" s="23">
        <f t="shared" ref="BR177" si="4067">($O177*$Q177*$S177)^(1/3)/(BR172*((1-BR$2)*$H172+BR$2*$H173) + BR174*((1-BR$2)*$H174+BR$2*$H175) + BR176*((1-BR$2)*$H176+BR$2*$H177))</f>
        <v>3176.9263023675298</v>
      </c>
      <c r="BS177" s="23">
        <f t="shared" ref="BS177" si="4068">($O177*$Q177*$S177)^(1/3)/(BS172*((1-BS$2)*$H172+BS$2*$H173) + BS174*((1-BS$2)*$H174+BS$2*$H175) + BS176*((1-BS$2)*$H176+BS$2*$H177))</f>
        <v>3590.6655417456273</v>
      </c>
      <c r="BT177" s="23">
        <f t="shared" ref="BT177" si="4069">($O177*$Q177*$S177)^(1/3)/(BT172*((1-BT$2)*$H172+BT$2*$H173) + BT174*((1-BT$2)*$H174+BT$2*$H175) + BT176*((1-BT$2)*$H176+BT$2*$H177))</f>
        <v>2590.5808438768781</v>
      </c>
      <c r="BU177" s="23">
        <f t="shared" ref="BU177" si="4070">($O177*$Q177*$S177)^(1/3)/(BU172*((1-BU$2)*$H172+BU$2*$H173) + BU174*((1-BU$2)*$H174+BU$2*$H175) + BU176*((1-BU$2)*$H176+BU$2*$H177))</f>
        <v>2633.7100555243919</v>
      </c>
      <c r="BV177" s="23">
        <f t="shared" ref="BV177" si="4071">($O177*$Q177*$S177)^(1/3)/(BV172*((1-BV$2)*$H172+BV$2*$H173) + BV174*((1-BV$2)*$H174+BV$2*$H175) + BV176*((1-BV$2)*$H176+BV$2*$H177))</f>
        <v>2699.6541176224287</v>
      </c>
      <c r="BW177" s="23">
        <f t="shared" ref="BW177" si="4072">($O177*$Q177*$S177)^(1/3)/(BW172*((1-BW$2)*$H172+BW$2*$H173) + BW174*((1-BW$2)*$H174+BW$2*$H175) + BW176*((1-BW$2)*$H176+BW$2*$H177))</f>
        <v>3138.6936553720511</v>
      </c>
      <c r="BX177" s="23">
        <f t="shared" ref="BX177" si="4073">($O177*$Q177*$S177)^(1/3)/(BX172*((1-BX$2)*$H172+BX$2*$H173) + BX174*((1-BX$2)*$H174+BX$2*$H175) + BX176*((1-BX$2)*$H176+BX$2*$H177))</f>
        <v>2932.2132006810612</v>
      </c>
      <c r="BY177" s="23">
        <f t="shared" ref="BY177" si="4074">($O177*$Q177*$S177)^(1/3)/(BY172*((1-BY$2)*$H172+BY$2*$H173) + BY174*((1-BY$2)*$H174+BY$2*$H175) + BY176*((1-BY$2)*$H176+BY$2*$H177))</f>
        <v>3368.7951277505222</v>
      </c>
      <c r="BZ177" s="23">
        <f t="shared" ref="BZ177" si="4075">($O177*$Q177*$S177)^(1/3)/(BZ172*((1-BZ$2)*$H172+BZ$2*$H173) + BZ174*((1-BZ$2)*$H174+BZ$2*$H175) + BZ176*((1-BZ$2)*$H176+BZ$2*$H177))</f>
        <v>3357.0755412911362</v>
      </c>
      <c r="CA177" s="23">
        <f t="shared" ref="CA177" si="4076">($O177*$Q177*$S177)^(1/3)/(CA172*((1-CA$2)*$H172+CA$2*$H173) + CA174*((1-CA$2)*$H174+CA$2*$H175) + CA176*((1-CA$2)*$H176+CA$2*$H177))</f>
        <v>3691.6272545682368</v>
      </c>
      <c r="CB177" s="23">
        <f t="shared" ref="CB177" si="4077">($O177*$Q177*$S177)^(1/3)/(CB172*((1-CB$2)*$H172+CB$2*$H173) + CB174*((1-CB$2)*$H174+CB$2*$H175) + CB176*((1-CB$2)*$H176+CB$2*$H177))</f>
        <v>2969.2041979819605</v>
      </c>
      <c r="CC177" s="23">
        <f t="shared" ref="CC177" si="4078">($O177*$Q177*$S177)^(1/3)/(CC172*((1-CC$2)*$H172+CC$2*$H173) + CC174*((1-CC$2)*$H174+CC$2*$H175) + CC176*((1-CC$2)*$H176+CC$2*$H177))</f>
        <v>3001.0616213470284</v>
      </c>
      <c r="CD177" s="23">
        <f t="shared" ref="CD177" si="4079">($O177*$Q177*$S177)^(1/3)/(CD172*((1-CD$2)*$H172+CD$2*$H173) + CD174*((1-CD$2)*$H174+CD$2*$H175) + CD176*((1-CD$2)*$H176+CD$2*$H177))</f>
        <v>3052.321253658507</v>
      </c>
      <c r="CE177" s="23">
        <f t="shared" ref="CE177" si="4080">($O177*$Q177*$S177)^(1/3)/(CE172*((1-CE$2)*$H172+CE$2*$H173) + CE174*((1-CE$2)*$H174+CE$2*$H175) + CE176*((1-CE$2)*$H176+CE$2*$H177))</f>
        <v>3500.7849241579438</v>
      </c>
      <c r="CF177" s="23">
        <f t="shared" ref="CF177" si="4081">($O177*$Q177*$S177)^(1/3)/(CF172*((1-CF$2)*$H172+CF$2*$H173) + CF174*((1-CF$2)*$H174+CF$2*$H175) + CF176*((1-CF$2)*$H176+CF$2*$H177))</f>
        <v>3236.0542063854359</v>
      </c>
      <c r="CG177" s="23">
        <f t="shared" ref="CG177" si="4082">($O177*$Q177*$S177)^(1/3)/(CG172*((1-CG$2)*$H172+CG$2*$H173) + CG174*((1-CG$2)*$H174+CG$2*$H175) + CG176*((1-CG$2)*$H176+CG$2*$H177))</f>
        <v>3681.0656660085333</v>
      </c>
      <c r="CH177" s="23">
        <f t="shared" ref="CH177" si="4083">($O177*$Q177*$S177)^(1/3)/(CH172*((1-CH$2)*$H172+CH$2*$H173) + CH174*((1-CH$2)*$H174+CH$2*$H175) + CH176*((1-CH$2)*$H176+CH$2*$H177))</f>
        <v>3558.8838810405205</v>
      </c>
      <c r="CI177" s="23">
        <f t="shared" ref="CI177" si="4084">($O177*$Q177*$S177)^(1/3)/(CI172*((1-CI$2)*$H172+CI$2*$H173) + CI174*((1-CI$2)*$H174+CI$2*$H175) + CI176*((1-CI$2)*$H176+CI$2*$H177))</f>
        <v>3798.4308771664519</v>
      </c>
      <c r="CJ177" s="23">
        <f t="shared" ref="CJ177" si="4085">($O177*$Q177*$S177)^(1/3)/(CJ172*((1-CJ$2)*$H172+CJ$2*$H173) + CJ174*((1-CJ$2)*$H174+CJ$2*$H175) + CJ176*((1-CJ$2)*$H176+CJ$2*$H177))</f>
        <v>3477.4463579968906</v>
      </c>
      <c r="CK177" s="23">
        <f t="shared" ref="CK177" si="4086">($O177*$Q177*$S177)^(1/3)/(CK172*((1-CK$2)*$H172+CK$2*$H173) + CK174*((1-CK$2)*$H174+CK$2*$H175) + CK176*((1-CK$2)*$H176+CK$2*$H177))</f>
        <v>3487.5004132422741</v>
      </c>
      <c r="CL177" s="23">
        <f t="shared" ref="CL177" si="4087">($O177*$Q177*$S177)^(1/3)/(CL172*((1-CL$2)*$H172+CL$2*$H173) + CL174*((1-CL$2)*$H174+CL$2*$H175) + CL176*((1-CL$2)*$H176+CL$2*$H177))</f>
        <v>3510.9745837516361</v>
      </c>
      <c r="CM177" s="23">
        <f t="shared" ref="CM177" si="4088">($O177*$Q177*$S177)^(1/3)/(CM172*((1-CM$2)*$H172+CM$2*$H173) + CM174*((1-CM$2)*$H174+CM$2*$H175) + CM176*((1-CM$2)*$H176+CM$2*$H177))</f>
        <v>3957.3154166255367</v>
      </c>
      <c r="CN177" s="23">
        <f t="shared" ref="CN177" si="4089">($O177*$Q177*$S177)^(1/3)/(CN172*((1-CN$2)*$H172+CN$2*$H173) + CN174*((1-CN$2)*$H174+CN$2*$H175) + CN176*((1-CN$2)*$H176+CN$2*$H177))</f>
        <v>3610.1435254176467</v>
      </c>
      <c r="CO177" s="23">
        <f t="shared" ref="CO177" si="4090">($O177*$Q177*$S177)^(1/3)/(CO172*((1-CO$2)*$H172+CO$2*$H173) + CO174*((1-CO$2)*$H174+CO$2*$H175) + CO176*((1-CO$2)*$H176+CO$2*$H177))</f>
        <v>4057.1425871100992</v>
      </c>
      <c r="CP177" s="23">
        <f t="shared" ref="CP177" si="4091">($O177*$Q177*$S177)^(1/3)/(CP172*((1-CP$2)*$H172+CP$2*$H173) + CP174*((1-CP$2)*$H174+CP$2*$H175) + CP176*((1-CP$2)*$H176+CP$2*$H177))</f>
        <v>3786.5072173597691</v>
      </c>
      <c r="CQ177" s="23">
        <f t="shared" ref="CQ177" si="4092">($O177*$Q177*$S177)^(1/3)/(CQ172*((1-CQ$2)*$H172+CQ$2*$H173) + CQ174*((1-CQ$2)*$H174+CQ$2*$H175) + CQ176*((1-CQ$2)*$H176+CQ$2*$H177))</f>
        <v>3911.5985583467259</v>
      </c>
      <c r="CS177" s="2">
        <f t="shared" ref="CS177" si="4093">100*$AF177/AF177</f>
        <v>100</v>
      </c>
      <c r="CT177" s="2">
        <f t="shared" ref="CT177" si="4094">100*$AF177/AG177</f>
        <v>96.827868852459005</v>
      </c>
      <c r="CU177" s="2">
        <f t="shared" ref="CU177" si="4095">100*$AF177/AH177</f>
        <v>92.450819672131146</v>
      </c>
      <c r="CV177" s="2">
        <f t="shared" ref="CV177" si="4096">100*$AF177/AI177</f>
        <v>76.467213114754102</v>
      </c>
      <c r="CW177" s="2">
        <f t="shared" ref="CW177" si="4097">100*$AF177/AJ177</f>
        <v>79.27868852459018</v>
      </c>
      <c r="CX177" s="2">
        <f t="shared" ref="CX177" si="4098">100*$AF177/AK177</f>
        <v>66.877049180327859</v>
      </c>
      <c r="CY177" s="2">
        <f t="shared" ref="CY177" si="4099">100*$AF177/AL177</f>
        <v>60.483606557377044</v>
      </c>
      <c r="CZ177" s="2">
        <f t="shared" ref="CZ177" si="4100">100*$AF177/AM177</f>
        <v>48.877049180327866</v>
      </c>
      <c r="DA177" s="2">
        <f t="shared" ref="DA177" si="4101">100*$AF177/AN177</f>
        <v>92.21311475409837</v>
      </c>
      <c r="DB177" s="2">
        <f t="shared" ref="DB177" si="4102">100*$AF177/AO177</f>
        <v>89.475409836065566</v>
      </c>
      <c r="DC177" s="2">
        <f t="shared" ref="DC177" si="4103">100*$AF177/AP177</f>
        <v>85.680327868852473</v>
      </c>
      <c r="DD177" s="2">
        <f t="shared" ref="DD177" si="4104">100*$AF177/AQ177</f>
        <v>71.25409836065576</v>
      </c>
      <c r="DE177" s="2">
        <f t="shared" ref="DE177" si="4105">100*$AF177/AR177</f>
        <v>74.213114754098385</v>
      </c>
      <c r="DF177" s="2">
        <f t="shared" ref="DF177" si="4106">100*$AF177/AS177</f>
        <v>62.893442622950836</v>
      </c>
      <c r="DG177" s="2">
        <f t="shared" ref="DG177" si="4107">100*$AF177/AT177</f>
        <v>57.811475409836078</v>
      </c>
      <c r="DH177" s="2">
        <f t="shared" ref="DH177" si="4108">100*$AF177/AU177</f>
        <v>47.672131147540988</v>
      </c>
      <c r="DI177" s="2">
        <f t="shared" ref="DI177" si="4109">100*$AF177/AV177</f>
        <v>84.426229508196727</v>
      </c>
      <c r="DJ177" s="2">
        <f t="shared" ref="DJ177" si="4110">100*$AF177/AW177</f>
        <v>82.122950819672127</v>
      </c>
      <c r="DK177" s="2">
        <f t="shared" ref="DK177" si="4111">100*$AF177/AX177</f>
        <v>78.909836065573771</v>
      </c>
      <c r="DL177" s="2">
        <f t="shared" ref="DL177" si="4112">100*$AF177/AY177</f>
        <v>66.040983606557376</v>
      </c>
      <c r="DM177" s="2">
        <f t="shared" ref="DM177" si="4113">100*$AF177/AZ177</f>
        <v>69.147540983606561</v>
      </c>
      <c r="DN177" s="2">
        <f t="shared" ref="DN177" si="4114">100*$AF177/BA177</f>
        <v>58.909836065573764</v>
      </c>
      <c r="DO177" s="2">
        <f t="shared" ref="DO177" si="4115">100*$AF177/BB177</f>
        <v>55.139344262295083</v>
      </c>
      <c r="DP177" s="2">
        <f t="shared" ref="DP177" si="4116">100*$AF177/BC177</f>
        <v>46.467213114754102</v>
      </c>
      <c r="DQ177" s="2">
        <f t="shared" ref="DQ177" si="4117">100*$AF177/BD177</f>
        <v>76.639344262295083</v>
      </c>
      <c r="DR177" s="2">
        <f t="shared" ref="DR177" si="4118">100*$AF177/BE177</f>
        <v>74.770491803278702</v>
      </c>
      <c r="DS177" s="2">
        <f t="shared" ref="DS177" si="4119">100*$AF177/BF177</f>
        <v>72.139344262295083</v>
      </c>
      <c r="DT177" s="2">
        <f t="shared" ref="DT177" si="4120">100*$AF177/BG177</f>
        <v>60.827868852459034</v>
      </c>
      <c r="DU177" s="2">
        <f t="shared" ref="DU177" si="4121">100*$AF177/BH177</f>
        <v>64.081967213114766</v>
      </c>
      <c r="DV177" s="2">
        <f t="shared" ref="DV177" si="4122">100*$AF177/BI177</f>
        <v>54.92622950819672</v>
      </c>
      <c r="DW177" s="2">
        <f t="shared" ref="DW177" si="4123">100*$AF177/BJ177</f>
        <v>52.467213114754102</v>
      </c>
      <c r="DX177" s="2">
        <f t="shared" ref="DX177" si="4124">100*$AF177/BK177</f>
        <v>45.262295081967217</v>
      </c>
      <c r="DY177" s="2">
        <f t="shared" ref="DY177" si="4125">100*$AF177/BL177</f>
        <v>68.852459016393439</v>
      </c>
      <c r="DZ177" s="2">
        <f t="shared" ref="DZ177" si="4126">100*$AF177/BM177</f>
        <v>67.418032786885263</v>
      </c>
      <c r="EA177" s="2">
        <f t="shared" ref="EA177" si="4127">100*$AF177/BN177</f>
        <v>65.368852459016395</v>
      </c>
      <c r="EB177" s="2">
        <f t="shared" ref="EB177" si="4128">100*$AF177/BO177</f>
        <v>55.61475409836067</v>
      </c>
      <c r="EC177" s="2">
        <f t="shared" ref="EC177" si="4129">100*$AF177/BP177</f>
        <v>59.016393442622956</v>
      </c>
      <c r="ED177" s="2">
        <f t="shared" ref="ED177" si="4130">100*$AF177/BQ177</f>
        <v>50.942622950819668</v>
      </c>
      <c r="EE177" s="2">
        <f t="shared" ref="EE177" si="4131">100*$AF177/BR177</f>
        <v>49.795081967213115</v>
      </c>
      <c r="EF177" s="2">
        <f t="shared" ref="EF177" si="4132">100*$AF177/BS177</f>
        <v>44.057377049180324</v>
      </c>
      <c r="EG177" s="2">
        <f t="shared" ref="EG177" si="4133">100*$AF177/BT177</f>
        <v>61.06557377049181</v>
      </c>
      <c r="EH177" s="2">
        <f t="shared" ref="EH177" si="4134">100*$AF177/BU177</f>
        <v>60.065573770491802</v>
      </c>
      <c r="EI177" s="2">
        <f t="shared" ref="EI177" si="4135">100*$AF177/BV177</f>
        <v>58.598360655737707</v>
      </c>
      <c r="EJ177" s="2">
        <f t="shared" ref="EJ177" si="4136">100*$AF177/BW177</f>
        <v>50.4016393442623</v>
      </c>
      <c r="EK177" s="2">
        <f t="shared" ref="EK177" si="4137">100*$AF177/BX177</f>
        <v>53.950819672131146</v>
      </c>
      <c r="EL177" s="2">
        <f t="shared" ref="EL177" si="4138">100*$AF177/BY177</f>
        <v>46.959016393442631</v>
      </c>
      <c r="EM177" s="2">
        <f t="shared" ref="EM177" si="4139">100*$AF177/BZ177</f>
        <v>47.122950819672134</v>
      </c>
      <c r="EN177" s="2">
        <f t="shared" ref="EN177" si="4140">100*$AF177/CA177</f>
        <v>42.852459016393446</v>
      </c>
      <c r="EO177" s="2">
        <f t="shared" ref="EO177" si="4141">100*$AF177/CB177</f>
        <v>53.278688524590166</v>
      </c>
      <c r="EP177" s="2">
        <f t="shared" ref="EP177" si="4142">100*$AF177/CC177</f>
        <v>52.71311475409837</v>
      </c>
      <c r="EQ177" s="2">
        <f t="shared" ref="EQ177" si="4143">100*$AF177/CD177</f>
        <v>51.827868852459027</v>
      </c>
      <c r="ER177" s="2">
        <f t="shared" ref="ER177" si="4144">100*$AF177/CE177</f>
        <v>45.188524590163937</v>
      </c>
      <c r="ES177" s="2">
        <f t="shared" ref="ES177" si="4145">100*$AF177/CF177</f>
        <v>48.885245901639358</v>
      </c>
      <c r="ET177" s="2">
        <f t="shared" ref="ET177" si="4146">100*$AF177/CG177</f>
        <v>42.97540983606558</v>
      </c>
      <c r="EU177" s="2">
        <f t="shared" ref="EU177" si="4147">100*$AF177/CH177</f>
        <v>44.450819672131153</v>
      </c>
      <c r="EV177" s="2">
        <f t="shared" ref="EV177" si="4148">100*$AF177/CI177</f>
        <v>41.647540983606561</v>
      </c>
      <c r="EW177" s="2">
        <f t="shared" ref="EW177" si="4149">100*$AF177/CJ177</f>
        <v>45.491803278688529</v>
      </c>
      <c r="EX177" s="2">
        <f t="shared" ref="EX177" si="4150">100*$AF177/CK177</f>
        <v>45.360655737704917</v>
      </c>
      <c r="EY177" s="2">
        <f t="shared" ref="EY177" si="4151">100*$AF177/CL177</f>
        <v>45.057377049180332</v>
      </c>
      <c r="EZ177" s="2">
        <f t="shared" ref="EZ177" si="4152">100*$AF177/CM177</f>
        <v>39.97540983606558</v>
      </c>
      <c r="FA177" s="2">
        <f t="shared" ref="FA177" si="4153">100*$AF177/CN177</f>
        <v>43.819672131147549</v>
      </c>
      <c r="FB177" s="2">
        <f t="shared" ref="FB177" si="4154">100*$AF177/CO177</f>
        <v>38.991803278688529</v>
      </c>
      <c r="FC177" s="2">
        <f t="shared" ref="FC177" si="4155">100*$AF177/CP177</f>
        <v>41.778688524590166</v>
      </c>
      <c r="FD177" s="2">
        <f t="shared" ref="FD177" si="4156">100*$AF177/CQ177</f>
        <v>40.442622950819668</v>
      </c>
    </row>
    <row r="178" spans="3:160" x14ac:dyDescent="0.4">
      <c r="C178" s="1" t="s">
        <v>39</v>
      </c>
      <c r="D178" s="1" t="s">
        <v>5</v>
      </c>
      <c r="E178" s="1">
        <v>0.248</v>
      </c>
      <c r="F178" s="1">
        <v>0.13900000000000001</v>
      </c>
      <c r="G178" s="1">
        <v>0.109</v>
      </c>
      <c r="H178" s="1">
        <v>6.0999999999999999E-2</v>
      </c>
      <c r="I178" s="1">
        <v>5402</v>
      </c>
      <c r="J178" s="1">
        <v>4613</v>
      </c>
      <c r="K178" s="1">
        <v>72</v>
      </c>
      <c r="L178" s="1">
        <v>6422</v>
      </c>
      <c r="M178" s="1">
        <v>6635</v>
      </c>
      <c r="N178" s="1">
        <v>75.5</v>
      </c>
      <c r="O178" s="1">
        <v>96.5</v>
      </c>
      <c r="P178" s="1">
        <v>90.5</v>
      </c>
      <c r="Q178" s="1">
        <v>97</v>
      </c>
      <c r="R178" s="1">
        <v>51</v>
      </c>
      <c r="S178" s="1">
        <v>96</v>
      </c>
      <c r="T178" s="4">
        <v>0</v>
      </c>
      <c r="U178" s="1">
        <v>1.335</v>
      </c>
      <c r="V178" s="1">
        <v>7.0999999999999994E-2</v>
      </c>
      <c r="W178" s="1">
        <v>4.0199999999999996</v>
      </c>
      <c r="X178" s="1">
        <f t="shared" ref="X178" si="4157">H179</f>
        <v>2.3E-2</v>
      </c>
      <c r="Y178" s="1">
        <f t="shared" ref="Y178" si="4158">H180</f>
        <v>6.6000000000000003E-2</v>
      </c>
      <c r="Z178" s="1">
        <f t="shared" ref="Z178" si="4159">H181</f>
        <v>2.4E-2</v>
      </c>
      <c r="AA178" s="1">
        <f t="shared" ref="AA178" si="4160">H182</f>
        <v>2.1999999999999999E-2</v>
      </c>
      <c r="AB178" s="1">
        <f t="shared" ref="AB178" si="4161">H183</f>
        <v>2.4E-2</v>
      </c>
      <c r="AC178" s="1">
        <f t="shared" si="2917"/>
        <v>3861.7418586315193</v>
      </c>
      <c r="AE178" s="1" t="s">
        <v>96</v>
      </c>
      <c r="AF178" s="1">
        <v>1</v>
      </c>
      <c r="AG178" s="1">
        <v>0.81499999999999995</v>
      </c>
      <c r="AH178" s="1">
        <v>0.64500000000000002</v>
      </c>
      <c r="AI178" s="1">
        <v>0.39500000000000002</v>
      </c>
      <c r="AJ178" s="1">
        <v>0.36</v>
      </c>
      <c r="AK178" s="1">
        <v>0.245</v>
      </c>
      <c r="AL178" s="1">
        <v>0.14499999999999999</v>
      </c>
      <c r="AM178" s="20">
        <v>6.5000000000000002E-2</v>
      </c>
      <c r="AN178" s="1">
        <v>1</v>
      </c>
      <c r="AO178" s="1">
        <v>0.81499999999999995</v>
      </c>
      <c r="AP178" s="1">
        <v>0.64500000000000002</v>
      </c>
      <c r="AQ178" s="1">
        <v>0.39500000000000002</v>
      </c>
      <c r="AR178" s="1">
        <v>0.36</v>
      </c>
      <c r="AS178" s="1">
        <v>0.245</v>
      </c>
      <c r="AT178" s="1">
        <v>0.14499999999999999</v>
      </c>
      <c r="AU178" s="20">
        <v>6.5000000000000002E-2</v>
      </c>
      <c r="AV178" s="1">
        <v>1</v>
      </c>
      <c r="AW178" s="1">
        <v>0.81499999999999995</v>
      </c>
      <c r="AX178" s="1">
        <v>0.64500000000000002</v>
      </c>
      <c r="AY178" s="1">
        <v>0.39500000000000002</v>
      </c>
      <c r="AZ178" s="1">
        <v>0.36</v>
      </c>
      <c r="BA178" s="1">
        <v>0.245</v>
      </c>
      <c r="BB178" s="1">
        <v>0.14499999999999999</v>
      </c>
      <c r="BC178" s="20">
        <v>6.5000000000000002E-2</v>
      </c>
      <c r="BD178" s="1">
        <v>1</v>
      </c>
      <c r="BE178" s="1">
        <v>0.81499999999999995</v>
      </c>
      <c r="BF178" s="1">
        <v>0.64500000000000002</v>
      </c>
      <c r="BG178" s="1">
        <v>0.39500000000000002</v>
      </c>
      <c r="BH178" s="1">
        <v>0.36</v>
      </c>
      <c r="BI178" s="1">
        <v>0.245</v>
      </c>
      <c r="BJ178" s="1">
        <v>0.14499999999999999</v>
      </c>
      <c r="BK178" s="20">
        <v>6.5000000000000002E-2</v>
      </c>
      <c r="BL178" s="1">
        <v>1</v>
      </c>
      <c r="BM178" s="1">
        <v>0.81499999999999995</v>
      </c>
      <c r="BN178" s="1">
        <v>0.64500000000000002</v>
      </c>
      <c r="BO178" s="1">
        <v>0.39500000000000002</v>
      </c>
      <c r="BP178" s="1">
        <v>0.36</v>
      </c>
      <c r="BQ178" s="1">
        <v>0.245</v>
      </c>
      <c r="BR178" s="1">
        <v>0.14499999999999999</v>
      </c>
      <c r="BS178" s="20">
        <v>6.5000000000000002E-2</v>
      </c>
      <c r="BT178" s="1">
        <v>1</v>
      </c>
      <c r="BU178" s="1">
        <v>0.81499999999999995</v>
      </c>
      <c r="BV178" s="1">
        <v>0.64500000000000002</v>
      </c>
      <c r="BW178" s="1">
        <v>0.39500000000000002</v>
      </c>
      <c r="BX178" s="1">
        <v>0.36</v>
      </c>
      <c r="BY178" s="1">
        <v>0.245</v>
      </c>
      <c r="BZ178" s="1">
        <v>0.14499999999999999</v>
      </c>
      <c r="CA178" s="20">
        <v>6.5000000000000002E-2</v>
      </c>
      <c r="CB178" s="1">
        <v>1</v>
      </c>
      <c r="CC178" s="1">
        <v>0.81499999999999995</v>
      </c>
      <c r="CD178" s="1">
        <v>0.64500000000000002</v>
      </c>
      <c r="CE178" s="1">
        <v>0.39500000000000002</v>
      </c>
      <c r="CF178" s="1">
        <v>0.36</v>
      </c>
      <c r="CG178" s="1">
        <v>0.245</v>
      </c>
      <c r="CH178" s="1">
        <v>0.14499999999999999</v>
      </c>
      <c r="CI178" s="20">
        <v>6.5000000000000002E-2</v>
      </c>
      <c r="CJ178" s="1">
        <v>1</v>
      </c>
      <c r="CK178" s="1">
        <v>0.81499999999999995</v>
      </c>
      <c r="CL178" s="1">
        <v>0.64500000000000002</v>
      </c>
      <c r="CM178" s="1">
        <v>0.39500000000000002</v>
      </c>
      <c r="CN178" s="1">
        <v>0.36</v>
      </c>
      <c r="CO178" s="1">
        <v>0.245</v>
      </c>
      <c r="CP178" s="1">
        <v>0.14499999999999999</v>
      </c>
      <c r="CQ178" s="20">
        <v>6.5000000000000002E-2</v>
      </c>
    </row>
    <row r="179" spans="3:160" x14ac:dyDescent="0.4">
      <c r="C179" s="1" t="s">
        <v>39</v>
      </c>
      <c r="D179" s="1" t="s">
        <v>6</v>
      </c>
      <c r="E179" s="1">
        <v>0.20100000000000001</v>
      </c>
      <c r="F179" s="1">
        <v>9.2999999999999999E-2</v>
      </c>
      <c r="G179" s="1">
        <v>0.108</v>
      </c>
      <c r="H179" s="1">
        <v>2.3E-2</v>
      </c>
      <c r="I179" s="1">
        <v>5402</v>
      </c>
      <c r="J179" s="1">
        <v>4613</v>
      </c>
      <c r="K179" s="1">
        <v>72</v>
      </c>
      <c r="L179" s="1">
        <v>6422</v>
      </c>
      <c r="M179" s="1">
        <v>6635</v>
      </c>
      <c r="N179" s="1">
        <v>75.5</v>
      </c>
      <c r="O179" s="1">
        <v>96.5</v>
      </c>
      <c r="P179" s="1">
        <v>90.5</v>
      </c>
      <c r="Q179" s="1">
        <v>97</v>
      </c>
      <c r="R179" s="1">
        <v>51</v>
      </c>
      <c r="S179" s="1">
        <v>96</v>
      </c>
      <c r="T179" s="4">
        <v>0</v>
      </c>
      <c r="U179" s="1">
        <v>1.335</v>
      </c>
      <c r="V179" s="1">
        <v>7.0999999999999994E-2</v>
      </c>
      <c r="W179" s="1">
        <v>4.0199999999999996</v>
      </c>
      <c r="X179" s="1">
        <f t="shared" ref="X179" si="4162">H179</f>
        <v>2.3E-2</v>
      </c>
      <c r="Y179" s="1">
        <f t="shared" ref="Y179" si="4163">H180</f>
        <v>6.6000000000000003E-2</v>
      </c>
      <c r="Z179" s="1">
        <f t="shared" ref="Z179" si="4164">H181</f>
        <v>2.4E-2</v>
      </c>
      <c r="AA179" s="1">
        <f t="shared" ref="AA179" si="4165">H182</f>
        <v>2.1999999999999999E-2</v>
      </c>
      <c r="AB179" s="1">
        <f t="shared" ref="AB179" si="4166">H183</f>
        <v>2.4E-2</v>
      </c>
      <c r="AC179" s="1">
        <f t="shared" si="2917"/>
        <v>3861.7418586315193</v>
      </c>
      <c r="CQ179" s="20"/>
    </row>
    <row r="180" spans="3:160" x14ac:dyDescent="0.4">
      <c r="C180" s="1" t="s">
        <v>39</v>
      </c>
      <c r="D180" s="1" t="s">
        <v>7</v>
      </c>
      <c r="E180" s="1">
        <v>0.253</v>
      </c>
      <c r="F180" s="1">
        <v>0.14399999999999999</v>
      </c>
      <c r="G180" s="1">
        <v>0.109</v>
      </c>
      <c r="H180" s="1">
        <v>6.6000000000000003E-2</v>
      </c>
      <c r="I180" s="1">
        <v>5402</v>
      </c>
      <c r="J180" s="1">
        <v>4613</v>
      </c>
      <c r="K180" s="1">
        <v>72</v>
      </c>
      <c r="L180" s="1">
        <v>6422</v>
      </c>
      <c r="M180" s="1">
        <v>6635</v>
      </c>
      <c r="N180" s="1">
        <v>75.5</v>
      </c>
      <c r="O180" s="1">
        <v>96.5</v>
      </c>
      <c r="P180" s="1">
        <v>90.5</v>
      </c>
      <c r="Q180" s="1">
        <v>97</v>
      </c>
      <c r="R180" s="1">
        <v>51</v>
      </c>
      <c r="S180" s="1">
        <v>96</v>
      </c>
      <c r="T180" s="4">
        <v>0</v>
      </c>
      <c r="U180" s="1">
        <v>1.335</v>
      </c>
      <c r="V180" s="1">
        <v>7.0999999999999994E-2</v>
      </c>
      <c r="W180" s="1">
        <v>4.0199999999999996</v>
      </c>
      <c r="X180" s="1">
        <f t="shared" ref="X180" si="4167">H179</f>
        <v>2.3E-2</v>
      </c>
      <c r="Y180" s="1">
        <f t="shared" ref="Y180" si="4168">H180</f>
        <v>6.6000000000000003E-2</v>
      </c>
      <c r="Z180" s="1">
        <f t="shared" ref="Z180" si="4169">H181</f>
        <v>2.4E-2</v>
      </c>
      <c r="AA180" s="1">
        <f t="shared" ref="AA180" si="4170">H182</f>
        <v>2.1999999999999999E-2</v>
      </c>
      <c r="AB180" s="1">
        <f t="shared" ref="AB180" si="4171">H183</f>
        <v>2.4E-2</v>
      </c>
      <c r="AC180" s="1">
        <f t="shared" si="2917"/>
        <v>3861.7418586315193</v>
      </c>
      <c r="AE180" s="1" t="s">
        <v>97</v>
      </c>
      <c r="AF180" s="1">
        <v>0</v>
      </c>
      <c r="AG180" s="1">
        <v>0.12</v>
      </c>
      <c r="AH180" s="1">
        <v>0.21</v>
      </c>
      <c r="AI180" s="1">
        <v>0.26</v>
      </c>
      <c r="AJ180" s="1">
        <v>0.28000000000000003</v>
      </c>
      <c r="AK180" s="1">
        <v>0.26</v>
      </c>
      <c r="AL180" s="1">
        <v>0.21</v>
      </c>
      <c r="AM180" s="20">
        <v>0.12</v>
      </c>
      <c r="AN180" s="1">
        <v>0</v>
      </c>
      <c r="AO180" s="1">
        <v>0.12</v>
      </c>
      <c r="AP180" s="1">
        <v>0.21</v>
      </c>
      <c r="AQ180" s="1">
        <v>0.26</v>
      </c>
      <c r="AR180" s="1">
        <v>0.28000000000000003</v>
      </c>
      <c r="AS180" s="1">
        <v>0.26</v>
      </c>
      <c r="AT180" s="1">
        <v>0.21</v>
      </c>
      <c r="AU180" s="20">
        <v>0.12</v>
      </c>
      <c r="AV180" s="1">
        <v>0</v>
      </c>
      <c r="AW180" s="1">
        <v>0.12</v>
      </c>
      <c r="AX180" s="1">
        <v>0.21</v>
      </c>
      <c r="AY180" s="1">
        <v>0.26</v>
      </c>
      <c r="AZ180" s="1">
        <v>0.28000000000000003</v>
      </c>
      <c r="BA180" s="1">
        <v>0.26</v>
      </c>
      <c r="BB180" s="1">
        <v>0.21</v>
      </c>
      <c r="BC180" s="20">
        <v>0.12</v>
      </c>
      <c r="BD180" s="1">
        <v>0</v>
      </c>
      <c r="BE180" s="1">
        <v>0.12</v>
      </c>
      <c r="BF180" s="1">
        <v>0.21</v>
      </c>
      <c r="BG180" s="1">
        <v>0.26</v>
      </c>
      <c r="BH180" s="1">
        <v>0.28000000000000003</v>
      </c>
      <c r="BI180" s="1">
        <v>0.26</v>
      </c>
      <c r="BJ180" s="1">
        <v>0.21</v>
      </c>
      <c r="BK180" s="20">
        <v>0.12</v>
      </c>
      <c r="BL180" s="1">
        <v>0</v>
      </c>
      <c r="BM180" s="1">
        <v>0.12</v>
      </c>
      <c r="BN180" s="1">
        <v>0.21</v>
      </c>
      <c r="BO180" s="1">
        <v>0.26</v>
      </c>
      <c r="BP180" s="1">
        <v>0.28000000000000003</v>
      </c>
      <c r="BQ180" s="1">
        <v>0.26</v>
      </c>
      <c r="BR180" s="1">
        <v>0.21</v>
      </c>
      <c r="BS180" s="20">
        <v>0.12</v>
      </c>
      <c r="BT180" s="1">
        <v>0</v>
      </c>
      <c r="BU180" s="1">
        <v>0.12</v>
      </c>
      <c r="BV180" s="1">
        <v>0.21</v>
      </c>
      <c r="BW180" s="1">
        <v>0.26</v>
      </c>
      <c r="BX180" s="1">
        <v>0.28000000000000003</v>
      </c>
      <c r="BY180" s="1">
        <v>0.26</v>
      </c>
      <c r="BZ180" s="1">
        <v>0.21</v>
      </c>
      <c r="CA180" s="20">
        <v>0.12</v>
      </c>
      <c r="CB180" s="1">
        <v>0</v>
      </c>
      <c r="CC180" s="1">
        <v>0.12</v>
      </c>
      <c r="CD180" s="1">
        <v>0.21</v>
      </c>
      <c r="CE180" s="1">
        <v>0.26</v>
      </c>
      <c r="CF180" s="1">
        <v>0.28000000000000003</v>
      </c>
      <c r="CG180" s="1">
        <v>0.26</v>
      </c>
      <c r="CH180" s="1">
        <v>0.21</v>
      </c>
      <c r="CI180" s="20">
        <v>0.12</v>
      </c>
      <c r="CJ180" s="1">
        <v>0</v>
      </c>
      <c r="CK180" s="1">
        <v>0.12</v>
      </c>
      <c r="CL180" s="1">
        <v>0.21</v>
      </c>
      <c r="CM180" s="1">
        <v>0.26</v>
      </c>
      <c r="CN180" s="1">
        <v>0.28000000000000003</v>
      </c>
      <c r="CO180" s="1">
        <v>0.26</v>
      </c>
      <c r="CP180" s="1">
        <v>0.21</v>
      </c>
      <c r="CQ180" s="20">
        <v>0.12</v>
      </c>
    </row>
    <row r="181" spans="3:160" x14ac:dyDescent="0.4">
      <c r="C181" s="1" t="s">
        <v>39</v>
      </c>
      <c r="D181" s="1" t="s">
        <v>8</v>
      </c>
      <c r="E181" s="1">
        <v>0.20200000000000001</v>
      </c>
      <c r="F181" s="1">
        <v>9.4E-2</v>
      </c>
      <c r="G181" s="1">
        <v>0.108</v>
      </c>
      <c r="H181" s="1">
        <v>2.4E-2</v>
      </c>
      <c r="I181" s="1">
        <v>5402</v>
      </c>
      <c r="J181" s="1">
        <v>4613</v>
      </c>
      <c r="K181" s="1">
        <v>72</v>
      </c>
      <c r="L181" s="1">
        <v>6422</v>
      </c>
      <c r="M181" s="1">
        <v>6635</v>
      </c>
      <c r="N181" s="1">
        <v>75.5</v>
      </c>
      <c r="O181" s="1">
        <v>96.5</v>
      </c>
      <c r="P181" s="1">
        <v>90.5</v>
      </c>
      <c r="Q181" s="1">
        <v>97</v>
      </c>
      <c r="R181" s="1">
        <v>51</v>
      </c>
      <c r="S181" s="1">
        <v>96</v>
      </c>
      <c r="T181" s="4">
        <v>0</v>
      </c>
      <c r="U181" s="1">
        <v>1.335</v>
      </c>
      <c r="V181" s="1">
        <v>7.0999999999999994E-2</v>
      </c>
      <c r="W181" s="1">
        <v>4.0199999999999996</v>
      </c>
      <c r="X181" s="1">
        <f t="shared" ref="X181" si="4172">H179</f>
        <v>2.3E-2</v>
      </c>
      <c r="Y181" s="1">
        <f t="shared" ref="Y181" si="4173">H180</f>
        <v>6.6000000000000003E-2</v>
      </c>
      <c r="Z181" s="1">
        <f t="shared" ref="Z181" si="4174">H181</f>
        <v>2.4E-2</v>
      </c>
      <c r="AA181" s="1">
        <f t="shared" ref="AA181" si="4175">H182</f>
        <v>2.1999999999999999E-2</v>
      </c>
      <c r="AB181" s="1">
        <f t="shared" ref="AB181" si="4176">H183</f>
        <v>2.4E-2</v>
      </c>
      <c r="AC181" s="1">
        <f t="shared" si="2917"/>
        <v>3861.7418586315193</v>
      </c>
      <c r="CQ181" s="20"/>
    </row>
    <row r="182" spans="3:160" x14ac:dyDescent="0.4">
      <c r="C182" s="1" t="s">
        <v>39</v>
      </c>
      <c r="D182" s="1" t="s">
        <v>9</v>
      </c>
      <c r="E182" s="1">
        <v>0.2</v>
      </c>
      <c r="F182" s="1">
        <v>9.1999999999999998E-2</v>
      </c>
      <c r="G182" s="1">
        <v>0.108</v>
      </c>
      <c r="H182" s="1">
        <v>2.1999999999999999E-2</v>
      </c>
      <c r="I182" s="1">
        <v>5402</v>
      </c>
      <c r="J182" s="1">
        <v>4613</v>
      </c>
      <c r="K182" s="1">
        <v>72</v>
      </c>
      <c r="L182" s="1">
        <v>6422</v>
      </c>
      <c r="M182" s="1">
        <v>6635</v>
      </c>
      <c r="N182" s="1">
        <v>75.5</v>
      </c>
      <c r="O182" s="1">
        <v>96.5</v>
      </c>
      <c r="P182" s="1">
        <v>90.5</v>
      </c>
      <c r="Q182" s="1">
        <v>97</v>
      </c>
      <c r="R182" s="1">
        <v>51</v>
      </c>
      <c r="S182" s="1">
        <v>96</v>
      </c>
      <c r="T182" s="4">
        <v>0</v>
      </c>
      <c r="U182" s="1">
        <v>1.335</v>
      </c>
      <c r="V182" s="1">
        <v>7.0999999999999994E-2</v>
      </c>
      <c r="W182" s="1">
        <v>4.0199999999999996</v>
      </c>
      <c r="X182" s="1">
        <f t="shared" ref="X182" si="4177">H179</f>
        <v>2.3E-2</v>
      </c>
      <c r="Y182" s="1">
        <f t="shared" ref="Y182" si="4178">H180</f>
        <v>6.6000000000000003E-2</v>
      </c>
      <c r="Z182" s="1">
        <f t="shared" ref="Z182" si="4179">H181</f>
        <v>2.4E-2</v>
      </c>
      <c r="AA182" s="1">
        <f t="shared" ref="AA182" si="4180">H182</f>
        <v>2.1999999999999999E-2</v>
      </c>
      <c r="AB182" s="1">
        <f t="shared" ref="AB182" si="4181">H183</f>
        <v>2.4E-2</v>
      </c>
      <c r="AC182" s="1">
        <f t="shared" si="2917"/>
        <v>3861.7418586315193</v>
      </c>
      <c r="AE182" s="1" t="s">
        <v>98</v>
      </c>
      <c r="AF182" s="1">
        <v>0</v>
      </c>
      <c r="AG182" s="1">
        <v>6.5000000000000002E-2</v>
      </c>
      <c r="AH182" s="1">
        <v>0.14499999999999999</v>
      </c>
      <c r="AI182" s="1">
        <v>0.245</v>
      </c>
      <c r="AJ182" s="1">
        <v>0.36</v>
      </c>
      <c r="AK182" s="1">
        <v>0.39500000000000002</v>
      </c>
      <c r="AL182" s="1">
        <v>0.64500000000000002</v>
      </c>
      <c r="AM182" s="20">
        <v>0.81499999999999995</v>
      </c>
      <c r="AN182" s="1">
        <v>0</v>
      </c>
      <c r="AO182" s="1">
        <v>6.5000000000000002E-2</v>
      </c>
      <c r="AP182" s="1">
        <v>0.14499999999999999</v>
      </c>
      <c r="AQ182" s="1">
        <v>0.245</v>
      </c>
      <c r="AR182" s="1">
        <v>0.36</v>
      </c>
      <c r="AS182" s="1">
        <v>0.39500000000000002</v>
      </c>
      <c r="AT182" s="1">
        <v>0.64500000000000002</v>
      </c>
      <c r="AU182" s="20">
        <v>0.81499999999999995</v>
      </c>
      <c r="AV182" s="1">
        <v>0</v>
      </c>
      <c r="AW182" s="1">
        <v>6.5000000000000002E-2</v>
      </c>
      <c r="AX182" s="1">
        <v>0.14499999999999999</v>
      </c>
      <c r="AY182" s="1">
        <v>0.245</v>
      </c>
      <c r="AZ182" s="1">
        <v>0.36</v>
      </c>
      <c r="BA182" s="1">
        <v>0.39500000000000002</v>
      </c>
      <c r="BB182" s="1">
        <v>0.64500000000000002</v>
      </c>
      <c r="BC182" s="20">
        <v>0.81499999999999995</v>
      </c>
      <c r="BD182" s="1">
        <v>0</v>
      </c>
      <c r="BE182" s="1">
        <v>6.5000000000000002E-2</v>
      </c>
      <c r="BF182" s="1">
        <v>0.14499999999999999</v>
      </c>
      <c r="BG182" s="1">
        <v>0.245</v>
      </c>
      <c r="BH182" s="1">
        <v>0.36</v>
      </c>
      <c r="BI182" s="1">
        <v>0.39500000000000002</v>
      </c>
      <c r="BJ182" s="1">
        <v>0.64500000000000002</v>
      </c>
      <c r="BK182" s="20">
        <v>0.81499999999999995</v>
      </c>
      <c r="BL182" s="1">
        <v>0</v>
      </c>
      <c r="BM182" s="1">
        <v>6.5000000000000002E-2</v>
      </c>
      <c r="BN182" s="1">
        <v>0.14499999999999999</v>
      </c>
      <c r="BO182" s="1">
        <v>0.245</v>
      </c>
      <c r="BP182" s="1">
        <v>0.36</v>
      </c>
      <c r="BQ182" s="1">
        <v>0.39500000000000002</v>
      </c>
      <c r="BR182" s="1">
        <v>0.64500000000000002</v>
      </c>
      <c r="BS182" s="20">
        <v>0.81499999999999995</v>
      </c>
      <c r="BT182" s="1">
        <v>0</v>
      </c>
      <c r="BU182" s="1">
        <v>6.5000000000000002E-2</v>
      </c>
      <c r="BV182" s="1">
        <v>0.14499999999999999</v>
      </c>
      <c r="BW182" s="1">
        <v>0.245</v>
      </c>
      <c r="BX182" s="1">
        <v>0.36</v>
      </c>
      <c r="BY182" s="1">
        <v>0.39500000000000002</v>
      </c>
      <c r="BZ182" s="1">
        <v>0.64500000000000002</v>
      </c>
      <c r="CA182" s="20">
        <v>0.81499999999999995</v>
      </c>
      <c r="CB182" s="1">
        <v>0</v>
      </c>
      <c r="CC182" s="1">
        <v>6.5000000000000002E-2</v>
      </c>
      <c r="CD182" s="1">
        <v>0.14499999999999999</v>
      </c>
      <c r="CE182" s="1">
        <v>0.245</v>
      </c>
      <c r="CF182" s="1">
        <v>0.36</v>
      </c>
      <c r="CG182" s="1">
        <v>0.39500000000000002</v>
      </c>
      <c r="CH182" s="1">
        <v>0.64500000000000002</v>
      </c>
      <c r="CI182" s="20">
        <v>0.81499999999999995</v>
      </c>
      <c r="CJ182" s="1">
        <v>0</v>
      </c>
      <c r="CK182" s="1">
        <v>6.5000000000000002E-2</v>
      </c>
      <c r="CL182" s="1">
        <v>0.14499999999999999</v>
      </c>
      <c r="CM182" s="1">
        <v>0.245</v>
      </c>
      <c r="CN182" s="1">
        <v>0.36</v>
      </c>
      <c r="CO182" s="1">
        <v>0.39500000000000002</v>
      </c>
      <c r="CP182" s="1">
        <v>0.64500000000000002</v>
      </c>
      <c r="CQ182" s="20">
        <v>0.81499999999999995</v>
      </c>
    </row>
    <row r="183" spans="3:160" s="2" customFormat="1" x14ac:dyDescent="0.4">
      <c r="C183" s="2" t="s">
        <v>39</v>
      </c>
      <c r="D183" s="2" t="s">
        <v>10</v>
      </c>
      <c r="E183" s="2">
        <v>0.20200000000000001</v>
      </c>
      <c r="F183" s="2">
        <v>9.4E-2</v>
      </c>
      <c r="G183" s="2">
        <v>0.108</v>
      </c>
      <c r="H183" s="2">
        <v>2.4E-2</v>
      </c>
      <c r="I183" s="2">
        <v>5402</v>
      </c>
      <c r="J183" s="2">
        <v>4613</v>
      </c>
      <c r="K183" s="2">
        <v>72</v>
      </c>
      <c r="L183" s="2">
        <v>6422</v>
      </c>
      <c r="M183" s="2">
        <v>6635</v>
      </c>
      <c r="N183" s="2">
        <v>75.5</v>
      </c>
      <c r="O183" s="2">
        <v>96.5</v>
      </c>
      <c r="P183" s="2">
        <v>90.5</v>
      </c>
      <c r="Q183" s="2">
        <v>97</v>
      </c>
      <c r="R183" s="2">
        <v>51</v>
      </c>
      <c r="S183" s="2">
        <v>96</v>
      </c>
      <c r="T183" s="6">
        <f t="shared" ref="T183:T231" si="4182">(N178*O178*P178*Q178*R178*S178)/(I178*J178*K178*(F178*H178 + F179*H179 + F180*H180 + F181*H181 + F182*H182 + F183*H183))</f>
        <v>6546.9329488115845</v>
      </c>
      <c r="U183" s="2">
        <v>1.335</v>
      </c>
      <c r="V183" s="2">
        <v>7.0999999999999994E-2</v>
      </c>
      <c r="W183" s="2">
        <v>4.0199999999999996</v>
      </c>
      <c r="X183" s="2">
        <f t="shared" ref="X183" si="4183">H179</f>
        <v>2.3E-2</v>
      </c>
      <c r="Y183" s="2">
        <f t="shared" ref="Y183" si="4184">H180</f>
        <v>6.6000000000000003E-2</v>
      </c>
      <c r="Z183" s="2">
        <f t="shared" ref="Z183" si="4185">H181</f>
        <v>2.4E-2</v>
      </c>
      <c r="AA183" s="2">
        <f t="shared" ref="AA183" si="4186">H182</f>
        <v>2.1999999999999999E-2</v>
      </c>
      <c r="AB183" s="2">
        <f t="shared" ref="AB183" si="4187">H183</f>
        <v>2.4E-2</v>
      </c>
      <c r="AC183" s="1">
        <f t="shared" si="2917"/>
        <v>3861.7418586315193</v>
      </c>
      <c r="AE183" s="2" t="s">
        <v>99</v>
      </c>
      <c r="AF183" s="23">
        <f>($O183*$Q183*$S183)^(1/3)/(AF178*((1-AF$2)*$H178+AF$2*$H179) + AF180*((1-AF$2)*$H180+AF$2*$H181) + AF182*((1-AF$2)*$H182+AF$2*$H183))</f>
        <v>1581.9530563018643</v>
      </c>
      <c r="AG183" s="23">
        <f t="shared" ref="AG183" si="4188">($O183*$Q183*$S183)^(1/3)/(AG178*((1-AG$2)*$H178+AG$2*$H179) + AG180*((1-AG$2)*$H180+AG$2*$H181) + AG182*((1-AG$2)*$H182+AG$2*$H183))</f>
        <v>1633.7786579939682</v>
      </c>
      <c r="AH183" s="23">
        <f t="shared" ref="AH183" si="4189">($O183*$Q183*$S183)^(1/3)/(AH178*((1-AH$2)*$H178+AH$2*$H179) + AH180*((1-AH$2)*$H180+AH$2*$H181) + AH182*((1-AH$2)*$H182+AH$2*$H183))</f>
        <v>1711.1292922140919</v>
      </c>
      <c r="AI183" s="23">
        <f t="shared" ref="AI183" si="4190">($O183*$Q183*$S183)^(1/3)/(AI178*((1-AI$2)*$H178+AI$2*$H179) + AI180*((1-AI$2)*$H180+AI$2*$H181) + AI182*((1-AI$2)*$H182+AI$2*$H183))</f>
        <v>2068.799151772188</v>
      </c>
      <c r="AJ183" s="23">
        <f t="shared" ref="AJ183" si="4191">($O183*$Q183*$S183)^(1/3)/(AJ178*((1-AJ$2)*$H178+AJ$2*$H179) + AJ180*((1-AJ$2)*$H180+AJ$2*$H181) + AJ182*((1-AJ$2)*$H182+AJ$2*$H183))</f>
        <v>1995.4329287513174</v>
      </c>
      <c r="AK183" s="23">
        <f t="shared" ref="AK183" si="4192">($O183*$Q183*$S183)^(1/3)/(AK178*((1-AK$2)*$H178+AK$2*$H179) + AK180*((1-AK$2)*$H180+AK$2*$H181) + AK182*((1-AK$2)*$H182+AK$2*$H183))</f>
        <v>2365.4647980000914</v>
      </c>
      <c r="AL183" s="23">
        <f t="shared" ref="AL183" si="4193">($O183*$Q183*$S183)^(1/3)/(AL178*((1-AL$2)*$H178+AL$2*$H179) + AL180*((1-AL$2)*$H180+AL$2*$H181) + AL182*((1-AL$2)*$H182+AL$2*$H183))</f>
        <v>2615.50715366347</v>
      </c>
      <c r="AM183" s="23">
        <f t="shared" ref="AM183" si="4194">($O183*$Q183*$S183)^(1/3)/(AM178*((1-AM$2)*$H178+AM$2*$H179) + AM180*((1-AM$2)*$H180+AM$2*$H181) + AM182*((1-AM$2)*$H182+AM$2*$H183))</f>
        <v>3236.5968953350234</v>
      </c>
      <c r="AN183" s="23">
        <f t="shared" ref="AN183" si="4195">($O183*$Q183*$S183)^(1/3)/(AN178*((1-AN$2)*$H178+AN$2*$H179) + AN180*((1-AN$2)*$H180+AN$2*$H181) + AN182*((1-AN$2)*$H182+AN$2*$H183))</f>
        <v>1715.5402032784659</v>
      </c>
      <c r="AO183" s="23">
        <f t="shared" ref="AO183" si="4196">($O183*$Q183*$S183)^(1/3)/(AO178*((1-AO$2)*$H178+AO$2*$H179) + AO180*((1-AO$2)*$H180+AO$2*$H181) + AO182*((1-AO$2)*$H182+AO$2*$H183))</f>
        <v>1768.0310816125636</v>
      </c>
      <c r="AP183" s="23">
        <f t="shared" ref="AP183" si="4197">($O183*$Q183*$S183)^(1/3)/(AP178*((1-AP$2)*$H178+AP$2*$H179) + AP180*((1-AP$2)*$H180+AP$2*$H181) + AP182*((1-AP$2)*$H182+AP$2*$H183))</f>
        <v>1846.3433738527447</v>
      </c>
      <c r="AQ183" s="23">
        <f t="shared" ref="AQ183" si="4198">($O183*$Q183*$S183)^(1/3)/(AQ178*((1-AQ$2)*$H178+AQ$2*$H179) + AQ180*((1-AQ$2)*$H180+AQ$2*$H181) + AQ182*((1-AQ$2)*$H182+AQ$2*$H183))</f>
        <v>2220.157285963734</v>
      </c>
      <c r="AR183" s="23">
        <f t="shared" ref="AR183" si="4199">($O183*$Q183*$S183)^(1/3)/(AR178*((1-AR$2)*$H178+AR$2*$H179) + AR180*((1-AR$2)*$H180+AR$2*$H181) + AR182*((1-AR$2)*$H182+AR$2*$H183))</f>
        <v>2131.6354414493858</v>
      </c>
      <c r="AS183" s="23">
        <f t="shared" ref="AS183" si="4200">($O183*$Q183*$S183)^(1/3)/(AS178*((1-AS$2)*$H178+AS$2*$H179) + AS180*((1-AS$2)*$H180+AS$2*$H181) + AS182*((1-AS$2)*$H182+AS$2*$H183))</f>
        <v>2515.2909275228385</v>
      </c>
      <c r="AT183" s="23">
        <f t="shared" ref="AT183" si="4201">($O183*$Q183*$S183)^(1/3)/(AT178*((1-AT$2)*$H178+AT$2*$H179) + AT180*((1-AT$2)*$H180+AT$2*$H181) + AT182*((1-AT$2)*$H182+AT$2*$H183))</f>
        <v>2736.3997287512748</v>
      </c>
      <c r="AU183" s="23">
        <f t="shared" ref="AU183" si="4202">($O183*$Q183*$S183)^(1/3)/(AU178*((1-AU$2)*$H178+AU$2*$H179) + AU180*((1-AU$2)*$H180+AU$2*$H181) + AU182*((1-AU$2)*$H182+AU$2*$H183))</f>
        <v>3318.4022157638829</v>
      </c>
      <c r="AV183" s="23">
        <f t="shared" ref="AV183" si="4203">($O183*$Q183*$S183)^(1/3)/(AV178*((1-AV$2)*$H178+AV$2*$H179) + AV180*((1-AV$2)*$H180+AV$2*$H181) + AV182*((1-AV$2)*$H182+AV$2*$H183))</f>
        <v>1873.769639503179</v>
      </c>
      <c r="AW183" s="23">
        <f t="shared" ref="AW183" si="4204">($O183*$Q183*$S183)^(1/3)/(AW178*((1-AW$2)*$H178+AW$2*$H179) + AW180*((1-AW$2)*$H180+AW$2*$H181) + AW182*((1-AW$2)*$H182+AW$2*$H183))</f>
        <v>1926.3227155287698</v>
      </c>
      <c r="AX183" s="23">
        <f t="shared" ref="AX183" si="4205">($O183*$Q183*$S183)^(1/3)/(AX178*((1-AX$2)*$H178+AX$2*$H179) + AX180*((1-AX$2)*$H180+AX$2*$H181) + AX182*((1-AX$2)*$H182+AX$2*$H183))</f>
        <v>2004.7602874086158</v>
      </c>
      <c r="AY183" s="23">
        <f t="shared" ref="AY183" si="4206">($O183*$Q183*$S183)^(1/3)/(AY178*((1-AY$2)*$H178+AY$2*$H179) + AY180*((1-AY$2)*$H180+AY$2*$H181) + AY182*((1-AY$2)*$H182+AY$2*$H183))</f>
        <v>2395.4111067249278</v>
      </c>
      <c r="AZ183" s="23">
        <f t="shared" ref="AZ183" si="4207">($O183*$Q183*$S183)^(1/3)/(AZ178*((1-AZ$2)*$H178+AZ$2*$H179) + AZ180*((1-AZ$2)*$H180+AZ$2*$H181) + AZ182*((1-AZ$2)*$H182+AZ$2*$H183))</f>
        <v>2287.7936565769019</v>
      </c>
      <c r="BA183" s="23">
        <f t="shared" ref="BA183" si="4208">($O183*$Q183*$S183)^(1/3)/(BA178*((1-BA$2)*$H178+BA$2*$H179) + BA180*((1-BA$2)*$H180+BA$2*$H181) + BA182*((1-BA$2)*$H182+BA$2*$H183))</f>
        <v>2685.3801707086054</v>
      </c>
      <c r="BB183" s="23">
        <f t="shared" ref="BB183" si="4209">($O183*$Q183*$S183)^(1/3)/(BB178*((1-BB$2)*$H178+BB$2*$H179) + BB180*((1-BB$2)*$H180+BB$2*$H181) + BB182*((1-BB$2)*$H182+BB$2*$H183))</f>
        <v>2869.0095565456731</v>
      </c>
      <c r="BC183" s="23">
        <f t="shared" ref="BC183" si="4210">($O183*$Q183*$S183)^(1/3)/(BC178*((1-BC$2)*$H178+BC$2*$H179) + BC180*((1-BC$2)*$H180+BC$2*$H181) + BC182*((1-BC$2)*$H182+BC$2*$H183))</f>
        <v>3404.4500417856311</v>
      </c>
      <c r="BD183" s="23">
        <f t="shared" ref="BD183" si="4211">($O183*$Q183*$S183)^(1/3)/(BD178*((1-BD$2)*$H178+BD$2*$H179) + BD180*((1-BD$2)*$H180+BD$2*$H181) + BD182*((1-BD$2)*$H182+BD$2*$H183))</f>
        <v>2064.1526510035019</v>
      </c>
      <c r="BE183" s="23">
        <f t="shared" ref="BE183" si="4212">($O183*$Q183*$S183)^(1/3)/(BE178*((1-BE$2)*$H178+BE$2*$H179) + BE180*((1-BE$2)*$H180+BE$2*$H181) + BE182*((1-BE$2)*$H182+BE$2*$H183))</f>
        <v>2115.7451531333854</v>
      </c>
      <c r="BF183" s="23">
        <f t="shared" ref="BF183" si="4213">($O183*$Q183*$S183)^(1/3)/(BF178*((1-BF$2)*$H178+BF$2*$H179) + BF180*((1-BF$2)*$H180+BF$2*$H181) + BF182*((1-BF$2)*$H182+BF$2*$H183))</f>
        <v>2192.912997032467</v>
      </c>
      <c r="BG183" s="23">
        <f t="shared" ref="BG183" si="4214">($O183*$Q183*$S183)^(1/3)/(BG178*((1-BG$2)*$H178+BG$2*$H179) + BG180*((1-BG$2)*$H180+BG$2*$H181) + BG182*((1-BG$2)*$H182+BG$2*$H183))</f>
        <v>2600.7043911713704</v>
      </c>
      <c r="BH183" s="23">
        <f t="shared" ref="BH183" si="4215">($O183*$Q183*$S183)^(1/3)/(BH178*((1-BH$2)*$H178+BH$2*$H179) + BH180*((1-BH$2)*$H180+BH$2*$H181) + BH182*((1-BH$2)*$H182+BH$2*$H183))</f>
        <v>2468.6399701819828</v>
      </c>
      <c r="BI183" s="23">
        <f t="shared" ref="BI183" si="4216">($O183*$Q183*$S183)^(1/3)/(BI178*((1-BI$2)*$H178+BI$2*$H179) + BI180*((1-BI$2)*$H180+BI$2*$H181) + BI182*((1-BI$2)*$H182+BI$2*$H183))</f>
        <v>2880.1413650026479</v>
      </c>
      <c r="BJ183" s="23">
        <f t="shared" ref="BJ183" si="4217">($O183*$Q183*$S183)^(1/3)/(BJ178*((1-BJ$2)*$H178+BJ$2*$H179) + BJ180*((1-BJ$2)*$H180+BJ$2*$H181) + BJ182*((1-BJ$2)*$H182+BJ$2*$H183))</f>
        <v>3015.126899997304</v>
      </c>
      <c r="BK183" s="23">
        <f t="shared" ref="BK183" si="4218">($O183*$Q183*$S183)^(1/3)/(BK178*((1-BK$2)*$H178+BK$2*$H179) + BK180*((1-BK$2)*$H180+BK$2*$H181) + BK182*((1-BK$2)*$H182+BK$2*$H183))</f>
        <v>3495.0791899461688</v>
      </c>
      <c r="BL183" s="23">
        <f t="shared" ref="BL183" si="4219">($O183*$Q183*$S183)^(1/3)/(BL178*((1-BL$2)*$H178+BL$2*$H179) + BL180*((1-BL$2)*$H180+BL$2*$H181) + BL182*((1-BL$2)*$H182+BL$2*$H183))</f>
        <v>2297.59848653366</v>
      </c>
      <c r="BM183" s="23">
        <f t="shared" ref="BM183" si="4220">($O183*$Q183*$S183)^(1/3)/(BM178*((1-BM$2)*$H178+BM$2*$H179) + BM180*((1-BM$2)*$H180+BM$2*$H181) + BM182*((1-BM$2)*$H182+BM$2*$H183))</f>
        <v>2346.4835607152268</v>
      </c>
      <c r="BN183" s="23">
        <f t="shared" ref="BN183" si="4221">($O183*$Q183*$S183)^(1/3)/(BN178*((1-BN$2)*$H178+BN$2*$H179) + BN180*((1-BN$2)*$H180+BN$2*$H181) + BN182*((1-BN$2)*$H182+BN$2*$H183))</f>
        <v>2420.0410391075538</v>
      </c>
      <c r="BO183" s="23">
        <f t="shared" ref="BO183" si="4222">($O183*$Q183*$S183)^(1/3)/(BO178*((1-BO$2)*$H178+BO$2*$H179) + BO180*((1-BO$2)*$H180+BO$2*$H181) + BO182*((1-BO$2)*$H182+BO$2*$H183))</f>
        <v>2844.4844932767487</v>
      </c>
      <c r="BP183" s="23">
        <f t="shared" ref="BP183" si="4223">($O183*$Q183*$S183)^(1/3)/(BP178*((1-BP$2)*$H178+BP$2*$H179) + BP180*((1-BP$2)*$H180+BP$2*$H181) + BP182*((1-BP$2)*$H182+BP$2*$H183))</f>
        <v>2680.5315676226032</v>
      </c>
      <c r="BQ183" s="23">
        <f t="shared" ref="BQ183" si="4224">($O183*$Q183*$S183)^(1/3)/(BQ178*((1-BQ$2)*$H178+BQ$2*$H179) + BQ180*((1-BQ$2)*$H180+BQ$2*$H181) + BQ182*((1-BQ$2)*$H182+BQ$2*$H183))</f>
        <v>3105.3623953150031</v>
      </c>
      <c r="BR183" s="23">
        <f t="shared" ref="BR183" si="4225">($O183*$Q183*$S183)^(1/3)/(BR178*((1-BR$2)*$H178+BR$2*$H179) + BR180*((1-BR$2)*$H180+BR$2*$H181) + BR182*((1-BR$2)*$H182+BR$2*$H183))</f>
        <v>3176.9263023675298</v>
      </c>
      <c r="BS183" s="23">
        <f t="shared" ref="BS183" si="4226">($O183*$Q183*$S183)^(1/3)/(BS178*((1-BS$2)*$H178+BS$2*$H179) + BS180*((1-BS$2)*$H180+BS$2*$H181) + BS182*((1-BS$2)*$H182+BS$2*$H183))</f>
        <v>3590.6655417456273</v>
      </c>
      <c r="BT183" s="23">
        <f t="shared" ref="BT183" si="4227">($O183*$Q183*$S183)^(1/3)/(BT178*((1-BT$2)*$H178+BT$2*$H179) + BT180*((1-BT$2)*$H180+BT$2*$H181) + BT182*((1-BT$2)*$H182+BT$2*$H183))</f>
        <v>2590.5808438768781</v>
      </c>
      <c r="BU183" s="23">
        <f t="shared" ref="BU183" si="4228">($O183*$Q183*$S183)^(1/3)/(BU178*((1-BU$2)*$H178+BU$2*$H179) + BU180*((1-BU$2)*$H180+BU$2*$H181) + BU182*((1-BU$2)*$H182+BU$2*$H183))</f>
        <v>2633.7100555243919</v>
      </c>
      <c r="BV183" s="23">
        <f t="shared" ref="BV183" si="4229">($O183*$Q183*$S183)^(1/3)/(BV178*((1-BV$2)*$H178+BV$2*$H179) + BV180*((1-BV$2)*$H180+BV$2*$H181) + BV182*((1-BV$2)*$H182+BV$2*$H183))</f>
        <v>2699.6541176224287</v>
      </c>
      <c r="BW183" s="23">
        <f t="shared" ref="BW183" si="4230">($O183*$Q183*$S183)^(1/3)/(BW178*((1-BW$2)*$H178+BW$2*$H179) + BW180*((1-BW$2)*$H180+BW$2*$H181) + BW182*((1-BW$2)*$H182+BW$2*$H183))</f>
        <v>3138.6936553720511</v>
      </c>
      <c r="BX183" s="23">
        <f t="shared" ref="BX183" si="4231">($O183*$Q183*$S183)^(1/3)/(BX178*((1-BX$2)*$H178+BX$2*$H179) + BX180*((1-BX$2)*$H180+BX$2*$H181) + BX182*((1-BX$2)*$H182+BX$2*$H183))</f>
        <v>2932.2132006810612</v>
      </c>
      <c r="BY183" s="23">
        <f t="shared" ref="BY183" si="4232">($O183*$Q183*$S183)^(1/3)/(BY178*((1-BY$2)*$H178+BY$2*$H179) + BY180*((1-BY$2)*$H180+BY$2*$H181) + BY182*((1-BY$2)*$H182+BY$2*$H183))</f>
        <v>3368.7951277505222</v>
      </c>
      <c r="BZ183" s="23">
        <f t="shared" ref="BZ183" si="4233">($O183*$Q183*$S183)^(1/3)/(BZ178*((1-BZ$2)*$H178+BZ$2*$H179) + BZ180*((1-BZ$2)*$H180+BZ$2*$H181) + BZ182*((1-BZ$2)*$H182+BZ$2*$H183))</f>
        <v>3357.0755412911362</v>
      </c>
      <c r="CA183" s="23">
        <f t="shared" ref="CA183" si="4234">($O183*$Q183*$S183)^(1/3)/(CA178*((1-CA$2)*$H178+CA$2*$H179) + CA180*((1-CA$2)*$H180+CA$2*$H181) + CA182*((1-CA$2)*$H182+CA$2*$H183))</f>
        <v>3691.6272545682368</v>
      </c>
      <c r="CB183" s="23">
        <f t="shared" ref="CB183" si="4235">($O183*$Q183*$S183)^(1/3)/(CB178*((1-CB$2)*$H178+CB$2*$H179) + CB180*((1-CB$2)*$H180+CB$2*$H181) + CB182*((1-CB$2)*$H182+CB$2*$H183))</f>
        <v>2969.2041979819605</v>
      </c>
      <c r="CC183" s="23">
        <f t="shared" ref="CC183" si="4236">($O183*$Q183*$S183)^(1/3)/(CC178*((1-CC$2)*$H178+CC$2*$H179) + CC180*((1-CC$2)*$H180+CC$2*$H181) + CC182*((1-CC$2)*$H182+CC$2*$H183))</f>
        <v>3001.0616213470284</v>
      </c>
      <c r="CD183" s="23">
        <f t="shared" ref="CD183" si="4237">($O183*$Q183*$S183)^(1/3)/(CD178*((1-CD$2)*$H178+CD$2*$H179) + CD180*((1-CD$2)*$H180+CD$2*$H181) + CD182*((1-CD$2)*$H182+CD$2*$H183))</f>
        <v>3052.321253658507</v>
      </c>
      <c r="CE183" s="23">
        <f t="shared" ref="CE183" si="4238">($O183*$Q183*$S183)^(1/3)/(CE178*((1-CE$2)*$H178+CE$2*$H179) + CE180*((1-CE$2)*$H180+CE$2*$H181) + CE182*((1-CE$2)*$H182+CE$2*$H183))</f>
        <v>3500.7849241579438</v>
      </c>
      <c r="CF183" s="23">
        <f t="shared" ref="CF183" si="4239">($O183*$Q183*$S183)^(1/3)/(CF178*((1-CF$2)*$H178+CF$2*$H179) + CF180*((1-CF$2)*$H180+CF$2*$H181) + CF182*((1-CF$2)*$H182+CF$2*$H183))</f>
        <v>3236.0542063854359</v>
      </c>
      <c r="CG183" s="23">
        <f t="shared" ref="CG183" si="4240">($O183*$Q183*$S183)^(1/3)/(CG178*((1-CG$2)*$H178+CG$2*$H179) + CG180*((1-CG$2)*$H180+CG$2*$H181) + CG182*((1-CG$2)*$H182+CG$2*$H183))</f>
        <v>3681.0656660085333</v>
      </c>
      <c r="CH183" s="23">
        <f t="shared" ref="CH183" si="4241">($O183*$Q183*$S183)^(1/3)/(CH178*((1-CH$2)*$H178+CH$2*$H179) + CH180*((1-CH$2)*$H180+CH$2*$H181) + CH182*((1-CH$2)*$H182+CH$2*$H183))</f>
        <v>3558.8838810405205</v>
      </c>
      <c r="CI183" s="23">
        <f t="shared" ref="CI183" si="4242">($O183*$Q183*$S183)^(1/3)/(CI178*((1-CI$2)*$H178+CI$2*$H179) + CI180*((1-CI$2)*$H180+CI$2*$H181) + CI182*((1-CI$2)*$H182+CI$2*$H183))</f>
        <v>3798.4308771664519</v>
      </c>
      <c r="CJ183" s="23">
        <f t="shared" ref="CJ183" si="4243">($O183*$Q183*$S183)^(1/3)/(CJ178*((1-CJ$2)*$H178+CJ$2*$H179) + CJ180*((1-CJ$2)*$H180+CJ$2*$H181) + CJ182*((1-CJ$2)*$H182+CJ$2*$H183))</f>
        <v>3477.4463579968906</v>
      </c>
      <c r="CK183" s="23">
        <f t="shared" ref="CK183" si="4244">($O183*$Q183*$S183)^(1/3)/(CK178*((1-CK$2)*$H178+CK$2*$H179) + CK180*((1-CK$2)*$H180+CK$2*$H181) + CK182*((1-CK$2)*$H182+CK$2*$H183))</f>
        <v>3487.5004132422741</v>
      </c>
      <c r="CL183" s="23">
        <f t="shared" ref="CL183" si="4245">($O183*$Q183*$S183)^(1/3)/(CL178*((1-CL$2)*$H178+CL$2*$H179) + CL180*((1-CL$2)*$H180+CL$2*$H181) + CL182*((1-CL$2)*$H182+CL$2*$H183))</f>
        <v>3510.9745837516361</v>
      </c>
      <c r="CM183" s="23">
        <f t="shared" ref="CM183" si="4246">($O183*$Q183*$S183)^(1/3)/(CM178*((1-CM$2)*$H178+CM$2*$H179) + CM180*((1-CM$2)*$H180+CM$2*$H181) + CM182*((1-CM$2)*$H182+CM$2*$H183))</f>
        <v>3957.3154166255367</v>
      </c>
      <c r="CN183" s="23">
        <f t="shared" ref="CN183" si="4247">($O183*$Q183*$S183)^(1/3)/(CN178*((1-CN$2)*$H178+CN$2*$H179) + CN180*((1-CN$2)*$H180+CN$2*$H181) + CN182*((1-CN$2)*$H182+CN$2*$H183))</f>
        <v>3610.1435254176467</v>
      </c>
      <c r="CO183" s="23">
        <f t="shared" ref="CO183" si="4248">($O183*$Q183*$S183)^(1/3)/(CO178*((1-CO$2)*$H178+CO$2*$H179) + CO180*((1-CO$2)*$H180+CO$2*$H181) + CO182*((1-CO$2)*$H182+CO$2*$H183))</f>
        <v>4057.1425871100992</v>
      </c>
      <c r="CP183" s="23">
        <f t="shared" ref="CP183" si="4249">($O183*$Q183*$S183)^(1/3)/(CP178*((1-CP$2)*$H178+CP$2*$H179) + CP180*((1-CP$2)*$H180+CP$2*$H181) + CP182*((1-CP$2)*$H182+CP$2*$H183))</f>
        <v>3786.5072173597691</v>
      </c>
      <c r="CQ183" s="23">
        <f t="shared" ref="CQ183" si="4250">($O183*$Q183*$S183)^(1/3)/(CQ178*((1-CQ$2)*$H178+CQ$2*$H179) + CQ180*((1-CQ$2)*$H180+CQ$2*$H181) + CQ182*((1-CQ$2)*$H182+CQ$2*$H183))</f>
        <v>3911.5985583467259</v>
      </c>
      <c r="CS183" s="2">
        <f t="shared" ref="CS183" si="4251">100*$AF183/AF183</f>
        <v>100</v>
      </c>
      <c r="CT183" s="2">
        <f t="shared" ref="CT183" si="4252">100*$AF183/AG183</f>
        <v>96.827868852459005</v>
      </c>
      <c r="CU183" s="2">
        <f t="shared" ref="CU183" si="4253">100*$AF183/AH183</f>
        <v>92.450819672131146</v>
      </c>
      <c r="CV183" s="2">
        <f t="shared" ref="CV183" si="4254">100*$AF183/AI183</f>
        <v>76.467213114754102</v>
      </c>
      <c r="CW183" s="2">
        <f t="shared" ref="CW183" si="4255">100*$AF183/AJ183</f>
        <v>79.27868852459018</v>
      </c>
      <c r="CX183" s="2">
        <f t="shared" ref="CX183" si="4256">100*$AF183/AK183</f>
        <v>66.877049180327859</v>
      </c>
      <c r="CY183" s="2">
        <f t="shared" ref="CY183" si="4257">100*$AF183/AL183</f>
        <v>60.483606557377044</v>
      </c>
      <c r="CZ183" s="2">
        <f t="shared" ref="CZ183" si="4258">100*$AF183/AM183</f>
        <v>48.877049180327866</v>
      </c>
      <c r="DA183" s="2">
        <f t="shared" ref="DA183" si="4259">100*$AF183/AN183</f>
        <v>92.21311475409837</v>
      </c>
      <c r="DB183" s="2">
        <f t="shared" ref="DB183" si="4260">100*$AF183/AO183</f>
        <v>89.475409836065566</v>
      </c>
      <c r="DC183" s="2">
        <f t="shared" ref="DC183" si="4261">100*$AF183/AP183</f>
        <v>85.680327868852473</v>
      </c>
      <c r="DD183" s="2">
        <f t="shared" ref="DD183" si="4262">100*$AF183/AQ183</f>
        <v>71.25409836065576</v>
      </c>
      <c r="DE183" s="2">
        <f t="shared" ref="DE183" si="4263">100*$AF183/AR183</f>
        <v>74.213114754098385</v>
      </c>
      <c r="DF183" s="2">
        <f t="shared" ref="DF183" si="4264">100*$AF183/AS183</f>
        <v>62.893442622950836</v>
      </c>
      <c r="DG183" s="2">
        <f t="shared" ref="DG183" si="4265">100*$AF183/AT183</f>
        <v>57.811475409836078</v>
      </c>
      <c r="DH183" s="2">
        <f t="shared" ref="DH183" si="4266">100*$AF183/AU183</f>
        <v>47.672131147540988</v>
      </c>
      <c r="DI183" s="2">
        <f t="shared" ref="DI183" si="4267">100*$AF183/AV183</f>
        <v>84.426229508196727</v>
      </c>
      <c r="DJ183" s="2">
        <f t="shared" ref="DJ183" si="4268">100*$AF183/AW183</f>
        <v>82.122950819672127</v>
      </c>
      <c r="DK183" s="2">
        <f t="shared" ref="DK183" si="4269">100*$AF183/AX183</f>
        <v>78.909836065573771</v>
      </c>
      <c r="DL183" s="2">
        <f t="shared" ref="DL183" si="4270">100*$AF183/AY183</f>
        <v>66.040983606557376</v>
      </c>
      <c r="DM183" s="2">
        <f t="shared" ref="DM183" si="4271">100*$AF183/AZ183</f>
        <v>69.147540983606561</v>
      </c>
      <c r="DN183" s="2">
        <f t="shared" ref="DN183" si="4272">100*$AF183/BA183</f>
        <v>58.909836065573764</v>
      </c>
      <c r="DO183" s="2">
        <f t="shared" ref="DO183" si="4273">100*$AF183/BB183</f>
        <v>55.139344262295083</v>
      </c>
      <c r="DP183" s="2">
        <f t="shared" ref="DP183" si="4274">100*$AF183/BC183</f>
        <v>46.467213114754102</v>
      </c>
      <c r="DQ183" s="2">
        <f t="shared" ref="DQ183" si="4275">100*$AF183/BD183</f>
        <v>76.639344262295083</v>
      </c>
      <c r="DR183" s="2">
        <f t="shared" ref="DR183" si="4276">100*$AF183/BE183</f>
        <v>74.770491803278702</v>
      </c>
      <c r="DS183" s="2">
        <f t="shared" ref="DS183" si="4277">100*$AF183/BF183</f>
        <v>72.139344262295083</v>
      </c>
      <c r="DT183" s="2">
        <f t="shared" ref="DT183" si="4278">100*$AF183/BG183</f>
        <v>60.827868852459034</v>
      </c>
      <c r="DU183" s="2">
        <f t="shared" ref="DU183" si="4279">100*$AF183/BH183</f>
        <v>64.081967213114766</v>
      </c>
      <c r="DV183" s="2">
        <f t="shared" ref="DV183" si="4280">100*$AF183/BI183</f>
        <v>54.92622950819672</v>
      </c>
      <c r="DW183" s="2">
        <f t="shared" ref="DW183" si="4281">100*$AF183/BJ183</f>
        <v>52.467213114754102</v>
      </c>
      <c r="DX183" s="2">
        <f t="shared" ref="DX183" si="4282">100*$AF183/BK183</f>
        <v>45.262295081967217</v>
      </c>
      <c r="DY183" s="2">
        <f t="shared" ref="DY183" si="4283">100*$AF183/BL183</f>
        <v>68.852459016393439</v>
      </c>
      <c r="DZ183" s="2">
        <f t="shared" ref="DZ183" si="4284">100*$AF183/BM183</f>
        <v>67.418032786885263</v>
      </c>
      <c r="EA183" s="2">
        <f t="shared" ref="EA183" si="4285">100*$AF183/BN183</f>
        <v>65.368852459016395</v>
      </c>
      <c r="EB183" s="2">
        <f t="shared" ref="EB183" si="4286">100*$AF183/BO183</f>
        <v>55.61475409836067</v>
      </c>
      <c r="EC183" s="2">
        <f t="shared" ref="EC183" si="4287">100*$AF183/BP183</f>
        <v>59.016393442622956</v>
      </c>
      <c r="ED183" s="2">
        <f t="shared" ref="ED183" si="4288">100*$AF183/BQ183</f>
        <v>50.942622950819668</v>
      </c>
      <c r="EE183" s="2">
        <f t="shared" ref="EE183" si="4289">100*$AF183/BR183</f>
        <v>49.795081967213115</v>
      </c>
      <c r="EF183" s="2">
        <f t="shared" ref="EF183" si="4290">100*$AF183/BS183</f>
        <v>44.057377049180324</v>
      </c>
      <c r="EG183" s="2">
        <f t="shared" ref="EG183" si="4291">100*$AF183/BT183</f>
        <v>61.06557377049181</v>
      </c>
      <c r="EH183" s="2">
        <f t="shared" ref="EH183" si="4292">100*$AF183/BU183</f>
        <v>60.065573770491802</v>
      </c>
      <c r="EI183" s="2">
        <f t="shared" ref="EI183" si="4293">100*$AF183/BV183</f>
        <v>58.598360655737707</v>
      </c>
      <c r="EJ183" s="2">
        <f t="shared" ref="EJ183" si="4294">100*$AF183/BW183</f>
        <v>50.4016393442623</v>
      </c>
      <c r="EK183" s="2">
        <f t="shared" ref="EK183" si="4295">100*$AF183/BX183</f>
        <v>53.950819672131146</v>
      </c>
      <c r="EL183" s="2">
        <f t="shared" ref="EL183" si="4296">100*$AF183/BY183</f>
        <v>46.959016393442631</v>
      </c>
      <c r="EM183" s="2">
        <f t="shared" ref="EM183" si="4297">100*$AF183/BZ183</f>
        <v>47.122950819672134</v>
      </c>
      <c r="EN183" s="2">
        <f t="shared" ref="EN183" si="4298">100*$AF183/CA183</f>
        <v>42.852459016393446</v>
      </c>
      <c r="EO183" s="2">
        <f t="shared" ref="EO183" si="4299">100*$AF183/CB183</f>
        <v>53.278688524590166</v>
      </c>
      <c r="EP183" s="2">
        <f t="shared" ref="EP183" si="4300">100*$AF183/CC183</f>
        <v>52.71311475409837</v>
      </c>
      <c r="EQ183" s="2">
        <f t="shared" ref="EQ183" si="4301">100*$AF183/CD183</f>
        <v>51.827868852459027</v>
      </c>
      <c r="ER183" s="2">
        <f t="shared" ref="ER183" si="4302">100*$AF183/CE183</f>
        <v>45.188524590163937</v>
      </c>
      <c r="ES183" s="2">
        <f t="shared" ref="ES183" si="4303">100*$AF183/CF183</f>
        <v>48.885245901639358</v>
      </c>
      <c r="ET183" s="2">
        <f t="shared" ref="ET183" si="4304">100*$AF183/CG183</f>
        <v>42.97540983606558</v>
      </c>
      <c r="EU183" s="2">
        <f t="shared" ref="EU183" si="4305">100*$AF183/CH183</f>
        <v>44.450819672131153</v>
      </c>
      <c r="EV183" s="2">
        <f t="shared" ref="EV183" si="4306">100*$AF183/CI183</f>
        <v>41.647540983606561</v>
      </c>
      <c r="EW183" s="2">
        <f t="shared" ref="EW183" si="4307">100*$AF183/CJ183</f>
        <v>45.491803278688529</v>
      </c>
      <c r="EX183" s="2">
        <f t="shared" ref="EX183" si="4308">100*$AF183/CK183</f>
        <v>45.360655737704917</v>
      </c>
      <c r="EY183" s="2">
        <f t="shared" ref="EY183" si="4309">100*$AF183/CL183</f>
        <v>45.057377049180332</v>
      </c>
      <c r="EZ183" s="2">
        <f t="shared" ref="EZ183" si="4310">100*$AF183/CM183</f>
        <v>39.97540983606558</v>
      </c>
      <c r="FA183" s="2">
        <f t="shared" ref="FA183" si="4311">100*$AF183/CN183</f>
        <v>43.819672131147549</v>
      </c>
      <c r="FB183" s="2">
        <f t="shared" ref="FB183" si="4312">100*$AF183/CO183</f>
        <v>38.991803278688529</v>
      </c>
      <c r="FC183" s="2">
        <f t="shared" ref="FC183" si="4313">100*$AF183/CP183</f>
        <v>41.778688524590166</v>
      </c>
      <c r="FD183" s="2">
        <f t="shared" ref="FD183" si="4314">100*$AF183/CQ183</f>
        <v>40.442622950819668</v>
      </c>
    </row>
    <row r="184" spans="3:160" x14ac:dyDescent="0.4">
      <c r="C184" s="1" t="s">
        <v>40</v>
      </c>
      <c r="D184" s="1" t="s">
        <v>5</v>
      </c>
      <c r="E184" s="1">
        <v>0.248</v>
      </c>
      <c r="F184" s="1">
        <v>0.13900000000000001</v>
      </c>
      <c r="G184" s="1">
        <v>0.109</v>
      </c>
      <c r="H184" s="1">
        <v>6.0999999999999999E-2</v>
      </c>
      <c r="I184" s="1">
        <v>5387</v>
      </c>
      <c r="J184" s="1">
        <v>4493</v>
      </c>
      <c r="K184" s="1">
        <v>72</v>
      </c>
      <c r="L184" s="1">
        <v>6427</v>
      </c>
      <c r="M184" s="1">
        <v>6515</v>
      </c>
      <c r="N184" s="1">
        <v>75.5</v>
      </c>
      <c r="O184" s="1">
        <v>96.5</v>
      </c>
      <c r="P184" s="1">
        <v>90.5</v>
      </c>
      <c r="Q184" s="1">
        <v>97</v>
      </c>
      <c r="R184" s="1">
        <v>51</v>
      </c>
      <c r="S184" s="1">
        <v>96</v>
      </c>
      <c r="T184" s="4">
        <v>0</v>
      </c>
      <c r="U184" s="1">
        <v>1.4430000000000001</v>
      </c>
      <c r="V184" s="1">
        <v>6.7000000000000004E-2</v>
      </c>
      <c r="W184" s="1">
        <v>4.0199999999999996</v>
      </c>
      <c r="X184" s="1">
        <f t="shared" ref="X184" si="4315">H185</f>
        <v>2.9000000000000001E-2</v>
      </c>
      <c r="Y184" s="1">
        <f t="shared" ref="Y184" si="4316">H186</f>
        <v>5.6000000000000001E-2</v>
      </c>
      <c r="Z184" s="1">
        <f t="shared" ref="Z184" si="4317">H187</f>
        <v>0.03</v>
      </c>
      <c r="AA184" s="1">
        <f t="shared" ref="AA184" si="4318">H188</f>
        <v>0.02</v>
      </c>
      <c r="AB184" s="1">
        <f t="shared" ref="AB184" si="4319">H189</f>
        <v>0.03</v>
      </c>
      <c r="AC184" s="1">
        <f t="shared" si="2917"/>
        <v>3873.367308263139</v>
      </c>
      <c r="AE184" s="1" t="s">
        <v>96</v>
      </c>
      <c r="AF184" s="1">
        <v>1</v>
      </c>
      <c r="AG184" s="1">
        <v>0.81499999999999995</v>
      </c>
      <c r="AH184" s="1">
        <v>0.64500000000000002</v>
      </c>
      <c r="AI184" s="1">
        <v>0.39500000000000002</v>
      </c>
      <c r="AJ184" s="1">
        <v>0.36</v>
      </c>
      <c r="AK184" s="1">
        <v>0.245</v>
      </c>
      <c r="AL184" s="1">
        <v>0.14499999999999999</v>
      </c>
      <c r="AM184" s="20">
        <v>6.5000000000000002E-2</v>
      </c>
      <c r="AN184" s="1">
        <v>1</v>
      </c>
      <c r="AO184" s="1">
        <v>0.81499999999999995</v>
      </c>
      <c r="AP184" s="1">
        <v>0.64500000000000002</v>
      </c>
      <c r="AQ184" s="1">
        <v>0.39500000000000002</v>
      </c>
      <c r="AR184" s="1">
        <v>0.36</v>
      </c>
      <c r="AS184" s="1">
        <v>0.245</v>
      </c>
      <c r="AT184" s="1">
        <v>0.14499999999999999</v>
      </c>
      <c r="AU184" s="20">
        <v>6.5000000000000002E-2</v>
      </c>
      <c r="AV184" s="1">
        <v>1</v>
      </c>
      <c r="AW184" s="1">
        <v>0.81499999999999995</v>
      </c>
      <c r="AX184" s="1">
        <v>0.64500000000000002</v>
      </c>
      <c r="AY184" s="1">
        <v>0.39500000000000002</v>
      </c>
      <c r="AZ184" s="1">
        <v>0.36</v>
      </c>
      <c r="BA184" s="1">
        <v>0.245</v>
      </c>
      <c r="BB184" s="1">
        <v>0.14499999999999999</v>
      </c>
      <c r="BC184" s="20">
        <v>6.5000000000000002E-2</v>
      </c>
      <c r="BD184" s="1">
        <v>1</v>
      </c>
      <c r="BE184" s="1">
        <v>0.81499999999999995</v>
      </c>
      <c r="BF184" s="1">
        <v>0.64500000000000002</v>
      </c>
      <c r="BG184" s="1">
        <v>0.39500000000000002</v>
      </c>
      <c r="BH184" s="1">
        <v>0.36</v>
      </c>
      <c r="BI184" s="1">
        <v>0.245</v>
      </c>
      <c r="BJ184" s="1">
        <v>0.14499999999999999</v>
      </c>
      <c r="BK184" s="20">
        <v>6.5000000000000002E-2</v>
      </c>
      <c r="BL184" s="1">
        <v>1</v>
      </c>
      <c r="BM184" s="1">
        <v>0.81499999999999995</v>
      </c>
      <c r="BN184" s="1">
        <v>0.64500000000000002</v>
      </c>
      <c r="BO184" s="1">
        <v>0.39500000000000002</v>
      </c>
      <c r="BP184" s="1">
        <v>0.36</v>
      </c>
      <c r="BQ184" s="1">
        <v>0.245</v>
      </c>
      <c r="BR184" s="1">
        <v>0.14499999999999999</v>
      </c>
      <c r="BS184" s="20">
        <v>6.5000000000000002E-2</v>
      </c>
      <c r="BT184" s="1">
        <v>1</v>
      </c>
      <c r="BU184" s="1">
        <v>0.81499999999999995</v>
      </c>
      <c r="BV184" s="1">
        <v>0.64500000000000002</v>
      </c>
      <c r="BW184" s="1">
        <v>0.39500000000000002</v>
      </c>
      <c r="BX184" s="1">
        <v>0.36</v>
      </c>
      <c r="BY184" s="1">
        <v>0.245</v>
      </c>
      <c r="BZ184" s="1">
        <v>0.14499999999999999</v>
      </c>
      <c r="CA184" s="20">
        <v>6.5000000000000002E-2</v>
      </c>
      <c r="CB184" s="1">
        <v>1</v>
      </c>
      <c r="CC184" s="1">
        <v>0.81499999999999995</v>
      </c>
      <c r="CD184" s="1">
        <v>0.64500000000000002</v>
      </c>
      <c r="CE184" s="1">
        <v>0.39500000000000002</v>
      </c>
      <c r="CF184" s="1">
        <v>0.36</v>
      </c>
      <c r="CG184" s="1">
        <v>0.245</v>
      </c>
      <c r="CH184" s="1">
        <v>0.14499999999999999</v>
      </c>
      <c r="CI184" s="20">
        <v>6.5000000000000002E-2</v>
      </c>
      <c r="CJ184" s="1">
        <v>1</v>
      </c>
      <c r="CK184" s="1">
        <v>0.81499999999999995</v>
      </c>
      <c r="CL184" s="1">
        <v>0.64500000000000002</v>
      </c>
      <c r="CM184" s="1">
        <v>0.39500000000000002</v>
      </c>
      <c r="CN184" s="1">
        <v>0.36</v>
      </c>
      <c r="CO184" s="1">
        <v>0.245</v>
      </c>
      <c r="CP184" s="1">
        <v>0.14499999999999999</v>
      </c>
      <c r="CQ184" s="20">
        <v>6.5000000000000002E-2</v>
      </c>
    </row>
    <row r="185" spans="3:160" x14ac:dyDescent="0.4">
      <c r="C185" s="1" t="s">
        <v>40</v>
      </c>
      <c r="D185" s="1" t="s">
        <v>6</v>
      </c>
      <c r="E185" s="1">
        <v>0.20699999999999999</v>
      </c>
      <c r="F185" s="1">
        <v>0.1</v>
      </c>
      <c r="G185" s="1">
        <v>0.108</v>
      </c>
      <c r="H185" s="1">
        <v>2.9000000000000001E-2</v>
      </c>
      <c r="I185" s="1">
        <v>5387</v>
      </c>
      <c r="J185" s="1">
        <v>4493</v>
      </c>
      <c r="K185" s="1">
        <v>72</v>
      </c>
      <c r="L185" s="1">
        <v>6427</v>
      </c>
      <c r="M185" s="1">
        <v>6515</v>
      </c>
      <c r="N185" s="1">
        <v>75.5</v>
      </c>
      <c r="O185" s="1">
        <v>96.5</v>
      </c>
      <c r="P185" s="1">
        <v>90.5</v>
      </c>
      <c r="Q185" s="1">
        <v>97</v>
      </c>
      <c r="R185" s="1">
        <v>51</v>
      </c>
      <c r="S185" s="1">
        <v>96</v>
      </c>
      <c r="T185" s="4">
        <v>0</v>
      </c>
      <c r="U185" s="1">
        <v>1.4430000000000001</v>
      </c>
      <c r="V185" s="1">
        <v>6.7000000000000004E-2</v>
      </c>
      <c r="W185" s="1">
        <v>4.0199999999999996</v>
      </c>
      <c r="X185" s="1">
        <f t="shared" ref="X185" si="4320">H185</f>
        <v>2.9000000000000001E-2</v>
      </c>
      <c r="Y185" s="1">
        <f t="shared" ref="Y185" si="4321">H186</f>
        <v>5.6000000000000001E-2</v>
      </c>
      <c r="Z185" s="1">
        <f t="shared" ref="Z185" si="4322">H187</f>
        <v>0.03</v>
      </c>
      <c r="AA185" s="1">
        <f t="shared" ref="AA185" si="4323">H188</f>
        <v>0.02</v>
      </c>
      <c r="AB185" s="1">
        <f t="shared" ref="AB185" si="4324">H189</f>
        <v>0.03</v>
      </c>
      <c r="AC185" s="1">
        <f t="shared" si="2917"/>
        <v>3873.367308263139</v>
      </c>
      <c r="CQ185" s="20"/>
    </row>
    <row r="186" spans="3:160" x14ac:dyDescent="0.4">
      <c r="C186" s="1" t="s">
        <v>40</v>
      </c>
      <c r="D186" s="1" t="s">
        <v>7</v>
      </c>
      <c r="E186" s="1">
        <v>0.24299999999999999</v>
      </c>
      <c r="F186" s="1">
        <v>0.13400000000000001</v>
      </c>
      <c r="G186" s="1">
        <v>0.108</v>
      </c>
      <c r="H186" s="1">
        <v>5.6000000000000001E-2</v>
      </c>
      <c r="I186" s="1">
        <v>5387</v>
      </c>
      <c r="J186" s="1">
        <v>4493</v>
      </c>
      <c r="K186" s="1">
        <v>72</v>
      </c>
      <c r="L186" s="1">
        <v>6427</v>
      </c>
      <c r="M186" s="1">
        <v>6515</v>
      </c>
      <c r="N186" s="1">
        <v>75.5</v>
      </c>
      <c r="O186" s="1">
        <v>96.5</v>
      </c>
      <c r="P186" s="1">
        <v>90.5</v>
      </c>
      <c r="Q186" s="1">
        <v>97</v>
      </c>
      <c r="R186" s="1">
        <v>51</v>
      </c>
      <c r="S186" s="1">
        <v>96</v>
      </c>
      <c r="T186" s="4">
        <v>0</v>
      </c>
      <c r="U186" s="1">
        <v>1.4430000000000001</v>
      </c>
      <c r="V186" s="1">
        <v>6.7000000000000004E-2</v>
      </c>
      <c r="W186" s="1">
        <v>4.0199999999999996</v>
      </c>
      <c r="X186" s="1">
        <f t="shared" ref="X186" si="4325">H185</f>
        <v>2.9000000000000001E-2</v>
      </c>
      <c r="Y186" s="1">
        <f t="shared" ref="Y186" si="4326">H186</f>
        <v>5.6000000000000001E-2</v>
      </c>
      <c r="Z186" s="1">
        <f t="shared" ref="Z186" si="4327">H187</f>
        <v>0.03</v>
      </c>
      <c r="AA186" s="1">
        <f t="shared" ref="AA186" si="4328">H188</f>
        <v>0.02</v>
      </c>
      <c r="AB186" s="1">
        <f t="shared" ref="AB186" si="4329">H189</f>
        <v>0.03</v>
      </c>
      <c r="AC186" s="1">
        <f t="shared" si="2917"/>
        <v>3873.367308263139</v>
      </c>
      <c r="AE186" s="1" t="s">
        <v>97</v>
      </c>
      <c r="AF186" s="1">
        <v>0</v>
      </c>
      <c r="AG186" s="1">
        <v>0.12</v>
      </c>
      <c r="AH186" s="1">
        <v>0.21</v>
      </c>
      <c r="AI186" s="1">
        <v>0.26</v>
      </c>
      <c r="AJ186" s="1">
        <v>0.28000000000000003</v>
      </c>
      <c r="AK186" s="1">
        <v>0.26</v>
      </c>
      <c r="AL186" s="1">
        <v>0.21</v>
      </c>
      <c r="AM186" s="20">
        <v>0.12</v>
      </c>
      <c r="AN186" s="1">
        <v>0</v>
      </c>
      <c r="AO186" s="1">
        <v>0.12</v>
      </c>
      <c r="AP186" s="1">
        <v>0.21</v>
      </c>
      <c r="AQ186" s="1">
        <v>0.26</v>
      </c>
      <c r="AR186" s="1">
        <v>0.28000000000000003</v>
      </c>
      <c r="AS186" s="1">
        <v>0.26</v>
      </c>
      <c r="AT186" s="1">
        <v>0.21</v>
      </c>
      <c r="AU186" s="20">
        <v>0.12</v>
      </c>
      <c r="AV186" s="1">
        <v>0</v>
      </c>
      <c r="AW186" s="1">
        <v>0.12</v>
      </c>
      <c r="AX186" s="1">
        <v>0.21</v>
      </c>
      <c r="AY186" s="1">
        <v>0.26</v>
      </c>
      <c r="AZ186" s="1">
        <v>0.28000000000000003</v>
      </c>
      <c r="BA186" s="1">
        <v>0.26</v>
      </c>
      <c r="BB186" s="1">
        <v>0.21</v>
      </c>
      <c r="BC186" s="20">
        <v>0.12</v>
      </c>
      <c r="BD186" s="1">
        <v>0</v>
      </c>
      <c r="BE186" s="1">
        <v>0.12</v>
      </c>
      <c r="BF186" s="1">
        <v>0.21</v>
      </c>
      <c r="BG186" s="1">
        <v>0.26</v>
      </c>
      <c r="BH186" s="1">
        <v>0.28000000000000003</v>
      </c>
      <c r="BI186" s="1">
        <v>0.26</v>
      </c>
      <c r="BJ186" s="1">
        <v>0.21</v>
      </c>
      <c r="BK186" s="20">
        <v>0.12</v>
      </c>
      <c r="BL186" s="1">
        <v>0</v>
      </c>
      <c r="BM186" s="1">
        <v>0.12</v>
      </c>
      <c r="BN186" s="1">
        <v>0.21</v>
      </c>
      <c r="BO186" s="1">
        <v>0.26</v>
      </c>
      <c r="BP186" s="1">
        <v>0.28000000000000003</v>
      </c>
      <c r="BQ186" s="1">
        <v>0.26</v>
      </c>
      <c r="BR186" s="1">
        <v>0.21</v>
      </c>
      <c r="BS186" s="20">
        <v>0.12</v>
      </c>
      <c r="BT186" s="1">
        <v>0</v>
      </c>
      <c r="BU186" s="1">
        <v>0.12</v>
      </c>
      <c r="BV186" s="1">
        <v>0.21</v>
      </c>
      <c r="BW186" s="1">
        <v>0.26</v>
      </c>
      <c r="BX186" s="1">
        <v>0.28000000000000003</v>
      </c>
      <c r="BY186" s="1">
        <v>0.26</v>
      </c>
      <c r="BZ186" s="1">
        <v>0.21</v>
      </c>
      <c r="CA186" s="20">
        <v>0.12</v>
      </c>
      <c r="CB186" s="1">
        <v>0</v>
      </c>
      <c r="CC186" s="1">
        <v>0.12</v>
      </c>
      <c r="CD186" s="1">
        <v>0.21</v>
      </c>
      <c r="CE186" s="1">
        <v>0.26</v>
      </c>
      <c r="CF186" s="1">
        <v>0.28000000000000003</v>
      </c>
      <c r="CG186" s="1">
        <v>0.26</v>
      </c>
      <c r="CH186" s="1">
        <v>0.21</v>
      </c>
      <c r="CI186" s="20">
        <v>0.12</v>
      </c>
      <c r="CJ186" s="1">
        <v>0</v>
      </c>
      <c r="CK186" s="1">
        <v>0.12</v>
      </c>
      <c r="CL186" s="1">
        <v>0.21</v>
      </c>
      <c r="CM186" s="1">
        <v>0.26</v>
      </c>
      <c r="CN186" s="1">
        <v>0.28000000000000003</v>
      </c>
      <c r="CO186" s="1">
        <v>0.26</v>
      </c>
      <c r="CP186" s="1">
        <v>0.21</v>
      </c>
      <c r="CQ186" s="20">
        <v>0.12</v>
      </c>
    </row>
    <row r="187" spans="3:160" x14ac:dyDescent="0.4">
      <c r="C187" s="1" t="s">
        <v>40</v>
      </c>
      <c r="D187" s="1" t="s">
        <v>8</v>
      </c>
      <c r="E187" s="1">
        <v>0.20899999999999999</v>
      </c>
      <c r="F187" s="1">
        <v>0.10100000000000001</v>
      </c>
      <c r="G187" s="1">
        <v>0.108</v>
      </c>
      <c r="H187" s="1">
        <v>0.03</v>
      </c>
      <c r="I187" s="1">
        <v>5387</v>
      </c>
      <c r="J187" s="1">
        <v>4493</v>
      </c>
      <c r="K187" s="1">
        <v>72</v>
      </c>
      <c r="L187" s="1">
        <v>6427</v>
      </c>
      <c r="M187" s="1">
        <v>6515</v>
      </c>
      <c r="N187" s="1">
        <v>75.5</v>
      </c>
      <c r="O187" s="1">
        <v>96.5</v>
      </c>
      <c r="P187" s="1">
        <v>90.5</v>
      </c>
      <c r="Q187" s="1">
        <v>97</v>
      </c>
      <c r="R187" s="1">
        <v>51</v>
      </c>
      <c r="S187" s="1">
        <v>96</v>
      </c>
      <c r="T187" s="4">
        <v>0</v>
      </c>
      <c r="U187" s="1">
        <v>1.4430000000000001</v>
      </c>
      <c r="V187" s="1">
        <v>6.7000000000000004E-2</v>
      </c>
      <c r="W187" s="1">
        <v>4.0199999999999996</v>
      </c>
      <c r="X187" s="1">
        <f t="shared" ref="X187" si="4330">H185</f>
        <v>2.9000000000000001E-2</v>
      </c>
      <c r="Y187" s="1">
        <f t="shared" ref="Y187" si="4331">H186</f>
        <v>5.6000000000000001E-2</v>
      </c>
      <c r="Z187" s="1">
        <f t="shared" ref="Z187" si="4332">H187</f>
        <v>0.03</v>
      </c>
      <c r="AA187" s="1">
        <f t="shared" ref="AA187" si="4333">H188</f>
        <v>0.02</v>
      </c>
      <c r="AB187" s="1">
        <f t="shared" ref="AB187" si="4334">H189</f>
        <v>0.03</v>
      </c>
      <c r="AC187" s="1">
        <f t="shared" si="2917"/>
        <v>3873.367308263139</v>
      </c>
      <c r="CQ187" s="20"/>
    </row>
    <row r="188" spans="3:160" x14ac:dyDescent="0.4">
      <c r="C188" s="1" t="s">
        <v>40</v>
      </c>
      <c r="D188" s="1" t="s">
        <v>9</v>
      </c>
      <c r="E188" s="1">
        <v>0.19800000000000001</v>
      </c>
      <c r="F188" s="1">
        <v>0.09</v>
      </c>
      <c r="G188" s="1">
        <v>0.108</v>
      </c>
      <c r="H188" s="1">
        <v>0.02</v>
      </c>
      <c r="I188" s="1">
        <v>5387</v>
      </c>
      <c r="J188" s="1">
        <v>4493</v>
      </c>
      <c r="K188" s="1">
        <v>72</v>
      </c>
      <c r="L188" s="1">
        <v>6427</v>
      </c>
      <c r="M188" s="1">
        <v>6515</v>
      </c>
      <c r="N188" s="1">
        <v>75.5</v>
      </c>
      <c r="O188" s="1">
        <v>96.5</v>
      </c>
      <c r="P188" s="1">
        <v>90.5</v>
      </c>
      <c r="Q188" s="1">
        <v>97</v>
      </c>
      <c r="R188" s="1">
        <v>51</v>
      </c>
      <c r="S188" s="1">
        <v>96</v>
      </c>
      <c r="T188" s="4">
        <v>0</v>
      </c>
      <c r="U188" s="1">
        <v>1.4430000000000001</v>
      </c>
      <c r="V188" s="1">
        <v>6.7000000000000004E-2</v>
      </c>
      <c r="W188" s="1">
        <v>4.0199999999999996</v>
      </c>
      <c r="X188" s="1">
        <f t="shared" ref="X188" si="4335">H185</f>
        <v>2.9000000000000001E-2</v>
      </c>
      <c r="Y188" s="1">
        <f t="shared" ref="Y188" si="4336">H186</f>
        <v>5.6000000000000001E-2</v>
      </c>
      <c r="Z188" s="1">
        <f t="shared" ref="Z188" si="4337">H187</f>
        <v>0.03</v>
      </c>
      <c r="AA188" s="1">
        <f t="shared" ref="AA188" si="4338">H188</f>
        <v>0.02</v>
      </c>
      <c r="AB188" s="1">
        <f t="shared" ref="AB188" si="4339">H189</f>
        <v>0.03</v>
      </c>
      <c r="AC188" s="1">
        <f t="shared" si="2917"/>
        <v>3873.367308263139</v>
      </c>
      <c r="AE188" s="1" t="s">
        <v>98</v>
      </c>
      <c r="AF188" s="1">
        <v>0</v>
      </c>
      <c r="AG188" s="1">
        <v>6.5000000000000002E-2</v>
      </c>
      <c r="AH188" s="1">
        <v>0.14499999999999999</v>
      </c>
      <c r="AI188" s="1">
        <v>0.245</v>
      </c>
      <c r="AJ188" s="1">
        <v>0.36</v>
      </c>
      <c r="AK188" s="1">
        <v>0.39500000000000002</v>
      </c>
      <c r="AL188" s="1">
        <v>0.64500000000000002</v>
      </c>
      <c r="AM188" s="20">
        <v>0.81499999999999995</v>
      </c>
      <c r="AN188" s="1">
        <v>0</v>
      </c>
      <c r="AO188" s="1">
        <v>6.5000000000000002E-2</v>
      </c>
      <c r="AP188" s="1">
        <v>0.14499999999999999</v>
      </c>
      <c r="AQ188" s="1">
        <v>0.245</v>
      </c>
      <c r="AR188" s="1">
        <v>0.36</v>
      </c>
      <c r="AS188" s="1">
        <v>0.39500000000000002</v>
      </c>
      <c r="AT188" s="1">
        <v>0.64500000000000002</v>
      </c>
      <c r="AU188" s="20">
        <v>0.81499999999999995</v>
      </c>
      <c r="AV188" s="1">
        <v>0</v>
      </c>
      <c r="AW188" s="1">
        <v>6.5000000000000002E-2</v>
      </c>
      <c r="AX188" s="1">
        <v>0.14499999999999999</v>
      </c>
      <c r="AY188" s="1">
        <v>0.245</v>
      </c>
      <c r="AZ188" s="1">
        <v>0.36</v>
      </c>
      <c r="BA188" s="1">
        <v>0.39500000000000002</v>
      </c>
      <c r="BB188" s="1">
        <v>0.64500000000000002</v>
      </c>
      <c r="BC188" s="20">
        <v>0.81499999999999995</v>
      </c>
      <c r="BD188" s="1">
        <v>0</v>
      </c>
      <c r="BE188" s="1">
        <v>6.5000000000000002E-2</v>
      </c>
      <c r="BF188" s="1">
        <v>0.14499999999999999</v>
      </c>
      <c r="BG188" s="1">
        <v>0.245</v>
      </c>
      <c r="BH188" s="1">
        <v>0.36</v>
      </c>
      <c r="BI188" s="1">
        <v>0.39500000000000002</v>
      </c>
      <c r="BJ188" s="1">
        <v>0.64500000000000002</v>
      </c>
      <c r="BK188" s="20">
        <v>0.81499999999999995</v>
      </c>
      <c r="BL188" s="1">
        <v>0</v>
      </c>
      <c r="BM188" s="1">
        <v>6.5000000000000002E-2</v>
      </c>
      <c r="BN188" s="1">
        <v>0.14499999999999999</v>
      </c>
      <c r="BO188" s="1">
        <v>0.245</v>
      </c>
      <c r="BP188" s="1">
        <v>0.36</v>
      </c>
      <c r="BQ188" s="1">
        <v>0.39500000000000002</v>
      </c>
      <c r="BR188" s="1">
        <v>0.64500000000000002</v>
      </c>
      <c r="BS188" s="20">
        <v>0.81499999999999995</v>
      </c>
      <c r="BT188" s="1">
        <v>0</v>
      </c>
      <c r="BU188" s="1">
        <v>6.5000000000000002E-2</v>
      </c>
      <c r="BV188" s="1">
        <v>0.14499999999999999</v>
      </c>
      <c r="BW188" s="1">
        <v>0.245</v>
      </c>
      <c r="BX188" s="1">
        <v>0.36</v>
      </c>
      <c r="BY188" s="1">
        <v>0.39500000000000002</v>
      </c>
      <c r="BZ188" s="1">
        <v>0.64500000000000002</v>
      </c>
      <c r="CA188" s="20">
        <v>0.81499999999999995</v>
      </c>
      <c r="CB188" s="1">
        <v>0</v>
      </c>
      <c r="CC188" s="1">
        <v>6.5000000000000002E-2</v>
      </c>
      <c r="CD188" s="1">
        <v>0.14499999999999999</v>
      </c>
      <c r="CE188" s="1">
        <v>0.245</v>
      </c>
      <c r="CF188" s="1">
        <v>0.36</v>
      </c>
      <c r="CG188" s="1">
        <v>0.39500000000000002</v>
      </c>
      <c r="CH188" s="1">
        <v>0.64500000000000002</v>
      </c>
      <c r="CI188" s="20">
        <v>0.81499999999999995</v>
      </c>
      <c r="CJ188" s="1">
        <v>0</v>
      </c>
      <c r="CK188" s="1">
        <v>6.5000000000000002E-2</v>
      </c>
      <c r="CL188" s="1">
        <v>0.14499999999999999</v>
      </c>
      <c r="CM188" s="1">
        <v>0.245</v>
      </c>
      <c r="CN188" s="1">
        <v>0.36</v>
      </c>
      <c r="CO188" s="1">
        <v>0.39500000000000002</v>
      </c>
      <c r="CP188" s="1">
        <v>0.64500000000000002</v>
      </c>
      <c r="CQ188" s="20">
        <v>0.81499999999999995</v>
      </c>
    </row>
    <row r="189" spans="3:160" s="2" customFormat="1" x14ac:dyDescent="0.4">
      <c r="C189" s="2" t="s">
        <v>40</v>
      </c>
      <c r="D189" s="2" t="s">
        <v>10</v>
      </c>
      <c r="E189" s="2">
        <v>0.20899999999999999</v>
      </c>
      <c r="F189" s="2">
        <v>0.10100000000000001</v>
      </c>
      <c r="G189" s="2">
        <v>0.108</v>
      </c>
      <c r="H189" s="2">
        <v>0.03</v>
      </c>
      <c r="I189" s="2">
        <v>5387</v>
      </c>
      <c r="J189" s="2">
        <v>4493</v>
      </c>
      <c r="K189" s="2">
        <v>72</v>
      </c>
      <c r="L189" s="2">
        <v>6427</v>
      </c>
      <c r="M189" s="2">
        <v>6515</v>
      </c>
      <c r="N189" s="2">
        <v>75.5</v>
      </c>
      <c r="O189" s="2">
        <v>96.5</v>
      </c>
      <c r="P189" s="2">
        <v>90.5</v>
      </c>
      <c r="Q189" s="2">
        <v>97</v>
      </c>
      <c r="R189" s="2">
        <v>51</v>
      </c>
      <c r="S189" s="2">
        <v>96</v>
      </c>
      <c r="T189" s="6">
        <f t="shared" ref="T189:T237" si="4340">(N184*O184*P184*Q184*R184*S184)/(I184*J184*K184*(F184*H184 + F185*H185 + F186*H186 + F187*H187 + F188*H188 + F189*H189))</f>
        <v>6719.0824859223321</v>
      </c>
      <c r="U189" s="2">
        <v>1.4430000000000001</v>
      </c>
      <c r="V189" s="2">
        <v>6.7000000000000004E-2</v>
      </c>
      <c r="W189" s="2">
        <v>4.0199999999999996</v>
      </c>
      <c r="X189" s="2">
        <f t="shared" ref="X189" si="4341">H185</f>
        <v>2.9000000000000001E-2</v>
      </c>
      <c r="Y189" s="2">
        <f t="shared" ref="Y189" si="4342">H186</f>
        <v>5.6000000000000001E-2</v>
      </c>
      <c r="Z189" s="2">
        <f t="shared" ref="Z189" si="4343">H187</f>
        <v>0.03</v>
      </c>
      <c r="AA189" s="2">
        <f t="shared" ref="AA189" si="4344">H188</f>
        <v>0.02</v>
      </c>
      <c r="AB189" s="2">
        <f t="shared" ref="AB189" si="4345">H189</f>
        <v>0.03</v>
      </c>
      <c r="AC189" s="1">
        <f t="shared" si="2917"/>
        <v>3873.367308263139</v>
      </c>
      <c r="AE189" s="2" t="s">
        <v>99</v>
      </c>
      <c r="AF189" s="23">
        <f>($O189*$Q189*$S189)^(1/3)/(AF184*((1-AF$2)*$H184+AF$2*$H185) + AF186*((1-AF$2)*$H186+AF$2*$H187) + AF188*((1-AF$2)*$H188+AF$2*$H189))</f>
        <v>1581.9530563018643</v>
      </c>
      <c r="AG189" s="23">
        <f t="shared" ref="AG189" si="4346">($O189*$Q189*$S189)^(1/3)/(AG184*((1-AG$2)*$H184+AG$2*$H185) + AG186*((1-AG$2)*$H186+AG$2*$H187) + AG188*((1-AG$2)*$H188+AG$2*$H189))</f>
        <v>1671.4148512066115</v>
      </c>
      <c r="AH189" s="23">
        <f t="shared" ref="AH189" si="4347">($O189*$Q189*$S189)^(1/3)/(AH184*((1-AH$2)*$H184+AH$2*$H185) + AH186*((1-AH$2)*$H186+AH$2*$H187) + AH188*((1-AH$2)*$H188+AH$2*$H189))</f>
        <v>1786.8555954895605</v>
      </c>
      <c r="AI189" s="23">
        <f t="shared" ref="AI189" si="4348">($O189*$Q189*$S189)^(1/3)/(AI184*((1-AI$2)*$H184+AI$2*$H185) + AI186*((1-AI$2)*$H186+AI$2*$H187) + AI188*((1-AI$2)*$H188+AI$2*$H189))</f>
        <v>2215.5696575459465</v>
      </c>
      <c r="AJ189" s="23">
        <f t="shared" ref="AJ189" si="4349">($O189*$Q189*$S189)^(1/3)/(AJ184*((1-AJ$2)*$H184+AJ$2*$H185) + AJ186*((1-AJ$2)*$H186+AJ$2*$H187) + AJ188*((1-AJ$2)*$H188+AJ$2*$H189))</f>
        <v>2152.0770837291193</v>
      </c>
      <c r="AK189" s="23">
        <f t="shared" ref="AK189" si="4350">($O189*$Q189*$S189)^(1/3)/(AK184*((1-AK$2)*$H184+AK$2*$H185) + AK186*((1-AK$2)*$H186+AK$2*$H187) + AK188*((1-AK$2)*$H188+AK$2*$H189))</f>
        <v>2579.8459145679376</v>
      </c>
      <c r="AL189" s="23">
        <f t="shared" ref="AL189" si="4351">($O189*$Q189*$S189)^(1/3)/(AL184*((1-AL$2)*$H184+AL$2*$H185) + AL186*((1-AL$2)*$H186+AL$2*$H187) + AL188*((1-AL$2)*$H188+AL$2*$H189))</f>
        <v>2880.1413650026479</v>
      </c>
      <c r="AM189" s="23">
        <f t="shared" ref="AM189" si="4352">($O189*$Q189*$S189)^(1/3)/(AM184*((1-AM$2)*$H184+AM$2*$H185) + AM186*((1-AM$2)*$H186+AM$2*$H187) + AM188*((1-AM$2)*$H188+AM$2*$H189))</f>
        <v>3576.0287728150352</v>
      </c>
      <c r="AN189" s="23">
        <f t="shared" ref="AN189" si="4353">($O189*$Q189*$S189)^(1/3)/(AN184*((1-AN$2)*$H184+AN$2*$H185) + AN186*((1-AN$2)*$H186+AN$2*$H187) + AN188*((1-AN$2)*$H188+AN$2*$H189))</f>
        <v>1692.9673058669073</v>
      </c>
      <c r="AO189" s="23">
        <f t="shared" ref="AO189" si="4354">($O189*$Q189*$S189)^(1/3)/(AO184*((1-AO$2)*$H184+AO$2*$H185) + AO186*((1-AO$2)*$H186+AO$2*$H187) + AO188*((1-AO$2)*$H188+AO$2*$H189))</f>
        <v>1781.536222913968</v>
      </c>
      <c r="AP189" s="23">
        <f t="shared" ref="AP189" si="4355">($O189*$Q189*$S189)^(1/3)/(AP184*((1-AP$2)*$H184+AP$2*$H185) + AP186*((1-AP$2)*$H186+AP$2*$H187) + AP188*((1-AP$2)*$H188+AP$2*$H189))</f>
        <v>1894.9731006536974</v>
      </c>
      <c r="AQ189" s="23">
        <f t="shared" ref="AQ189" si="4356">($O189*$Q189*$S189)^(1/3)/(AQ184*((1-AQ$2)*$H184+AQ$2*$H185) + AQ186*((1-AQ$2)*$H186+AQ$2*$H187) + AQ188*((1-AQ$2)*$H188+AQ$2*$H189))</f>
        <v>2328.8578583827857</v>
      </c>
      <c r="AR189" s="23">
        <f t="shared" ref="AR189" si="4357">($O189*$Q189*$S189)^(1/3)/(AR184*((1-AR$2)*$H184+AR$2*$H185) + AR186*((1-AR$2)*$H186+AR$2*$H187) + AR188*((1-AR$2)*$H188+AR$2*$H189))</f>
        <v>2247.3017334516467</v>
      </c>
      <c r="AS189" s="23">
        <f t="shared" ref="AS189" si="4358">($O189*$Q189*$S189)^(1/3)/(AS184*((1-AS$2)*$H184+AS$2*$H185) + AS186*((1-AS$2)*$H186+AS$2*$H187) + AS188*((1-AS$2)*$H188+AS$2*$H189))</f>
        <v>2675.0514275453402</v>
      </c>
      <c r="AT189" s="23">
        <f t="shared" ref="AT189" si="4359">($O189*$Q189*$S189)^(1/3)/(AT184*((1-AT$2)*$H184+AT$2*$H185) + AT186*((1-AT$2)*$H186+AT$2*$H187) + AT188*((1-AT$2)*$H188+AT$2*$H189))</f>
        <v>2919.9027628704175</v>
      </c>
      <c r="AU189" s="23">
        <f t="shared" ref="AU189" si="4360">($O189*$Q189*$S189)^(1/3)/(AU184*((1-AU$2)*$H184+AU$2*$H185) + AU186*((1-AU$2)*$H186+AU$2*$H187) + AU188*((1-AU$2)*$H188+AU$2*$H189))</f>
        <v>3527.8211007417158</v>
      </c>
      <c r="AV189" s="23">
        <f t="shared" ref="AV189" si="4361">($O189*$Q189*$S189)^(1/3)/(AV184*((1-AV$2)*$H184+AV$2*$H185) + AV186*((1-AV$2)*$H186+AV$2*$H187) + AV188*((1-AV$2)*$H188+AV$2*$H189))</f>
        <v>1820.7384232908248</v>
      </c>
      <c r="AW189" s="23">
        <f t="shared" ref="AW189" si="4362">($O189*$Q189*$S189)^(1/3)/(AW184*((1-AW$2)*$H184+AW$2*$H185) + AW186*((1-AW$2)*$H186+AW$2*$H187) + AW188*((1-AW$2)*$H188+AW$2*$H189))</f>
        <v>1907.191786835589</v>
      </c>
      <c r="AX189" s="23">
        <f t="shared" ref="AX189" si="4363">($O189*$Q189*$S189)^(1/3)/(AX184*((1-AX$2)*$H184+AX$2*$H185) + AX186*((1-AX$2)*$H186+AX$2*$H187) + AX188*((1-AX$2)*$H188+AX$2*$H189))</f>
        <v>2017.0170127901699</v>
      </c>
      <c r="AY189" s="23">
        <f t="shared" ref="AY189" si="4364">($O189*$Q189*$S189)^(1/3)/(AY184*((1-AY$2)*$H184+AY$2*$H185) + AY186*((1-AY$2)*$H186+AY$2*$H187) + AY188*((1-AY$2)*$H188+AY$2*$H189))</f>
        <v>2454.3558576820424</v>
      </c>
      <c r="AZ189" s="23">
        <f t="shared" ref="AZ189" si="4365">($O189*$Q189*$S189)^(1/3)/(AZ184*((1-AZ$2)*$H184+AZ$2*$H185) + AZ186*((1-AZ$2)*$H186+AZ$2*$H187) + AZ188*((1-AZ$2)*$H188+AZ$2*$H189))</f>
        <v>2351.3434803707041</v>
      </c>
      <c r="BA189" s="23">
        <f t="shared" ref="BA189" si="4366">($O189*$Q189*$S189)^(1/3)/(BA184*((1-BA$2)*$H184+BA$2*$H185) + BA186*((1-BA$2)*$H186+BA$2*$H187) + BA188*((1-BA$2)*$H188+BA$2*$H189))</f>
        <v>2777.5530383367263</v>
      </c>
      <c r="BB189" s="23">
        <f t="shared" ref="BB189" si="4367">($O189*$Q189*$S189)^(1/3)/(BB184*((1-BB$2)*$H184+BB$2*$H185) + BB186*((1-BB$2)*$H186+BB$2*$H187) + BB188*((1-BB$2)*$H188+BB$2*$H189))</f>
        <v>2960.7773700824951</v>
      </c>
      <c r="BC189" s="23">
        <f t="shared" ref="BC189" si="4368">($O189*$Q189*$S189)^(1/3)/(BC184*((1-BC$2)*$H184+BC$2*$H185) + BC186*((1-BC$2)*$H186+BC$2*$H187) + BC188*((1-BC$2)*$H188+BC$2*$H189))</f>
        <v>3480.8958944688866</v>
      </c>
      <c r="BD189" s="23">
        <f t="shared" ref="BD189" si="4369">($O189*$Q189*$S189)^(1/3)/(BD184*((1-BD$2)*$H184+BD$2*$H185) + BD186*((1-BD$2)*$H186+BD$2*$H187) + BD188*((1-BD$2)*$H188+BD$2*$H189))</f>
        <v>1969.3701313145655</v>
      </c>
      <c r="BE189" s="23">
        <f t="shared" ref="BE189" si="4370">($O189*$Q189*$S189)^(1/3)/(BE184*((1-BE$2)*$H184+BE$2*$H185) + BE186*((1-BE$2)*$H186+BE$2*$H187) + BE188*((1-BE$2)*$H188+BE$2*$H189))</f>
        <v>2051.9179530481615</v>
      </c>
      <c r="BF189" s="23">
        <f t="shared" ref="BF189" si="4371">($O189*$Q189*$S189)^(1/3)/(BF184*((1-BF$2)*$H184+BF$2*$H185) + BF186*((1-BF$2)*$H186+BF$2*$H187) + BF188*((1-BF$2)*$H188+BF$2*$H189))</f>
        <v>2155.8633066416533</v>
      </c>
      <c r="BG189" s="23">
        <f t="shared" ref="BG189" si="4372">($O189*$Q189*$S189)^(1/3)/(BG184*((1-BG$2)*$H184+BG$2*$H185) + BG186*((1-BG$2)*$H186+BG$2*$H187) + BG188*((1-BG$2)*$H188+BG$2*$H189))</f>
        <v>2594.1499763947368</v>
      </c>
      <c r="BH189" s="23">
        <f t="shared" ref="BH189" si="4373">($O189*$Q189*$S189)^(1/3)/(BH184*((1-BH$2)*$H184+BH$2*$H185) + BH186*((1-BH$2)*$H186+BH$2*$H187) + BH188*((1-BH$2)*$H188+BH$2*$H189))</f>
        <v>2465.4863677673407</v>
      </c>
      <c r="BI189" s="23">
        <f t="shared" ref="BI189" si="4374">($O189*$Q189*$S189)^(1/3)/(BI184*((1-BI$2)*$H184+BI$2*$H185) + BI186*((1-BI$2)*$H186+BI$2*$H187) + BI188*((1-BI$2)*$H188+BI$2*$H189))</f>
        <v>2888.22287206895</v>
      </c>
      <c r="BJ189" s="23">
        <f t="shared" ref="BJ189" si="4375">($O189*$Q189*$S189)^(1/3)/(BJ184*((1-BJ$2)*$H184+BJ$2*$H185) + BJ186*((1-BJ$2)*$H186+BJ$2*$H187) + BJ188*((1-BJ$2)*$H188+BJ$2*$H189))</f>
        <v>3002.8126005496511</v>
      </c>
      <c r="BK189" s="23">
        <f t="shared" ref="BK189" si="4376">($O189*$Q189*$S189)^(1/3)/(BK184*((1-BK$2)*$H184+BK$2*$H185) + BK186*((1-BK$2)*$H186+BK$2*$H187) + BK188*((1-BK$2)*$H188+BK$2*$H189))</f>
        <v>3435.2026497366164</v>
      </c>
      <c r="BL189" s="23">
        <f t="shared" ref="BL189" si="4377">($O189*$Q189*$S189)^(1/3)/(BL184*((1-BL$2)*$H184+BL$2*$H185) + BL186*((1-BL$2)*$H186+BL$2*$H187) + BL188*((1-BL$2)*$H188+BL$2*$H189))</f>
        <v>2144.4252540980824</v>
      </c>
      <c r="BM189" s="23">
        <f t="shared" ref="BM189" si="4378">($O189*$Q189*$S189)^(1/3)/(BM184*((1-BM$2)*$H184+BM$2*$H185) + BM186*((1-BM$2)*$H186+BM$2*$H187) + BM188*((1-BM$2)*$H188+BM$2*$H189))</f>
        <v>2220.4127113302743</v>
      </c>
      <c r="BN189" s="23">
        <f t="shared" ref="BN189" si="4379">($O189*$Q189*$S189)^(1/3)/(BN184*((1-BN$2)*$H184+BN$2*$H185) + BN186*((1-BN$2)*$H186+BN$2*$H187) + BN188*((1-BN$2)*$H188+BN$2*$H189))</f>
        <v>2315.2383981385251</v>
      </c>
      <c r="BO189" s="23">
        <f t="shared" ref="BO189" si="4380">($O189*$Q189*$S189)^(1/3)/(BO184*((1-BO$2)*$H184+BO$2*$H185) + BO186*((1-BO$2)*$H186+BO$2*$H187) + BO188*((1-BO$2)*$H188+BO$2*$H189))</f>
        <v>2750.830571106434</v>
      </c>
      <c r="BP189" s="23">
        <f t="shared" ref="BP189" si="4381">($O189*$Q189*$S189)^(1/3)/(BP184*((1-BP$2)*$H184+BP$2*$H185) + BP186*((1-BP$2)*$H186+BP$2*$H187) + BP188*((1-BP$2)*$H188+BP$2*$H189))</f>
        <v>2591.2764885717966</v>
      </c>
      <c r="BQ189" s="23">
        <f t="shared" ref="BQ189" si="4382">($O189*$Q189*$S189)^(1/3)/(BQ184*((1-BQ$2)*$H184+BQ$2*$H185) + BQ186*((1-BQ$2)*$H186+BQ$2*$H187) + BQ188*((1-BQ$2)*$H188+BQ$2*$H189))</f>
        <v>3008.0778190278593</v>
      </c>
      <c r="BR189" s="23">
        <f t="shared" ref="BR189" si="4383">($O189*$Q189*$S189)^(1/3)/(BR184*((1-BR$2)*$H184+BR$2*$H185) + BR186*((1-BR$2)*$H186+BR$2*$H187) + BR188*((1-BR$2)*$H188+BR$2*$H189))</f>
        <v>3046.0585995711399</v>
      </c>
      <c r="BS189" s="23">
        <f t="shared" ref="BS189" si="4384">($O189*$Q189*$S189)^(1/3)/(BS184*((1-BS$2)*$H184+BS$2*$H185) + BS186*((1-BS$2)*$H186+BS$2*$H187) + BS188*((1-BS$2)*$H188+BS$2*$H189))</f>
        <v>3390.6934797756048</v>
      </c>
      <c r="BT189" s="23">
        <f t="shared" ref="BT189" si="4385">($O189*$Q189*$S189)^(1/3)/(BT184*((1-BT$2)*$H184+BT$2*$H185) + BT186*((1-BT$2)*$H186+BT$2*$H187) + BT188*((1-BT$2)*$H188+BT$2*$H189))</f>
        <v>2353.6374740100905</v>
      </c>
      <c r="BU189" s="23">
        <f t="shared" ref="BU189" si="4386">($O189*$Q189*$S189)^(1/3)/(BU184*((1-BU$2)*$H184+BU$2*$H185) + BU186*((1-BU$2)*$H186+BU$2*$H187) + BU188*((1-BU$2)*$H188+BU$2*$H189))</f>
        <v>2419.0552172321932</v>
      </c>
      <c r="BV189" s="23">
        <f t="shared" ref="BV189" si="4387">($O189*$Q189*$S189)^(1/3)/(BV184*((1-BV$2)*$H184+BV$2*$H185) + BV186*((1-BV$2)*$H186+BV$2*$H187) + BV188*((1-BV$2)*$H188+BV$2*$H189))</f>
        <v>2500.0585882810637</v>
      </c>
      <c r="BW189" s="23">
        <f t="shared" ref="BW189" si="4388">($O189*$Q189*$S189)^(1/3)/(BW184*((1-BW$2)*$H184+BW$2*$H185) + BW186*((1-BW$2)*$H186+BW$2*$H187) + BW188*((1-BW$2)*$H188+BW$2*$H189))</f>
        <v>2927.6540311551812</v>
      </c>
      <c r="BX189" s="23">
        <f t="shared" ref="BX189" si="4389">($O189*$Q189*$S189)^(1/3)/(BX184*((1-BX$2)*$H184+BX$2*$H185) + BX186*((1-BX$2)*$H186+BX$2*$H187) + BX188*((1-BX$2)*$H188+BX$2*$H189))</f>
        <v>2730.592428817592</v>
      </c>
      <c r="BY189" s="23">
        <f t="shared" ref="BY189" si="4390">($O189*$Q189*$S189)^(1/3)/(BY184*((1-BY$2)*$H184+BY$2*$H185) + BY186*((1-BY$2)*$H186+BY$2*$H187) + BY188*((1-BY$2)*$H188+BY$2*$H189))</f>
        <v>3138.3108722928155</v>
      </c>
      <c r="BZ189" s="23">
        <f t="shared" ref="BZ189" si="4391">($O189*$Q189*$S189)^(1/3)/(BZ184*((1-BZ$2)*$H184+BZ$2*$H185) + BZ186*((1-BZ$2)*$H186+BZ$2*$H187) + BZ188*((1-BZ$2)*$H188+BZ$2*$H189))</f>
        <v>3090.5684433936899</v>
      </c>
      <c r="CA189" s="23">
        <f t="shared" ref="CA189" si="4392">($O189*$Q189*$S189)^(1/3)/(CA184*((1-CA$2)*$H184+CA$2*$H185) + CA186*((1-CA$2)*$H186+CA$2*$H187) + CA188*((1-CA$2)*$H188+CA$2*$H189))</f>
        <v>3347.3229479049119</v>
      </c>
      <c r="CB189" s="23">
        <f t="shared" ref="CB189" si="4393">($O189*$Q189*$S189)^(1/3)/(CB184*((1-CB$2)*$H184+CB$2*$H185) + CB186*((1-CB$2)*$H186+CB$2*$H187) + CB188*((1-CB$2)*$H188+CB$2*$H189))</f>
        <v>2608.0847684976675</v>
      </c>
      <c r="CC189" s="23">
        <f t="shared" ref="CC189" si="4394">($O189*$Q189*$S189)^(1/3)/(CC184*((1-CC$2)*$H184+CC$2*$H185) + CC186*((1-CC$2)*$H186+CC$2*$H187) + CC188*((1-CC$2)*$H188+CC$2*$H189))</f>
        <v>2656.7316796589912</v>
      </c>
      <c r="CD189" s="23">
        <f t="shared" ref="CD189" si="4395">($O189*$Q189*$S189)^(1/3)/(CD184*((1-CD$2)*$H184+CD$2*$H185) + CD186*((1-CD$2)*$H186+CD$2*$H187) + CD188*((1-CD$2)*$H188+CD$2*$H189))</f>
        <v>2716.9461936908206</v>
      </c>
      <c r="CE189" s="23">
        <f t="shared" ref="CE189" si="4396">($O189*$Q189*$S189)^(1/3)/(CE184*((1-CE$2)*$H184+CE$2*$H185) + CE186*((1-CE$2)*$H186+CE$2*$H187) + CE188*((1-CE$2)*$H188+CE$2*$H189))</f>
        <v>3128.7715468724555</v>
      </c>
      <c r="CF189" s="23">
        <f t="shared" ref="CF189" si="4397">($O189*$Q189*$S189)^(1/3)/(CF184*((1-CF$2)*$H184+CF$2*$H185) + CF186*((1-CF$2)*$H186+CF$2*$H187) + CF188*((1-CF$2)*$H188+CF$2*$H189))</f>
        <v>2885.7397259095014</v>
      </c>
      <c r="CG189" s="23">
        <f t="shared" ref="CG189" si="4398">($O189*$Q189*$S189)^(1/3)/(CG184*((1-CG$2)*$H184+CG$2*$H185) + CG186*((1-CG$2)*$H186+CG$2*$H187) + CG188*((1-CG$2)*$H188+CG$2*$H189))</f>
        <v>3280.3309742300912</v>
      </c>
      <c r="CH189" s="23">
        <f t="shared" ref="CH189" si="4399">($O189*$Q189*$S189)^(1/3)/(CH184*((1-CH$2)*$H184+CH$2*$H185) + CH186*((1-CH$2)*$H186+CH$2*$H187) + CH188*((1-CH$2)*$H188+CH$2*$H189))</f>
        <v>3136.3983565260005</v>
      </c>
      <c r="CI189" s="23">
        <f t="shared" ref="CI189" si="4400">($O189*$Q189*$S189)^(1/3)/(CI184*((1-CI$2)*$H184+CI$2*$H185) + CI186*((1-CI$2)*$H186+CI$2*$H187) + CI188*((1-CI$2)*$H188+CI$2*$H189))</f>
        <v>3305.0479128149232</v>
      </c>
      <c r="CJ189" s="23">
        <f t="shared" ref="CJ189" si="4401">($O189*$Q189*$S189)^(1/3)/(CJ184*((1-CJ$2)*$H184+CJ$2*$H185) + CJ186*((1-CJ$2)*$H186+CJ$2*$H187) + CJ188*((1-CJ$2)*$H188+CJ$2*$H189))</f>
        <v>2924.2162555882942</v>
      </c>
      <c r="CK189" s="23">
        <f t="shared" ref="CK189" si="4402">($O189*$Q189*$S189)^(1/3)/(CK184*((1-CK$2)*$H184+CK$2*$H185) + CK186*((1-CK$2)*$H186+CK$2*$H187) + CK188*((1-CK$2)*$H188+CK$2*$H189))</f>
        <v>2946.2011658028077</v>
      </c>
      <c r="CL189" s="23">
        <f t="shared" ref="CL189" si="4403">($O189*$Q189*$S189)^(1/3)/(CL184*((1-CL$2)*$H184+CL$2*$H185) + CL186*((1-CL$2)*$H186+CL$2*$H187) + CL188*((1-CL$2)*$H188+CL$2*$H189))</f>
        <v>2975.0398530783832</v>
      </c>
      <c r="CM189" s="23">
        <f t="shared" ref="CM189" si="4404">($O189*$Q189*$S189)^(1/3)/(CM184*((1-CM$2)*$H184+CM$2*$H185) + CM186*((1-CM$2)*$H186+CM$2*$H187) + CM188*((1-CM$2)*$H188+CM$2*$H189))</f>
        <v>3359.5591256160396</v>
      </c>
      <c r="CN189" s="23">
        <f t="shared" ref="CN189" si="4405">($O189*$Q189*$S189)^(1/3)/(CN184*((1-CN$2)*$H184+CN$2*$H185) + CN186*((1-CN$2)*$H186+CN$2*$H187) + CN188*((1-CN$2)*$H188+CN$2*$H189))</f>
        <v>3059.5794684341699</v>
      </c>
      <c r="CO189" s="23">
        <f t="shared" ref="CO189" si="4406">($O189*$Q189*$S189)^(1/3)/(CO184*((1-CO$2)*$H184+CO$2*$H185) + CO186*((1-CO$2)*$H186+CO$2*$H187) + CO188*((1-CO$2)*$H188+CO$2*$H189))</f>
        <v>3435.814195003381</v>
      </c>
      <c r="CP189" s="23">
        <f t="shared" ref="CP189" si="4407">($O189*$Q189*$S189)^(1/3)/(CP184*((1-CP$2)*$H184+CP$2*$H185) + CP186*((1-CP$2)*$H186+CP$2*$H187) + CP188*((1-CP$2)*$H188+CP$2*$H189))</f>
        <v>3183.6079486795734</v>
      </c>
      <c r="CQ189" s="23">
        <f t="shared" ref="CQ189" si="4408">($O189*$Q189*$S189)^(1/3)/(CQ184*((1-CQ$2)*$H184+CQ$2*$H185) + CQ186*((1-CQ$2)*$H186+CQ$2*$H187) + CQ188*((1-CQ$2)*$H188+CQ$2*$H189))</f>
        <v>3263.8273854281051</v>
      </c>
      <c r="CS189" s="2">
        <f t="shared" ref="CS189" si="4409">100*$AF189/AF189</f>
        <v>100</v>
      </c>
      <c r="CT189" s="2">
        <f t="shared" ref="CT189" si="4410">100*$AF189/AG189</f>
        <v>94.647540983606561</v>
      </c>
      <c r="CU189" s="2">
        <f t="shared" ref="CU189" si="4411">100*$AF189/AH189</f>
        <v>88.532786885245912</v>
      </c>
      <c r="CV189" s="2">
        <f t="shared" ref="CV189" si="4412">100*$AF189/AI189</f>
        <v>71.401639344262307</v>
      </c>
      <c r="CW189" s="2">
        <f t="shared" ref="CW189" si="4413">100*$AF189/AJ189</f>
        <v>73.508196721311478</v>
      </c>
      <c r="CX189" s="2">
        <f t="shared" ref="CX189" si="4414">100*$AF189/AK189</f>
        <v>61.319672131147549</v>
      </c>
      <c r="CY189" s="2">
        <f t="shared" ref="CY189" si="4415">100*$AF189/AL189</f>
        <v>54.92622950819672</v>
      </c>
      <c r="CZ189" s="2">
        <f t="shared" ref="CZ189" si="4416">100*$AF189/AM189</f>
        <v>44.237704918032783</v>
      </c>
      <c r="DA189" s="2">
        <f t="shared" ref="DA189" si="4417">100*$AF189/AN189</f>
        <v>93.442622950819683</v>
      </c>
      <c r="DB189" s="2">
        <f t="shared" ref="DB189" si="4418">100*$AF189/AO189</f>
        <v>88.797131147540981</v>
      </c>
      <c r="DC189" s="2">
        <f t="shared" ref="DC189" si="4419">100*$AF189/AP189</f>
        <v>83.481557377049171</v>
      </c>
      <c r="DD189" s="2">
        <f t="shared" ref="DD189" si="4420">100*$AF189/AQ189</f>
        <v>67.9282786885246</v>
      </c>
      <c r="DE189" s="2">
        <f t="shared" ref="DE189" si="4421">100*$AF189/AR189</f>
        <v>70.393442622950829</v>
      </c>
      <c r="DF189" s="2">
        <f t="shared" ref="DF189" si="4422">100*$AF189/AS189</f>
        <v>59.137295081967217</v>
      </c>
      <c r="DG189" s="2">
        <f t="shared" ref="DG189" si="4423">100*$AF189/AT189</f>
        <v>54.178278688524593</v>
      </c>
      <c r="DH189" s="2">
        <f t="shared" ref="DH189" si="4424">100*$AF189/AU189</f>
        <v>44.842213114754102</v>
      </c>
      <c r="DI189" s="2">
        <f t="shared" ref="DI189" si="4425">100*$AF189/AV189</f>
        <v>86.885245901639351</v>
      </c>
      <c r="DJ189" s="2">
        <f t="shared" ref="DJ189" si="4426">100*$AF189/AW189</f>
        <v>82.946721311475414</v>
      </c>
      <c r="DK189" s="2">
        <f t="shared" ref="DK189" si="4427">100*$AF189/AX189</f>
        <v>78.430327868852473</v>
      </c>
      <c r="DL189" s="2">
        <f t="shared" ref="DL189" si="4428">100*$AF189/AY189</f>
        <v>64.454918032786892</v>
      </c>
      <c r="DM189" s="2">
        <f t="shared" ref="DM189" si="4429">100*$AF189/AZ189</f>
        <v>67.27868852459018</v>
      </c>
      <c r="DN189" s="2">
        <f t="shared" ref="DN189" si="4430">100*$AF189/BA189</f>
        <v>56.954918032786885</v>
      </c>
      <c r="DO189" s="2">
        <f t="shared" ref="DO189" si="4431">100*$AF189/BB189</f>
        <v>53.430327868852459</v>
      </c>
      <c r="DP189" s="2">
        <f t="shared" ref="DP189" si="4432">100*$AF189/BC189</f>
        <v>45.446721311475414</v>
      </c>
      <c r="DQ189" s="2">
        <f t="shared" ref="DQ189" si="4433">100*$AF189/BD189</f>
        <v>80.327868852459034</v>
      </c>
      <c r="DR189" s="2">
        <f t="shared" ref="DR189" si="4434">100*$AF189/BE189</f>
        <v>77.096311475409834</v>
      </c>
      <c r="DS189" s="2">
        <f t="shared" ref="DS189" si="4435">100*$AF189/BF189</f>
        <v>73.379098360655746</v>
      </c>
      <c r="DT189" s="2">
        <f t="shared" ref="DT189" si="4436">100*$AF189/BG189</f>
        <v>60.981557377049185</v>
      </c>
      <c r="DU189" s="2">
        <f t="shared" ref="DU189" si="4437">100*$AF189/BH189</f>
        <v>64.163934426229517</v>
      </c>
      <c r="DV189" s="2">
        <f t="shared" ref="DV189" si="4438">100*$AF189/BI189</f>
        <v>54.772540983606568</v>
      </c>
      <c r="DW189" s="2">
        <f t="shared" ref="DW189" si="4439">100*$AF189/BJ189</f>
        <v>52.682377049180324</v>
      </c>
      <c r="DX189" s="2">
        <f t="shared" ref="DX189" si="4440">100*$AF189/BK189</f>
        <v>46.05122950819672</v>
      </c>
      <c r="DY189" s="2">
        <f t="shared" ref="DY189" si="4441">100*$AF189/BL189</f>
        <v>73.770491803278702</v>
      </c>
      <c r="DZ189" s="2">
        <f t="shared" ref="DZ189" si="4442">100*$AF189/BM189</f>
        <v>71.245901639344268</v>
      </c>
      <c r="EA189" s="2">
        <f t="shared" ref="EA189" si="4443">100*$AF189/BN189</f>
        <v>68.327868852459019</v>
      </c>
      <c r="EB189" s="2">
        <f t="shared" ref="EB189" si="4444">100*$AF189/BO189</f>
        <v>57.508196721311485</v>
      </c>
      <c r="EC189" s="2">
        <f t="shared" ref="EC189" si="4445">100*$AF189/BP189</f>
        <v>61.049180327868861</v>
      </c>
      <c r="ED189" s="2">
        <f t="shared" ref="ED189" si="4446">100*$AF189/BQ189</f>
        <v>52.590163934426229</v>
      </c>
      <c r="EE189" s="2">
        <f t="shared" ref="EE189" si="4447">100*$AF189/BR189</f>
        <v>51.934426229508205</v>
      </c>
      <c r="EF189" s="2">
        <f t="shared" ref="EF189" si="4448">100*$AF189/BS189</f>
        <v>46.655737704918039</v>
      </c>
      <c r="EG189" s="2">
        <f t="shared" ref="EG189" si="4449">100*$AF189/BT189</f>
        <v>67.21311475409837</v>
      </c>
      <c r="EH189" s="2">
        <f t="shared" ref="EH189" si="4450">100*$AF189/BU189</f>
        <v>65.395491803278688</v>
      </c>
      <c r="EI189" s="2">
        <f t="shared" ref="EI189" si="4451">100*$AF189/BV189</f>
        <v>63.2766393442623</v>
      </c>
      <c r="EJ189" s="2">
        <f t="shared" ref="EJ189" si="4452">100*$AF189/BW189</f>
        <v>54.034836065573771</v>
      </c>
      <c r="EK189" s="2">
        <f t="shared" ref="EK189" si="4453">100*$AF189/BX189</f>
        <v>57.934426229508205</v>
      </c>
      <c r="EL189" s="2">
        <f t="shared" ref="EL189" si="4454">100*$AF189/BY189</f>
        <v>50.407786885245905</v>
      </c>
      <c r="EM189" s="2">
        <f t="shared" ref="EM189" si="4455">100*$AF189/BZ189</f>
        <v>51.186475409836063</v>
      </c>
      <c r="EN189" s="2">
        <f t="shared" ref="EN189" si="4456">100*$AF189/CA189</f>
        <v>47.260245901639344</v>
      </c>
      <c r="EO189" s="2">
        <f t="shared" ref="EO189" si="4457">100*$AF189/CB189</f>
        <v>60.655737704918046</v>
      </c>
      <c r="EP189" s="2">
        <f t="shared" ref="EP189" si="4458">100*$AF189/CC189</f>
        <v>59.545081967213122</v>
      </c>
      <c r="EQ189" s="2">
        <f t="shared" ref="EQ189" si="4459">100*$AF189/CD189</f>
        <v>58.225409836065573</v>
      </c>
      <c r="ER189" s="2">
        <f t="shared" ref="ER189" si="4460">100*$AF189/CE189</f>
        <v>50.561475409836071</v>
      </c>
      <c r="ES189" s="2">
        <f t="shared" ref="ES189" si="4461">100*$AF189/CF189</f>
        <v>54.819672131147534</v>
      </c>
      <c r="ET189" s="2">
        <f t="shared" ref="ET189" si="4462">100*$AF189/CG189</f>
        <v>48.22540983606558</v>
      </c>
      <c r="EU189" s="2">
        <f t="shared" ref="EU189" si="4463">100*$AF189/CH189</f>
        <v>50.438524590163937</v>
      </c>
      <c r="EV189" s="2">
        <f t="shared" ref="EV189" si="4464">100*$AF189/CI189</f>
        <v>47.864754098360656</v>
      </c>
      <c r="EW189" s="2">
        <f t="shared" ref="EW189" si="4465">100*$AF189/CJ189</f>
        <v>54.098360655737714</v>
      </c>
      <c r="EX189" s="2">
        <f t="shared" ref="EX189" si="4466">100*$AF189/CK189</f>
        <v>53.694672131147541</v>
      </c>
      <c r="EY189" s="2">
        <f t="shared" ref="EY189" si="4467">100*$AF189/CL189</f>
        <v>53.174180327868861</v>
      </c>
      <c r="EZ189" s="2">
        <f t="shared" ref="EZ189" si="4468">100*$AF189/CM189</f>
        <v>47.088114754098363</v>
      </c>
      <c r="FA189" s="2">
        <f t="shared" ref="FA189" si="4469">100*$AF189/CN189</f>
        <v>51.704918032786885</v>
      </c>
      <c r="FB189" s="2">
        <f t="shared" ref="FB189" si="4470">100*$AF189/CO189</f>
        <v>46.043032786885249</v>
      </c>
      <c r="FC189" s="2">
        <f t="shared" ref="FC189" si="4471">100*$AF189/CP189</f>
        <v>49.690573770491802</v>
      </c>
      <c r="FD189" s="2">
        <f t="shared" ref="FD189" si="4472">100*$AF189/CQ189</f>
        <v>48.469262295081968</v>
      </c>
    </row>
    <row r="190" spans="3:160" x14ac:dyDescent="0.4">
      <c r="C190" s="1" t="s">
        <v>41</v>
      </c>
      <c r="D190" s="1" t="s">
        <v>5</v>
      </c>
      <c r="E190" s="1">
        <v>0.247</v>
      </c>
      <c r="F190" s="1">
        <v>0.13900000000000001</v>
      </c>
      <c r="G190" s="1">
        <v>0.109</v>
      </c>
      <c r="H190" s="1">
        <v>6.0999999999999999E-2</v>
      </c>
      <c r="I190" s="1">
        <v>5491</v>
      </c>
      <c r="J190" s="1">
        <v>4493</v>
      </c>
      <c r="K190" s="1">
        <v>72</v>
      </c>
      <c r="L190" s="1">
        <v>6548</v>
      </c>
      <c r="M190" s="1">
        <v>6515</v>
      </c>
      <c r="N190" s="1">
        <v>75.5</v>
      </c>
      <c r="O190" s="1">
        <v>96.5</v>
      </c>
      <c r="P190" s="1">
        <v>90.5</v>
      </c>
      <c r="Q190" s="1">
        <v>97</v>
      </c>
      <c r="R190" s="1">
        <v>51</v>
      </c>
      <c r="S190" s="1">
        <v>96</v>
      </c>
      <c r="T190" s="4">
        <v>0</v>
      </c>
      <c r="U190" s="1">
        <v>1.4119999999999999</v>
      </c>
      <c r="V190" s="1">
        <v>7.8E-2</v>
      </c>
      <c r="W190" s="1">
        <v>4.0199999999999996</v>
      </c>
      <c r="X190" s="1">
        <f t="shared" ref="X190" si="4473">H191</f>
        <v>2.4E-2</v>
      </c>
      <c r="Y190" s="1">
        <f t="shared" ref="Y190" si="4474">H192</f>
        <v>5.5E-2</v>
      </c>
      <c r="Z190" s="1">
        <f t="shared" ref="Z190" si="4475">H193</f>
        <v>2.5000000000000001E-2</v>
      </c>
      <c r="AA190" s="1">
        <f t="shared" ref="AA190" si="4476">H194</f>
        <v>0.02</v>
      </c>
      <c r="AB190" s="1">
        <f t="shared" ref="AB190" si="4477">H195</f>
        <v>2.5000000000000001E-2</v>
      </c>
      <c r="AC190" s="1">
        <f t="shared" si="2917"/>
        <v>3857.2653716164173</v>
      </c>
      <c r="AE190" s="1" t="s">
        <v>96</v>
      </c>
      <c r="AF190" s="1">
        <v>1</v>
      </c>
      <c r="AG190" s="1">
        <v>0.81499999999999995</v>
      </c>
      <c r="AH190" s="1">
        <v>0.64500000000000002</v>
      </c>
      <c r="AI190" s="1">
        <v>0.39500000000000002</v>
      </c>
      <c r="AJ190" s="1">
        <v>0.36</v>
      </c>
      <c r="AK190" s="1">
        <v>0.245</v>
      </c>
      <c r="AL190" s="1">
        <v>0.14499999999999999</v>
      </c>
      <c r="AM190" s="20">
        <v>6.5000000000000002E-2</v>
      </c>
      <c r="AN190" s="1">
        <v>1</v>
      </c>
      <c r="AO190" s="1">
        <v>0.81499999999999995</v>
      </c>
      <c r="AP190" s="1">
        <v>0.64500000000000002</v>
      </c>
      <c r="AQ190" s="1">
        <v>0.39500000000000002</v>
      </c>
      <c r="AR190" s="1">
        <v>0.36</v>
      </c>
      <c r="AS190" s="1">
        <v>0.245</v>
      </c>
      <c r="AT190" s="1">
        <v>0.14499999999999999</v>
      </c>
      <c r="AU190" s="20">
        <v>6.5000000000000002E-2</v>
      </c>
      <c r="AV190" s="1">
        <v>1</v>
      </c>
      <c r="AW190" s="1">
        <v>0.81499999999999995</v>
      </c>
      <c r="AX190" s="1">
        <v>0.64500000000000002</v>
      </c>
      <c r="AY190" s="1">
        <v>0.39500000000000002</v>
      </c>
      <c r="AZ190" s="1">
        <v>0.36</v>
      </c>
      <c r="BA190" s="1">
        <v>0.245</v>
      </c>
      <c r="BB190" s="1">
        <v>0.14499999999999999</v>
      </c>
      <c r="BC190" s="20">
        <v>6.5000000000000002E-2</v>
      </c>
      <c r="BD190" s="1">
        <v>1</v>
      </c>
      <c r="BE190" s="1">
        <v>0.81499999999999995</v>
      </c>
      <c r="BF190" s="1">
        <v>0.64500000000000002</v>
      </c>
      <c r="BG190" s="1">
        <v>0.39500000000000002</v>
      </c>
      <c r="BH190" s="1">
        <v>0.36</v>
      </c>
      <c r="BI190" s="1">
        <v>0.245</v>
      </c>
      <c r="BJ190" s="1">
        <v>0.14499999999999999</v>
      </c>
      <c r="BK190" s="20">
        <v>6.5000000000000002E-2</v>
      </c>
      <c r="BL190" s="1">
        <v>1</v>
      </c>
      <c r="BM190" s="1">
        <v>0.81499999999999995</v>
      </c>
      <c r="BN190" s="1">
        <v>0.64500000000000002</v>
      </c>
      <c r="BO190" s="1">
        <v>0.39500000000000002</v>
      </c>
      <c r="BP190" s="1">
        <v>0.36</v>
      </c>
      <c r="BQ190" s="1">
        <v>0.245</v>
      </c>
      <c r="BR190" s="1">
        <v>0.14499999999999999</v>
      </c>
      <c r="BS190" s="20">
        <v>6.5000000000000002E-2</v>
      </c>
      <c r="BT190" s="1">
        <v>1</v>
      </c>
      <c r="BU190" s="1">
        <v>0.81499999999999995</v>
      </c>
      <c r="BV190" s="1">
        <v>0.64500000000000002</v>
      </c>
      <c r="BW190" s="1">
        <v>0.39500000000000002</v>
      </c>
      <c r="BX190" s="1">
        <v>0.36</v>
      </c>
      <c r="BY190" s="1">
        <v>0.245</v>
      </c>
      <c r="BZ190" s="1">
        <v>0.14499999999999999</v>
      </c>
      <c r="CA190" s="20">
        <v>6.5000000000000002E-2</v>
      </c>
      <c r="CB190" s="1">
        <v>1</v>
      </c>
      <c r="CC190" s="1">
        <v>0.81499999999999995</v>
      </c>
      <c r="CD190" s="1">
        <v>0.64500000000000002</v>
      </c>
      <c r="CE190" s="1">
        <v>0.39500000000000002</v>
      </c>
      <c r="CF190" s="1">
        <v>0.36</v>
      </c>
      <c r="CG190" s="1">
        <v>0.245</v>
      </c>
      <c r="CH190" s="1">
        <v>0.14499999999999999</v>
      </c>
      <c r="CI190" s="20">
        <v>6.5000000000000002E-2</v>
      </c>
      <c r="CJ190" s="1">
        <v>1</v>
      </c>
      <c r="CK190" s="1">
        <v>0.81499999999999995</v>
      </c>
      <c r="CL190" s="1">
        <v>0.64500000000000002</v>
      </c>
      <c r="CM190" s="1">
        <v>0.39500000000000002</v>
      </c>
      <c r="CN190" s="1">
        <v>0.36</v>
      </c>
      <c r="CO190" s="1">
        <v>0.245</v>
      </c>
      <c r="CP190" s="1">
        <v>0.14499999999999999</v>
      </c>
      <c r="CQ190" s="20">
        <v>6.5000000000000002E-2</v>
      </c>
    </row>
    <row r="191" spans="3:160" x14ac:dyDescent="0.4">
      <c r="C191" s="1" t="s">
        <v>41</v>
      </c>
      <c r="D191" s="1" t="s">
        <v>6</v>
      </c>
      <c r="E191" s="1">
        <v>0.20100000000000001</v>
      </c>
      <c r="F191" s="1">
        <v>9.4E-2</v>
      </c>
      <c r="G191" s="1">
        <v>0.108</v>
      </c>
      <c r="H191" s="1">
        <v>2.4E-2</v>
      </c>
      <c r="I191" s="1">
        <v>5491</v>
      </c>
      <c r="J191" s="1">
        <v>4493</v>
      </c>
      <c r="K191" s="1">
        <v>72</v>
      </c>
      <c r="L191" s="1">
        <v>6548</v>
      </c>
      <c r="M191" s="1">
        <v>6515</v>
      </c>
      <c r="N191" s="1">
        <v>75.5</v>
      </c>
      <c r="O191" s="1">
        <v>96.5</v>
      </c>
      <c r="P191" s="1">
        <v>90.5</v>
      </c>
      <c r="Q191" s="1">
        <v>97</v>
      </c>
      <c r="R191" s="1">
        <v>51</v>
      </c>
      <c r="S191" s="1">
        <v>96</v>
      </c>
      <c r="T191" s="4">
        <v>0</v>
      </c>
      <c r="U191" s="1">
        <v>1.4119999999999999</v>
      </c>
      <c r="V191" s="1">
        <v>7.8E-2</v>
      </c>
      <c r="W191" s="1">
        <v>4.0199999999999996</v>
      </c>
      <c r="X191" s="1">
        <f t="shared" ref="X191" si="4478">H191</f>
        <v>2.4E-2</v>
      </c>
      <c r="Y191" s="1">
        <f t="shared" ref="Y191" si="4479">H192</f>
        <v>5.5E-2</v>
      </c>
      <c r="Z191" s="1">
        <f t="shared" ref="Z191" si="4480">H193</f>
        <v>2.5000000000000001E-2</v>
      </c>
      <c r="AA191" s="1">
        <f t="shared" ref="AA191" si="4481">H194</f>
        <v>0.02</v>
      </c>
      <c r="AB191" s="1">
        <f t="shared" ref="AB191" si="4482">H195</f>
        <v>2.5000000000000001E-2</v>
      </c>
      <c r="AC191" s="1">
        <f t="shared" si="2917"/>
        <v>3857.2653716164173</v>
      </c>
      <c r="CQ191" s="20"/>
    </row>
    <row r="192" spans="3:160" x14ac:dyDescent="0.4">
      <c r="C192" s="1" t="s">
        <v>41</v>
      </c>
      <c r="D192" s="1" t="s">
        <v>7</v>
      </c>
      <c r="E192" s="1">
        <v>0.24199999999999999</v>
      </c>
      <c r="F192" s="1">
        <v>0.13300000000000001</v>
      </c>
      <c r="G192" s="1">
        <v>0.108</v>
      </c>
      <c r="H192" s="1">
        <v>5.5E-2</v>
      </c>
      <c r="I192" s="1">
        <v>5491</v>
      </c>
      <c r="J192" s="1">
        <v>4493</v>
      </c>
      <c r="K192" s="1">
        <v>72</v>
      </c>
      <c r="L192" s="1">
        <v>6548</v>
      </c>
      <c r="M192" s="1">
        <v>6515</v>
      </c>
      <c r="N192" s="1">
        <v>75.5</v>
      </c>
      <c r="O192" s="1">
        <v>96.5</v>
      </c>
      <c r="P192" s="1">
        <v>90.5</v>
      </c>
      <c r="Q192" s="1">
        <v>97</v>
      </c>
      <c r="R192" s="1">
        <v>51</v>
      </c>
      <c r="S192" s="1">
        <v>96</v>
      </c>
      <c r="T192" s="4">
        <v>0</v>
      </c>
      <c r="U192" s="1">
        <v>1.4119999999999999</v>
      </c>
      <c r="V192" s="1">
        <v>7.8E-2</v>
      </c>
      <c r="W192" s="1">
        <v>4.0199999999999996</v>
      </c>
      <c r="X192" s="1">
        <f t="shared" ref="X192" si="4483">H191</f>
        <v>2.4E-2</v>
      </c>
      <c r="Y192" s="1">
        <f t="shared" ref="Y192" si="4484">H192</f>
        <v>5.5E-2</v>
      </c>
      <c r="Z192" s="1">
        <f t="shared" ref="Z192" si="4485">H193</f>
        <v>2.5000000000000001E-2</v>
      </c>
      <c r="AA192" s="1">
        <f t="shared" ref="AA192" si="4486">H194</f>
        <v>0.02</v>
      </c>
      <c r="AB192" s="1">
        <f t="shared" ref="AB192" si="4487">H195</f>
        <v>2.5000000000000001E-2</v>
      </c>
      <c r="AC192" s="1">
        <f t="shared" si="2917"/>
        <v>3857.2653716164173</v>
      </c>
      <c r="AE192" s="1" t="s">
        <v>97</v>
      </c>
      <c r="AF192" s="1">
        <v>0</v>
      </c>
      <c r="AG192" s="1">
        <v>0.12</v>
      </c>
      <c r="AH192" s="1">
        <v>0.21</v>
      </c>
      <c r="AI192" s="1">
        <v>0.26</v>
      </c>
      <c r="AJ192" s="1">
        <v>0.28000000000000003</v>
      </c>
      <c r="AK192" s="1">
        <v>0.26</v>
      </c>
      <c r="AL192" s="1">
        <v>0.21</v>
      </c>
      <c r="AM192" s="20">
        <v>0.12</v>
      </c>
      <c r="AN192" s="1">
        <v>0</v>
      </c>
      <c r="AO192" s="1">
        <v>0.12</v>
      </c>
      <c r="AP192" s="1">
        <v>0.21</v>
      </c>
      <c r="AQ192" s="1">
        <v>0.26</v>
      </c>
      <c r="AR192" s="1">
        <v>0.28000000000000003</v>
      </c>
      <c r="AS192" s="1">
        <v>0.26</v>
      </c>
      <c r="AT192" s="1">
        <v>0.21</v>
      </c>
      <c r="AU192" s="20">
        <v>0.12</v>
      </c>
      <c r="AV192" s="1">
        <v>0</v>
      </c>
      <c r="AW192" s="1">
        <v>0.12</v>
      </c>
      <c r="AX192" s="1">
        <v>0.21</v>
      </c>
      <c r="AY192" s="1">
        <v>0.26</v>
      </c>
      <c r="AZ192" s="1">
        <v>0.28000000000000003</v>
      </c>
      <c r="BA192" s="1">
        <v>0.26</v>
      </c>
      <c r="BB192" s="1">
        <v>0.21</v>
      </c>
      <c r="BC192" s="20">
        <v>0.12</v>
      </c>
      <c r="BD192" s="1">
        <v>0</v>
      </c>
      <c r="BE192" s="1">
        <v>0.12</v>
      </c>
      <c r="BF192" s="1">
        <v>0.21</v>
      </c>
      <c r="BG192" s="1">
        <v>0.26</v>
      </c>
      <c r="BH192" s="1">
        <v>0.28000000000000003</v>
      </c>
      <c r="BI192" s="1">
        <v>0.26</v>
      </c>
      <c r="BJ192" s="1">
        <v>0.21</v>
      </c>
      <c r="BK192" s="20">
        <v>0.12</v>
      </c>
      <c r="BL192" s="1">
        <v>0</v>
      </c>
      <c r="BM192" s="1">
        <v>0.12</v>
      </c>
      <c r="BN192" s="1">
        <v>0.21</v>
      </c>
      <c r="BO192" s="1">
        <v>0.26</v>
      </c>
      <c r="BP192" s="1">
        <v>0.28000000000000003</v>
      </c>
      <c r="BQ192" s="1">
        <v>0.26</v>
      </c>
      <c r="BR192" s="1">
        <v>0.21</v>
      </c>
      <c r="BS192" s="20">
        <v>0.12</v>
      </c>
      <c r="BT192" s="1">
        <v>0</v>
      </c>
      <c r="BU192" s="1">
        <v>0.12</v>
      </c>
      <c r="BV192" s="1">
        <v>0.21</v>
      </c>
      <c r="BW192" s="1">
        <v>0.26</v>
      </c>
      <c r="BX192" s="1">
        <v>0.28000000000000003</v>
      </c>
      <c r="BY192" s="1">
        <v>0.26</v>
      </c>
      <c r="BZ192" s="1">
        <v>0.21</v>
      </c>
      <c r="CA192" s="20">
        <v>0.12</v>
      </c>
      <c r="CB192" s="1">
        <v>0</v>
      </c>
      <c r="CC192" s="1">
        <v>0.12</v>
      </c>
      <c r="CD192" s="1">
        <v>0.21</v>
      </c>
      <c r="CE192" s="1">
        <v>0.26</v>
      </c>
      <c r="CF192" s="1">
        <v>0.28000000000000003</v>
      </c>
      <c r="CG192" s="1">
        <v>0.26</v>
      </c>
      <c r="CH192" s="1">
        <v>0.21</v>
      </c>
      <c r="CI192" s="20">
        <v>0.12</v>
      </c>
      <c r="CJ192" s="1">
        <v>0</v>
      </c>
      <c r="CK192" s="1">
        <v>0.12</v>
      </c>
      <c r="CL192" s="1">
        <v>0.21</v>
      </c>
      <c r="CM192" s="1">
        <v>0.26</v>
      </c>
      <c r="CN192" s="1">
        <v>0.28000000000000003</v>
      </c>
      <c r="CO192" s="1">
        <v>0.26</v>
      </c>
      <c r="CP192" s="1">
        <v>0.21</v>
      </c>
      <c r="CQ192" s="20">
        <v>0.12</v>
      </c>
    </row>
    <row r="193" spans="3:160" x14ac:dyDescent="0.4">
      <c r="C193" s="1" t="s">
        <v>41</v>
      </c>
      <c r="D193" s="1" t="s">
        <v>8</v>
      </c>
      <c r="E193" s="1">
        <v>0.20300000000000001</v>
      </c>
      <c r="F193" s="1">
        <v>9.5000000000000001E-2</v>
      </c>
      <c r="G193" s="1">
        <v>0.108</v>
      </c>
      <c r="H193" s="1">
        <v>2.5000000000000001E-2</v>
      </c>
      <c r="I193" s="1">
        <v>5491</v>
      </c>
      <c r="J193" s="1">
        <v>4493</v>
      </c>
      <c r="K193" s="1">
        <v>72</v>
      </c>
      <c r="L193" s="1">
        <v>6548</v>
      </c>
      <c r="M193" s="1">
        <v>6515</v>
      </c>
      <c r="N193" s="1">
        <v>75.5</v>
      </c>
      <c r="O193" s="1">
        <v>96.5</v>
      </c>
      <c r="P193" s="1">
        <v>90.5</v>
      </c>
      <c r="Q193" s="1">
        <v>97</v>
      </c>
      <c r="R193" s="1">
        <v>51</v>
      </c>
      <c r="S193" s="1">
        <v>96</v>
      </c>
      <c r="T193" s="4">
        <v>0</v>
      </c>
      <c r="U193" s="1">
        <v>1.4119999999999999</v>
      </c>
      <c r="V193" s="1">
        <v>7.8E-2</v>
      </c>
      <c r="W193" s="1">
        <v>4.0199999999999996</v>
      </c>
      <c r="X193" s="1">
        <f t="shared" ref="X193" si="4488">H191</f>
        <v>2.4E-2</v>
      </c>
      <c r="Y193" s="1">
        <f t="shared" ref="Y193" si="4489">H192</f>
        <v>5.5E-2</v>
      </c>
      <c r="Z193" s="1">
        <f t="shared" ref="Z193" si="4490">H193</f>
        <v>2.5000000000000001E-2</v>
      </c>
      <c r="AA193" s="1">
        <f t="shared" ref="AA193" si="4491">H194</f>
        <v>0.02</v>
      </c>
      <c r="AB193" s="1">
        <f t="shared" ref="AB193" si="4492">H195</f>
        <v>2.5000000000000001E-2</v>
      </c>
      <c r="AC193" s="1">
        <f t="shared" si="2917"/>
        <v>3857.2653716164173</v>
      </c>
      <c r="CQ193" s="20"/>
    </row>
    <row r="194" spans="3:160" x14ac:dyDescent="0.4">
      <c r="C194" s="1" t="s">
        <v>41</v>
      </c>
      <c r="D194" s="1" t="s">
        <v>9</v>
      </c>
      <c r="E194" s="1">
        <v>0.19700000000000001</v>
      </c>
      <c r="F194" s="1">
        <v>8.8999999999999996E-2</v>
      </c>
      <c r="G194" s="1">
        <v>0.108</v>
      </c>
      <c r="H194" s="1">
        <v>0.02</v>
      </c>
      <c r="I194" s="1">
        <v>5491</v>
      </c>
      <c r="J194" s="1">
        <v>4493</v>
      </c>
      <c r="K194" s="1">
        <v>72</v>
      </c>
      <c r="L194" s="1">
        <v>6548</v>
      </c>
      <c r="M194" s="1">
        <v>6515</v>
      </c>
      <c r="N194" s="1">
        <v>75.5</v>
      </c>
      <c r="O194" s="1">
        <v>96.5</v>
      </c>
      <c r="P194" s="1">
        <v>90.5</v>
      </c>
      <c r="Q194" s="1">
        <v>97</v>
      </c>
      <c r="R194" s="1">
        <v>51</v>
      </c>
      <c r="S194" s="1">
        <v>96</v>
      </c>
      <c r="T194" s="4">
        <v>0</v>
      </c>
      <c r="U194" s="1">
        <v>1.4119999999999999</v>
      </c>
      <c r="V194" s="1">
        <v>7.8E-2</v>
      </c>
      <c r="W194" s="1">
        <v>4.0199999999999996</v>
      </c>
      <c r="X194" s="1">
        <f t="shared" ref="X194" si="4493">H191</f>
        <v>2.4E-2</v>
      </c>
      <c r="Y194" s="1">
        <f t="shared" ref="Y194" si="4494">H192</f>
        <v>5.5E-2</v>
      </c>
      <c r="Z194" s="1">
        <f t="shared" ref="Z194" si="4495">H193</f>
        <v>2.5000000000000001E-2</v>
      </c>
      <c r="AA194" s="1">
        <f t="shared" ref="AA194" si="4496">H194</f>
        <v>0.02</v>
      </c>
      <c r="AB194" s="1">
        <f t="shared" ref="AB194" si="4497">H195</f>
        <v>2.5000000000000001E-2</v>
      </c>
      <c r="AC194" s="1">
        <f t="shared" si="2917"/>
        <v>3857.2653716164173</v>
      </c>
      <c r="AE194" s="1" t="s">
        <v>98</v>
      </c>
      <c r="AF194" s="1">
        <v>0</v>
      </c>
      <c r="AG194" s="1">
        <v>6.5000000000000002E-2</v>
      </c>
      <c r="AH194" s="1">
        <v>0.14499999999999999</v>
      </c>
      <c r="AI194" s="1">
        <v>0.245</v>
      </c>
      <c r="AJ194" s="1">
        <v>0.36</v>
      </c>
      <c r="AK194" s="1">
        <v>0.39500000000000002</v>
      </c>
      <c r="AL194" s="1">
        <v>0.64500000000000002</v>
      </c>
      <c r="AM194" s="20">
        <v>0.81499999999999995</v>
      </c>
      <c r="AN194" s="1">
        <v>0</v>
      </c>
      <c r="AO194" s="1">
        <v>6.5000000000000002E-2</v>
      </c>
      <c r="AP194" s="1">
        <v>0.14499999999999999</v>
      </c>
      <c r="AQ194" s="1">
        <v>0.245</v>
      </c>
      <c r="AR194" s="1">
        <v>0.36</v>
      </c>
      <c r="AS194" s="1">
        <v>0.39500000000000002</v>
      </c>
      <c r="AT194" s="1">
        <v>0.64500000000000002</v>
      </c>
      <c r="AU194" s="20">
        <v>0.81499999999999995</v>
      </c>
      <c r="AV194" s="1">
        <v>0</v>
      </c>
      <c r="AW194" s="1">
        <v>6.5000000000000002E-2</v>
      </c>
      <c r="AX194" s="1">
        <v>0.14499999999999999</v>
      </c>
      <c r="AY194" s="1">
        <v>0.245</v>
      </c>
      <c r="AZ194" s="1">
        <v>0.36</v>
      </c>
      <c r="BA194" s="1">
        <v>0.39500000000000002</v>
      </c>
      <c r="BB194" s="1">
        <v>0.64500000000000002</v>
      </c>
      <c r="BC194" s="20">
        <v>0.81499999999999995</v>
      </c>
      <c r="BD194" s="1">
        <v>0</v>
      </c>
      <c r="BE194" s="1">
        <v>6.5000000000000002E-2</v>
      </c>
      <c r="BF194" s="1">
        <v>0.14499999999999999</v>
      </c>
      <c r="BG194" s="1">
        <v>0.245</v>
      </c>
      <c r="BH194" s="1">
        <v>0.36</v>
      </c>
      <c r="BI194" s="1">
        <v>0.39500000000000002</v>
      </c>
      <c r="BJ194" s="1">
        <v>0.64500000000000002</v>
      </c>
      <c r="BK194" s="20">
        <v>0.81499999999999995</v>
      </c>
      <c r="BL194" s="1">
        <v>0</v>
      </c>
      <c r="BM194" s="1">
        <v>6.5000000000000002E-2</v>
      </c>
      <c r="BN194" s="1">
        <v>0.14499999999999999</v>
      </c>
      <c r="BO194" s="1">
        <v>0.245</v>
      </c>
      <c r="BP194" s="1">
        <v>0.36</v>
      </c>
      <c r="BQ194" s="1">
        <v>0.39500000000000002</v>
      </c>
      <c r="BR194" s="1">
        <v>0.64500000000000002</v>
      </c>
      <c r="BS194" s="20">
        <v>0.81499999999999995</v>
      </c>
      <c r="BT194" s="1">
        <v>0</v>
      </c>
      <c r="BU194" s="1">
        <v>6.5000000000000002E-2</v>
      </c>
      <c r="BV194" s="1">
        <v>0.14499999999999999</v>
      </c>
      <c r="BW194" s="1">
        <v>0.245</v>
      </c>
      <c r="BX194" s="1">
        <v>0.36</v>
      </c>
      <c r="BY194" s="1">
        <v>0.39500000000000002</v>
      </c>
      <c r="BZ194" s="1">
        <v>0.64500000000000002</v>
      </c>
      <c r="CA194" s="20">
        <v>0.81499999999999995</v>
      </c>
      <c r="CB194" s="1">
        <v>0</v>
      </c>
      <c r="CC194" s="1">
        <v>6.5000000000000002E-2</v>
      </c>
      <c r="CD194" s="1">
        <v>0.14499999999999999</v>
      </c>
      <c r="CE194" s="1">
        <v>0.245</v>
      </c>
      <c r="CF194" s="1">
        <v>0.36</v>
      </c>
      <c r="CG194" s="1">
        <v>0.39500000000000002</v>
      </c>
      <c r="CH194" s="1">
        <v>0.64500000000000002</v>
      </c>
      <c r="CI194" s="20">
        <v>0.81499999999999995</v>
      </c>
      <c r="CJ194" s="1">
        <v>0</v>
      </c>
      <c r="CK194" s="1">
        <v>6.5000000000000002E-2</v>
      </c>
      <c r="CL194" s="1">
        <v>0.14499999999999999</v>
      </c>
      <c r="CM194" s="1">
        <v>0.245</v>
      </c>
      <c r="CN194" s="1">
        <v>0.36</v>
      </c>
      <c r="CO194" s="1">
        <v>0.39500000000000002</v>
      </c>
      <c r="CP194" s="1">
        <v>0.64500000000000002</v>
      </c>
      <c r="CQ194" s="20">
        <v>0.81499999999999995</v>
      </c>
    </row>
    <row r="195" spans="3:160" s="2" customFormat="1" x14ac:dyDescent="0.4">
      <c r="C195" s="2" t="s">
        <v>41</v>
      </c>
      <c r="D195" s="2" t="s">
        <v>10</v>
      </c>
      <c r="E195" s="2">
        <v>0.20300000000000001</v>
      </c>
      <c r="F195" s="2">
        <v>9.5000000000000001E-2</v>
      </c>
      <c r="G195" s="2">
        <v>0.108</v>
      </c>
      <c r="H195" s="2">
        <v>2.5000000000000001E-2</v>
      </c>
      <c r="I195" s="2">
        <v>5491</v>
      </c>
      <c r="J195" s="2">
        <v>4493</v>
      </c>
      <c r="K195" s="2">
        <v>72</v>
      </c>
      <c r="L195" s="2">
        <v>6548</v>
      </c>
      <c r="M195" s="2">
        <v>6515</v>
      </c>
      <c r="N195" s="2">
        <v>75.5</v>
      </c>
      <c r="O195" s="2">
        <v>96.5</v>
      </c>
      <c r="P195" s="2">
        <v>90.5</v>
      </c>
      <c r="Q195" s="2">
        <v>97</v>
      </c>
      <c r="R195" s="2">
        <v>51</v>
      </c>
      <c r="S195" s="2">
        <v>96</v>
      </c>
      <c r="T195" s="6">
        <f t="shared" ref="T195:T243" si="4498">(N190*O190*P190*Q190*R190*S190)/(I190*J190*K190*(F190*H190 + F191*H191 + F192*H192 + F193*H193 + F194*H194 + F195*H195))</f>
        <v>7171.8921536931693</v>
      </c>
      <c r="U195" s="2">
        <v>1.4119999999999999</v>
      </c>
      <c r="V195" s="2">
        <v>7.8E-2</v>
      </c>
      <c r="W195" s="2">
        <v>4.0199999999999996</v>
      </c>
      <c r="X195" s="2">
        <f t="shared" ref="X195" si="4499">H191</f>
        <v>2.4E-2</v>
      </c>
      <c r="Y195" s="2">
        <f t="shared" ref="Y195" si="4500">H192</f>
        <v>5.5E-2</v>
      </c>
      <c r="Z195" s="2">
        <f t="shared" ref="Z195" si="4501">H193</f>
        <v>2.5000000000000001E-2</v>
      </c>
      <c r="AA195" s="2">
        <f t="shared" ref="AA195" si="4502">H194</f>
        <v>0.02</v>
      </c>
      <c r="AB195" s="2">
        <f t="shared" ref="AB195" si="4503">H195</f>
        <v>2.5000000000000001E-2</v>
      </c>
      <c r="AC195" s="1">
        <f t="shared" si="2917"/>
        <v>3857.2653716164173</v>
      </c>
      <c r="AE195" s="2" t="s">
        <v>99</v>
      </c>
      <c r="AF195" s="23">
        <f>($O195*$Q195*$S195)^(1/3)/(AF190*((1-AF$2)*$H190+AF$2*$H191) + AF192*((1-AF$2)*$H192+AF$2*$H193) + AF194*((1-AF$2)*$H194+AF$2*$H195))</f>
        <v>1581.9530563018643</v>
      </c>
      <c r="AG195" s="23">
        <f t="shared" ref="AG195" si="4504">($O195*$Q195*$S195)^(1/3)/(AG190*((1-AG$2)*$H190+AG$2*$H191) + AG192*((1-AG$2)*$H192+AG$2*$H193) + AG194*((1-AG$2)*$H194+AG$2*$H195))</f>
        <v>1674.896058915451</v>
      </c>
      <c r="AH195" s="23">
        <f t="shared" ref="AH195" si="4505">($O195*$Q195*$S195)^(1/3)/(AH190*((1-AH$2)*$H190+AH$2*$H191) + AH192*((1-AH$2)*$H192+AH$2*$H193) + AH194*((1-AH$2)*$H194+AH$2*$H195))</f>
        <v>1793.8309589072167</v>
      </c>
      <c r="AI195" s="23">
        <f t="shared" ref="AI195" si="4506">($O195*$Q195*$S195)^(1/3)/(AI190*((1-AI$2)*$H190+AI$2*$H191) + AI192*((1-AI$2)*$H192+AI$2*$H193) + AI194*((1-AI$2)*$H194+AI$2*$H195))</f>
        <v>2228.8748454651509</v>
      </c>
      <c r="AJ195" s="23">
        <f t="shared" ref="AJ195" si="4507">($O195*$Q195*$S195)^(1/3)/(AJ190*((1-AJ$2)*$H190+AJ$2*$H191) + AJ192*((1-AJ$2)*$H192+AJ$2*$H193) + AJ194*((1-AJ$2)*$H194+AJ$2*$H195))</f>
        <v>2165.6000097489609</v>
      </c>
      <c r="AK195" s="23">
        <f t="shared" ref="AK195" si="4508">($O195*$Q195*$S195)^(1/3)/(AK190*((1-AK$2)*$H190+AK$2*$H191) + AK192*((1-AK$2)*$H192+AK$2*$H193) + AK194*((1-AK$2)*$H194+AK$2*$H195))</f>
        <v>2597.9037941691672</v>
      </c>
      <c r="AL195" s="23">
        <f t="shared" ref="AL195" si="4509">($O195*$Q195*$S195)^(1/3)/(AL190*((1-AL$2)*$H190+AL$2*$H191) + AL192*((1-AL$2)*$H192+AL$2*$H193) + AL194*((1-AL$2)*$H194+AL$2*$H195))</f>
        <v>2898.3071462505995</v>
      </c>
      <c r="AM195" s="23">
        <f t="shared" ref="AM195" si="4510">($O195*$Q195*$S195)^(1/3)/(AM190*((1-AM$2)*$H190+AM$2*$H191) + AM192*((1-AM$2)*$H192+AM$2*$H193) + AM194*((1-AM$2)*$H194+AM$2*$H195))</f>
        <v>3592.0021006668048</v>
      </c>
      <c r="AN195" s="23">
        <f t="shared" ref="AN195" si="4511">($O195*$Q195*$S195)^(1/3)/(AN190*((1-AN$2)*$H190+AN$2*$H191) + AN192*((1-AN$2)*$H192+AN$2*$H193) + AN194*((1-AN$2)*$H194+AN$2*$H195))</f>
        <v>1711.7363447346113</v>
      </c>
      <c r="AO195" s="23">
        <f t="shared" ref="AO195" si="4512">($O195*$Q195*$S195)^(1/3)/(AO190*((1-AO$2)*$H190+AO$2*$H191) + AO192*((1-AO$2)*$H192+AO$2*$H193) + AO194*((1-AO$2)*$H194+AO$2*$H195))</f>
        <v>1805.8740355922005</v>
      </c>
      <c r="AP195" s="23">
        <f t="shared" ref="AP195" si="4513">($O195*$Q195*$S195)^(1/3)/(AP190*((1-AP$2)*$H190+AP$2*$H191) + AP192*((1-AP$2)*$H192+AP$2*$H193) + AP194*((1-AP$2)*$H194+AP$2*$H195))</f>
        <v>1925.5539545927111</v>
      </c>
      <c r="AQ195" s="23">
        <f t="shared" ref="AQ195" si="4514">($O195*$Q195*$S195)^(1/3)/(AQ190*((1-AQ$2)*$H190+AQ$2*$H191) + AQ192*((1-AQ$2)*$H192+AQ$2*$H193) + AQ194*((1-AQ$2)*$H194+AQ$2*$H195))</f>
        <v>2374.1215102109963</v>
      </c>
      <c r="AR195" s="23">
        <f t="shared" ref="AR195" si="4515">($O195*$Q195*$S195)^(1/3)/(AR190*((1-AR$2)*$H190+AR$2*$H191) + AR192*((1-AR$2)*$H192+AR$2*$H193) + AR194*((1-AR$2)*$H194+AR$2*$H195))</f>
        <v>2293.775527321457</v>
      </c>
      <c r="AS195" s="23">
        <f t="shared" ref="AS195" si="4516">($O195*$Q195*$S195)^(1/3)/(AS190*((1-AS$2)*$H190+AS$2*$H191) + AS192*((1-AS$2)*$H192+AS$2*$H193) + AS194*((1-AS$2)*$H194+AS$2*$H195))</f>
        <v>2734.945589241895</v>
      </c>
      <c r="AT195" s="23">
        <f t="shared" ref="AT195" si="4517">($O195*$Q195*$S195)^(1/3)/(AT190*((1-AT$2)*$H190+AT$2*$H191) + AT192*((1-AT$2)*$H192+AT$2*$H193) + AT194*((1-AT$2)*$H194+AT$2*$H195))</f>
        <v>2993.1493931269765</v>
      </c>
      <c r="AU195" s="23">
        <f t="shared" ref="AU195" si="4518">($O195*$Q195*$S195)^(1/3)/(AU190*((1-AU$2)*$H190+AU$2*$H191) + AU192*((1-AU$2)*$H192+AU$2*$H193) + AU194*((1-AU$2)*$H194+AU$2*$H195))</f>
        <v>3624.5508778595695</v>
      </c>
      <c r="AV195" s="23">
        <f t="shared" ref="AV195" si="4519">($O195*$Q195*$S195)^(1/3)/(AV190*((1-AV$2)*$H190+AV$2*$H191) + AV192*((1-AV$2)*$H192+AV$2*$H193) + AV194*((1-AV$2)*$H194+AV$2*$H195))</f>
        <v>1864.7176122592023</v>
      </c>
      <c r="AW195" s="23">
        <f t="shared" ref="AW195" si="4520">($O195*$Q195*$S195)^(1/3)/(AW190*((1-AW$2)*$H190+AW$2*$H191) + AW192*((1-AW$2)*$H192+AW$2*$H193) + AW194*((1-AW$2)*$H194+AW$2*$H195))</f>
        <v>1959.0749923242902</v>
      </c>
      <c r="AX195" s="23">
        <f t="shared" ref="AX195" si="4521">($O195*$Q195*$S195)^(1/3)/(AX190*((1-AX$2)*$H190+AX$2*$H191) + AX192*((1-AX$2)*$H192+AX$2*$H193) + AX194*((1-AX$2)*$H194+AX$2*$H195))</f>
        <v>2078.1551940220461</v>
      </c>
      <c r="AY195" s="23">
        <f t="shared" ref="AY195" si="4522">($O195*$Q195*$S195)^(1/3)/(AY190*((1-AY$2)*$H190+AY$2*$H191) + AY192*((1-AY$2)*$H192+AY$2*$H193) + AY194*((1-AY$2)*$H194+AY$2*$H195))</f>
        <v>2539.6180389345009</v>
      </c>
      <c r="AZ195" s="23">
        <f t="shared" ref="AZ195" si="4523">($O195*$Q195*$S195)^(1/3)/(AZ190*((1-AZ$2)*$H190+AZ$2*$H191) + AZ192*((1-AZ$2)*$H192+AZ$2*$H193) + AZ194*((1-AZ$2)*$H194+AZ$2*$H195))</f>
        <v>2438.0782322994878</v>
      </c>
      <c r="BA195" s="23">
        <f t="shared" ref="BA195" si="4524">($O195*$Q195*$S195)^(1/3)/(BA190*((1-BA$2)*$H190+BA$2*$H191) + BA192*((1-BA$2)*$H192+BA$2*$H193) + BA194*((1-BA$2)*$H194+BA$2*$H195))</f>
        <v>2887.2506974168214</v>
      </c>
      <c r="BB195" s="23">
        <f t="shared" ref="BB195" si="4525">($O195*$Q195*$S195)^(1/3)/(BB190*((1-BB$2)*$H190+BB$2*$H191) + BB192*((1-BB$2)*$H192+BB$2*$H193) + BB194*((1-BB$2)*$H194+BB$2*$H195))</f>
        <v>3094.4087360722692</v>
      </c>
      <c r="BC195" s="23">
        <f t="shared" ref="BC195" si="4526">($O195*$Q195*$S195)^(1/3)/(BC190*((1-BC$2)*$H190+BC$2*$H191) + BC192*((1-BC$2)*$H192+BC$2*$H193) + BC194*((1-BC$2)*$H194+BC$2*$H195))</f>
        <v>3657.6949278655825</v>
      </c>
      <c r="BD195" s="23">
        <f t="shared" ref="BD195" si="4527">($O195*$Q195*$S195)^(1/3)/(BD190*((1-BD$2)*$H190+BD$2*$H191) + BD192*((1-BD$2)*$H192+BD$2*$H193) + BD194*((1-BD$2)*$H194+BD$2*$H195))</f>
        <v>2047.7270330910071</v>
      </c>
      <c r="BE195" s="23">
        <f t="shared" ref="BE195" si="4528">($O195*$Q195*$S195)^(1/3)/(BE190*((1-BE$2)*$H190+BE$2*$H191) + BE192*((1-BE$2)*$H192+BE$2*$H193) + BE194*((1-BE$2)*$H194+BE$2*$H195))</f>
        <v>2140.6790657330498</v>
      </c>
      <c r="BF195" s="23">
        <f t="shared" ref="BF195" si="4529">($O195*$Q195*$S195)^(1/3)/(BF190*((1-BF$2)*$H190+BF$2*$H191) + BF192*((1-BF$2)*$H192+BF$2*$H193) + BF194*((1-BF$2)*$H194+BF$2*$H195))</f>
        <v>2257.0257615346441</v>
      </c>
      <c r="BG195" s="23">
        <f t="shared" ref="BG195" si="4530">($O195*$Q195*$S195)^(1/3)/(BG190*((1-BG$2)*$H190+BG$2*$H191) + BG192*((1-BG$2)*$H192+BG$2*$H193) + BG194*((1-BG$2)*$H194+BG$2*$H195))</f>
        <v>2729.9165157017915</v>
      </c>
      <c r="BH195" s="23">
        <f t="shared" ref="BH195" si="4531">($O195*$Q195*$S195)^(1/3)/(BH190*((1-BH$2)*$H190+BH$2*$H191) + BH192*((1-BH$2)*$H192+BH$2*$H193) + BH194*((1-BH$2)*$H194+BH$2*$H195))</f>
        <v>2601.7561724026341</v>
      </c>
      <c r="BI195" s="23">
        <f t="shared" ref="BI195" si="4532">($O195*$Q195*$S195)^(1/3)/(BI190*((1-BI$2)*$H190+BI$2*$H191) + BI192*((1-BI$2)*$H192+BI$2*$H193) + BI194*((1-BI$2)*$H194+BI$2*$H195))</f>
        <v>3057.5194719605124</v>
      </c>
      <c r="BJ195" s="23">
        <f t="shared" ref="BJ195" si="4533">($O195*$Q195*$S195)^(1/3)/(BJ190*((1-BJ$2)*$H190+BJ$2*$H191) + BJ192*((1-BJ$2)*$H192+BJ$2*$H193) + BJ194*((1-BJ$2)*$H194+BJ$2*$H195))</f>
        <v>3202.7592576971024</v>
      </c>
      <c r="BK195" s="23">
        <f t="shared" ref="BK195" si="4534">($O195*$Q195*$S195)^(1/3)/(BK190*((1-BK$2)*$H190+BK$2*$H191) + BK192*((1-BK$2)*$H192+BK$2*$H193) + BK194*((1-BK$2)*$H194+BK$2*$H195))</f>
        <v>3691.4507314842904</v>
      </c>
      <c r="BL195" s="23">
        <f t="shared" ref="BL195" si="4535">($O195*$Q195*$S195)^(1/3)/(BL190*((1-BL$2)*$H190+BL$2*$H191) + BL192*((1-BL$2)*$H192+BL$2*$H193) + BL194*((1-BL$2)*$H194+BL$2*$H195))</f>
        <v>2270.5679161038524</v>
      </c>
      <c r="BM195" s="23">
        <f t="shared" ref="BM195" si="4536">($O195*$Q195*$S195)^(1/3)/(BM190*((1-BM$2)*$H190+BM$2*$H191) + BM192*((1-BM$2)*$H192+BM$2*$H193) + BM194*((1-BM$2)*$H194+BM$2*$H195))</f>
        <v>2359.3920888609714</v>
      </c>
      <c r="BN195" s="23">
        <f t="shared" ref="BN195" si="4537">($O195*$Q195*$S195)^(1/3)/(BN190*((1-BN$2)*$H190+BN$2*$H191) + BN192*((1-BN$2)*$H192+BN$2*$H193) + BN194*((1-BN$2)*$H194+BN$2*$H195))</f>
        <v>2469.5876246810931</v>
      </c>
      <c r="BO195" s="23">
        <f t="shared" ref="BO195" si="4538">($O195*$Q195*$S195)^(1/3)/(BO190*((1-BO$2)*$H190+BO$2*$H191) + BO192*((1-BO$2)*$H192+BO$2*$H193) + BO194*((1-BO$2)*$H194+BO$2*$H195))</f>
        <v>2951.0439276579109</v>
      </c>
      <c r="BP195" s="23">
        <f t="shared" ref="BP195" si="4539">($O195*$Q195*$S195)^(1/3)/(BP190*((1-BP$2)*$H190+BP$2*$H191) + BP192*((1-BP$2)*$H192+BP$2*$H193) + BP194*((1-BP$2)*$H194+BP$2*$H195))</f>
        <v>2788.9923824975062</v>
      </c>
      <c r="BQ195" s="23">
        <f t="shared" ref="BQ195" si="4540">($O195*$Q195*$S195)^(1/3)/(BQ190*((1-BQ$2)*$H190+BQ$2*$H191) + BQ192*((1-BQ$2)*$H192+BQ$2*$H193) + BQ194*((1-BQ$2)*$H194+BQ$2*$H195))</f>
        <v>3249.1291728758829</v>
      </c>
      <c r="BR195" s="23">
        <f t="shared" ref="BR195" si="4541">($O195*$Q195*$S195)^(1/3)/(BR190*((1-BR$2)*$H190+BR$2*$H191) + BR192*((1-BR$2)*$H192+BR$2*$H193) + BR194*((1-BR$2)*$H194+BR$2*$H195))</f>
        <v>3318.9728782257516</v>
      </c>
      <c r="BS195" s="23">
        <f t="shared" ref="BS195" si="4542">($O195*$Q195*$S195)^(1/3)/(BS190*((1-BS$2)*$H190+BS$2*$H191) + BS192*((1-BS$2)*$H192+BS$2*$H193) + BS194*((1-BS$2)*$H194+BS$2*$H195))</f>
        <v>3725.8353835680973</v>
      </c>
      <c r="BT195" s="23">
        <f t="shared" ref="BT195" si="4543">($O195*$Q195*$S195)^(1/3)/(BT190*((1-BT$2)*$H190+BT$2*$H191) + BT192*((1-BT$2)*$H192+BT$2*$H193) + BT194*((1-BT$2)*$H194+BT$2*$H195))</f>
        <v>2547.8319850670287</v>
      </c>
      <c r="BU195" s="23">
        <f t="shared" ref="BU195" si="4544">($O195*$Q195*$S195)^(1/3)/(BU190*((1-BU$2)*$H190+BU$2*$H191) + BU192*((1-BU$2)*$H192+BU$2*$H193) + BU194*((1-BU$2)*$H194+BU$2*$H195))</f>
        <v>2627.8826683300194</v>
      </c>
      <c r="BV195" s="23">
        <f t="shared" ref="BV195" si="4545">($O195*$Q195*$S195)^(1/3)/(BV190*((1-BV$2)*$H190+BV$2*$H191) + BV192*((1-BV$2)*$H192+BV$2*$H193) + BV194*((1-BV$2)*$H194+BV$2*$H195))</f>
        <v>2726.3493836534462</v>
      </c>
      <c r="BW195" s="23">
        <f t="shared" ref="BW195" si="4546">($O195*$Q195*$S195)^(1/3)/(BW190*((1-BW$2)*$H190+BW$2*$H191) + BW192*((1-BW$2)*$H192+BW$2*$H193) + BW194*((1-BW$2)*$H194+BW$2*$H195))</f>
        <v>3211.1521628688893</v>
      </c>
      <c r="BX195" s="23">
        <f t="shared" ref="BX195" si="4547">($O195*$Q195*$S195)^(1/3)/(BX190*((1-BX$2)*$H190+BX$2*$H191) + BX192*((1-BX$2)*$H192+BX$2*$H193) + BX194*((1-BX$2)*$H194+BX$2*$H195))</f>
        <v>3005.2674068643323</v>
      </c>
      <c r="BY195" s="23">
        <f t="shared" ref="BY195" si="4548">($O195*$Q195*$S195)^(1/3)/(BY190*((1-BY$2)*$H190+BY$2*$H191) + BY192*((1-BY$2)*$H192+BY$2*$H193) + BY194*((1-BY$2)*$H194+BY$2*$H195))</f>
        <v>3466.3602508881936</v>
      </c>
      <c r="BZ195" s="23">
        <f t="shared" ref="BZ195" si="4549">($O195*$Q195*$S195)^(1/3)/(BZ190*((1-BZ$2)*$H190+BZ$2*$H191) + BZ192*((1-BZ$2)*$H192+BZ$2*$H193) + BZ194*((1-BZ$2)*$H194+BZ$2*$H195))</f>
        <v>3443.9377742474558</v>
      </c>
      <c r="CA195" s="23">
        <f t="shared" ref="CA195" si="4550">($O195*$Q195*$S195)^(1/3)/(CA190*((1-CA$2)*$H190+CA$2*$H191) + CA192*((1-CA$2)*$H192+CA$2*$H193) + CA194*((1-CA$2)*$H194+CA$2*$H195))</f>
        <v>3760.8666218897533</v>
      </c>
      <c r="CB195" s="23">
        <f t="shared" ref="CB195" si="4551">($O195*$Q195*$S195)^(1/3)/(CB190*((1-CB$2)*$H190+CB$2*$H191) + CB192*((1-CB$2)*$H192+CB$2*$H193) + CB194*((1-CB$2)*$H194+CB$2*$H195))</f>
        <v>2902.2296672004122</v>
      </c>
      <c r="CC195" s="23">
        <f t="shared" ref="CC195" si="4552">($O195*$Q195*$S195)^(1/3)/(CC190*((1-CC$2)*$H190+CC$2*$H191) + CC192*((1-CC$2)*$H192+CC$2*$H193) + CC194*((1-CC$2)*$H194+CC$2*$H195))</f>
        <v>2965.3264633760068</v>
      </c>
      <c r="CD195" s="23">
        <f t="shared" ref="CD195" si="4553">($O195*$Q195*$S195)^(1/3)/(CD190*((1-CD$2)*$H190+CD$2*$H191) + CD192*((1-CD$2)*$H192+CD$2*$H193) + CD194*((1-CD$2)*$H194+CD$2*$H195))</f>
        <v>3042.6970340348012</v>
      </c>
      <c r="CE195" s="23">
        <f t="shared" ref="CE195" si="4554">($O195*$Q195*$S195)^(1/3)/(CE190*((1-CE$2)*$H190+CE$2*$H191) + CE192*((1-CE$2)*$H192+CE$2*$H193) + CE194*((1-CE$2)*$H194+CE$2*$H195))</f>
        <v>3521.5449843778379</v>
      </c>
      <c r="CF195" s="23">
        <f t="shared" ref="CF195" si="4555">($O195*$Q195*$S195)^(1/3)/(CF190*((1-CF$2)*$H190+CF$2*$H191) + CF192*((1-CF$2)*$H192+CF$2*$H193) + CF194*((1-CF$2)*$H194+CF$2*$H195))</f>
        <v>3257.9046736804089</v>
      </c>
      <c r="CG195" s="23">
        <f t="shared" ref="CG195" si="4556">($O195*$Q195*$S195)^(1/3)/(CG190*((1-CG$2)*$H190+CG$2*$H191) + CG192*((1-CG$2)*$H192+CG$2*$H193) + CG194*((1-CG$2)*$H194+CG$2*$H195))</f>
        <v>3714.7199089371074</v>
      </c>
      <c r="CH195" s="23">
        <f t="shared" ref="CH195" si="4557">($O195*$Q195*$S195)^(1/3)/(CH190*((1-CH$2)*$H190+CH$2*$H191) + CH192*((1-CH$2)*$H192+CH$2*$H193) + CH194*((1-CH$2)*$H194+CH$2*$H195))</f>
        <v>3578.6811212465677</v>
      </c>
      <c r="CI195" s="23">
        <f t="shared" ref="CI195" si="4558">($O195*$Q195*$S195)^(1/3)/(CI190*((1-CI$2)*$H190+CI$2*$H191) + CI192*((1-CI$2)*$H192+CI$2*$H193) + CI194*((1-CI$2)*$H194+CI$2*$H195))</f>
        <v>3796.562857653731</v>
      </c>
      <c r="CJ195" s="23">
        <f t="shared" ref="CJ195" si="4559">($O195*$Q195*$S195)^(1/3)/(CJ190*((1-CJ$2)*$H190+CJ$2*$H191) + CJ192*((1-CJ$2)*$H192+CJ$2*$H193) + CJ194*((1-CJ$2)*$H194+CJ$2*$H195))</f>
        <v>3371.1488710712215</v>
      </c>
      <c r="CK195" s="23">
        <f t="shared" ref="CK195" si="4560">($O195*$Q195*$S195)^(1/3)/(CK190*((1-CK$2)*$H190+CK$2*$H191) + CK192*((1-CK$2)*$H192+CK$2*$H193) + CK194*((1-CK$2)*$H194+CK$2*$H195))</f>
        <v>3402.1995129139736</v>
      </c>
      <c r="CL195" s="23">
        <f t="shared" ref="CL195" si="4561">($O195*$Q195*$S195)^(1/3)/(CL190*((1-CL$2)*$H190+CL$2*$H191) + CL192*((1-CL$2)*$H192+CL$2*$H193) + CL194*((1-CL$2)*$H194+CL$2*$H195))</f>
        <v>3442.09511091185</v>
      </c>
      <c r="CM195" s="23">
        <f t="shared" ref="CM195" si="4562">($O195*$Q195*$S195)^(1/3)/(CM190*((1-CM$2)*$H190+CM$2*$H191) + CM192*((1-CM$2)*$H192+CM$2*$H193) + CM194*((1-CM$2)*$H194+CM$2*$H195))</f>
        <v>3898.3643461864845</v>
      </c>
      <c r="CN195" s="23">
        <f t="shared" ref="CN195" si="4563">($O195*$Q195*$S195)^(1/3)/(CN190*((1-CN$2)*$H190+CN$2*$H191) + CN192*((1-CN$2)*$H192+CN$2*$H193) + CN194*((1-CN$2)*$H194+CN$2*$H195))</f>
        <v>3556.9161973613604</v>
      </c>
      <c r="CO195" s="23">
        <f t="shared" ref="CO195" si="4564">($O195*$Q195*$S195)^(1/3)/(CO190*((1-CO$2)*$H190+CO$2*$H191) + CO192*((1-CO$2)*$H192+CO$2*$H193) + CO194*((1-CO$2)*$H194+CO$2*$H195))</f>
        <v>4001.4154951293713</v>
      </c>
      <c r="CP195" s="23">
        <f t="shared" ref="CP195" si="4565">($O195*$Q195*$S195)^(1/3)/(CP190*((1-CP$2)*$H190+CP$2*$H191) + CP192*((1-CP$2)*$H192+CP$2*$H193) + CP194*((1-CP$2)*$H194+CP$2*$H195))</f>
        <v>3724.3973922969399</v>
      </c>
      <c r="CQ195" s="23">
        <f t="shared" ref="CQ195" si="4566">($O195*$Q195*$S195)^(1/3)/(CQ190*((1-CQ$2)*$H190+CQ$2*$H191) + CQ192*((1-CQ$2)*$H192+CQ$2*$H193) + CQ194*((1-CQ$2)*$H194+CQ$2*$H195))</f>
        <v>3832.943207761828</v>
      </c>
      <c r="CS195" s="2">
        <f t="shared" ref="CS195" si="4567">100*$AF195/AF195</f>
        <v>100</v>
      </c>
      <c r="CT195" s="2">
        <f t="shared" ref="CT195" si="4568">100*$AF195/AG195</f>
        <v>94.450819672131161</v>
      </c>
      <c r="CU195" s="2">
        <f t="shared" ref="CU195" si="4569">100*$AF195/AH195</f>
        <v>88.188524590163937</v>
      </c>
      <c r="CV195" s="2">
        <f t="shared" ref="CV195" si="4570">100*$AF195/AI195</f>
        <v>70.97540983606558</v>
      </c>
      <c r="CW195" s="2">
        <f t="shared" ref="CW195" si="4571">100*$AF195/AJ195</f>
        <v>73.049180327868868</v>
      </c>
      <c r="CX195" s="2">
        <f t="shared" ref="CX195" si="4572">100*$AF195/AK195</f>
        <v>60.893442622950822</v>
      </c>
      <c r="CY195" s="2">
        <f t="shared" ref="CY195" si="4573">100*$AF195/AL195</f>
        <v>54.581967213114758</v>
      </c>
      <c r="CZ195" s="2">
        <f t="shared" ref="CZ195" si="4574">100*$AF195/AM195</f>
        <v>44.040983606557383</v>
      </c>
      <c r="DA195" s="2">
        <f t="shared" ref="DA195" si="4575">100*$AF195/AN195</f>
        <v>92.418032786885249</v>
      </c>
      <c r="DB195" s="2">
        <f t="shared" ref="DB195" si="4576">100*$AF195/AO195</f>
        <v>87.600409836065566</v>
      </c>
      <c r="DC195" s="2">
        <f t="shared" ref="DC195" si="4577">100*$AF195/AP195</f>
        <v>82.155737704918039</v>
      </c>
      <c r="DD195" s="2">
        <f t="shared" ref="DD195" si="4578">100*$AF195/AQ195</f>
        <v>66.633196721311478</v>
      </c>
      <c r="DE195" s="2">
        <f t="shared" ref="DE195" si="4579">100*$AF195/AR195</f>
        <v>68.967213114754117</v>
      </c>
      <c r="DF195" s="2">
        <f t="shared" ref="DF195" si="4580">100*$AF195/AS195</f>
        <v>57.842213114754102</v>
      </c>
      <c r="DG195" s="2">
        <f t="shared" ref="DG195" si="4581">100*$AF195/AT195</f>
        <v>52.852459016393439</v>
      </c>
      <c r="DH195" s="2">
        <f t="shared" ref="DH195" si="4582">100*$AF195/AU195</f>
        <v>43.645491803278695</v>
      </c>
      <c r="DI195" s="2">
        <f t="shared" ref="DI195" si="4583">100*$AF195/AV195</f>
        <v>84.836065573770497</v>
      </c>
      <c r="DJ195" s="2">
        <f t="shared" ref="DJ195" si="4584">100*$AF195/AW195</f>
        <v>80.75</v>
      </c>
      <c r="DK195" s="2">
        <f t="shared" ref="DK195" si="4585">100*$AF195/AX195</f>
        <v>76.122950819672141</v>
      </c>
      <c r="DL195" s="2">
        <f t="shared" ref="DL195" si="4586">100*$AF195/AY195</f>
        <v>62.29098360655739</v>
      </c>
      <c r="DM195" s="2">
        <f t="shared" ref="DM195" si="4587">100*$AF195/AZ195</f>
        <v>64.885245901639337</v>
      </c>
      <c r="DN195" s="2">
        <f t="shared" ref="DN195" si="4588">100*$AF195/BA195</f>
        <v>54.790983606557383</v>
      </c>
      <c r="DO195" s="2">
        <f t="shared" ref="DO195" si="4589">100*$AF195/BB195</f>
        <v>51.122950819672134</v>
      </c>
      <c r="DP195" s="2">
        <f t="shared" ref="DP195" si="4590">100*$AF195/BC195</f>
        <v>43.249999999999993</v>
      </c>
      <c r="DQ195" s="2">
        <f t="shared" ref="DQ195" si="4591">100*$AF195/BD195</f>
        <v>77.254098360655746</v>
      </c>
      <c r="DR195" s="2">
        <f t="shared" ref="DR195" si="4592">100*$AF195/BE195</f>
        <v>73.899590163934434</v>
      </c>
      <c r="DS195" s="2">
        <f t="shared" ref="DS195" si="4593">100*$AF195/BF195</f>
        <v>70.090163934426243</v>
      </c>
      <c r="DT195" s="2">
        <f t="shared" ref="DT195" si="4594">100*$AF195/BG195</f>
        <v>57.948770491803288</v>
      </c>
      <c r="DU195" s="2">
        <f t="shared" ref="DU195" si="4595">100*$AF195/BH195</f>
        <v>60.803278688524607</v>
      </c>
      <c r="DV195" s="2">
        <f t="shared" ref="DV195" si="4596">100*$AF195/BI195</f>
        <v>51.739754098360656</v>
      </c>
      <c r="DW195" s="2">
        <f t="shared" ref="DW195" si="4597">100*$AF195/BJ195</f>
        <v>49.393442622950836</v>
      </c>
      <c r="DX195" s="2">
        <f t="shared" ref="DX195" si="4598">100*$AF195/BK195</f>
        <v>42.854508196721319</v>
      </c>
      <c r="DY195" s="2">
        <f t="shared" ref="DY195" si="4599">100*$AF195/BL195</f>
        <v>69.672131147540981</v>
      </c>
      <c r="DZ195" s="2">
        <f t="shared" ref="DZ195" si="4600">100*$AF195/BM195</f>
        <v>67.049180327868839</v>
      </c>
      <c r="EA195" s="2">
        <f t="shared" ref="EA195" si="4601">100*$AF195/BN195</f>
        <v>64.057377049180332</v>
      </c>
      <c r="EB195" s="2">
        <f t="shared" ref="EB195" si="4602">100*$AF195/BO195</f>
        <v>53.606557377049199</v>
      </c>
      <c r="EC195" s="2">
        <f t="shared" ref="EC195" si="4603">100*$AF195/BP195</f>
        <v>56.721311475409841</v>
      </c>
      <c r="ED195" s="2">
        <f t="shared" ref="ED195" si="4604">100*$AF195/BQ195</f>
        <v>48.688524590163937</v>
      </c>
      <c r="EE195" s="2">
        <f t="shared" ref="EE195" si="4605">100*$AF195/BR195</f>
        <v>47.663934426229503</v>
      </c>
      <c r="EF195" s="2">
        <f t="shared" ref="EF195" si="4606">100*$AF195/BS195</f>
        <v>42.459016393442624</v>
      </c>
      <c r="EG195" s="2">
        <f t="shared" ref="EG195" si="4607">100*$AF195/BT195</f>
        <v>62.090163934426236</v>
      </c>
      <c r="EH195" s="2">
        <f t="shared" ref="EH195" si="4608">100*$AF195/BU195</f>
        <v>60.198770491803273</v>
      </c>
      <c r="EI195" s="2">
        <f t="shared" ref="EI195" si="4609">100*$AF195/BV195</f>
        <v>58.02459016393442</v>
      </c>
      <c r="EJ195" s="2">
        <f t="shared" ref="EJ195" si="4610">100*$AF195/BW195</f>
        <v>49.26434426229509</v>
      </c>
      <c r="EK195" s="2">
        <f t="shared" ref="EK195" si="4611">100*$AF195/BX195</f>
        <v>52.63934426229509</v>
      </c>
      <c r="EL195" s="2">
        <f t="shared" ref="EL195" si="4612">100*$AF195/BY195</f>
        <v>45.637295081967224</v>
      </c>
      <c r="EM195" s="2">
        <f t="shared" ref="EM195" si="4613">100*$AF195/BZ195</f>
        <v>45.934426229508205</v>
      </c>
      <c r="EN195" s="2">
        <f t="shared" ref="EN195" si="4614">100*$AF195/CA195</f>
        <v>42.063524590163937</v>
      </c>
      <c r="EO195" s="2">
        <f t="shared" ref="EO195" si="4615">100*$AF195/CB195</f>
        <v>54.508196721311485</v>
      </c>
      <c r="EP195" s="2">
        <f t="shared" ref="EP195" si="4616">100*$AF195/CC195</f>
        <v>53.348360655737714</v>
      </c>
      <c r="EQ195" s="2">
        <f t="shared" ref="EQ195" si="4617">100*$AF195/CD195</f>
        <v>51.991803278688522</v>
      </c>
      <c r="ER195" s="2">
        <f t="shared" ref="ER195" si="4618">100*$AF195/CE195</f>
        <v>44.922131147540995</v>
      </c>
      <c r="ES195" s="2">
        <f t="shared" ref="ES195" si="4619">100*$AF195/CF195</f>
        <v>48.557377049180332</v>
      </c>
      <c r="ET195" s="2">
        <f t="shared" ref="ET195" si="4620">100*$AF195/CG195</f>
        <v>42.586065573770497</v>
      </c>
      <c r="EU195" s="2">
        <f t="shared" ref="EU195" si="4621">100*$AF195/CH195</f>
        <v>44.204918032786892</v>
      </c>
      <c r="EV195" s="2">
        <f t="shared" ref="EV195" si="4622">100*$AF195/CI195</f>
        <v>41.668032786885249</v>
      </c>
      <c r="EW195" s="2">
        <f t="shared" ref="EW195" si="4623">100*$AF195/CJ195</f>
        <v>46.926229508196727</v>
      </c>
      <c r="EX195" s="2">
        <f t="shared" ref="EX195" si="4624">100*$AF195/CK195</f>
        <v>46.497950819672134</v>
      </c>
      <c r="EY195" s="2">
        <f t="shared" ref="EY195" si="4625">100*$AF195/CL195</f>
        <v>45.959016393442624</v>
      </c>
      <c r="EZ195" s="2">
        <f t="shared" ref="EZ195" si="4626">100*$AF195/CM195</f>
        <v>40.5799180327869</v>
      </c>
      <c r="FA195" s="2">
        <f t="shared" ref="FA195" si="4627">100*$AF195/CN195</f>
        <v>44.47540983606558</v>
      </c>
      <c r="FB195" s="2">
        <f t="shared" ref="FB195" si="4628">100*$AF195/CO195</f>
        <v>39.534836065573778</v>
      </c>
      <c r="FC195" s="2">
        <f t="shared" ref="FC195" si="4629">100*$AF195/CP195</f>
        <v>42.47540983606558</v>
      </c>
      <c r="FD195" s="2">
        <f t="shared" ref="FD195" si="4630">100*$AF195/CQ195</f>
        <v>41.272540983606554</v>
      </c>
    </row>
    <row r="196" spans="3:160" x14ac:dyDescent="0.4">
      <c r="C196" s="1" t="s">
        <v>42</v>
      </c>
      <c r="D196" s="1" t="s">
        <v>5</v>
      </c>
      <c r="E196" s="1">
        <v>0.249</v>
      </c>
      <c r="F196" s="1">
        <v>0.14000000000000001</v>
      </c>
      <c r="G196" s="1">
        <v>0.109</v>
      </c>
      <c r="H196" s="1">
        <v>6.2E-2</v>
      </c>
      <c r="I196" s="1">
        <v>5382</v>
      </c>
      <c r="J196" s="1">
        <v>4613</v>
      </c>
      <c r="K196" s="1">
        <v>72</v>
      </c>
      <c r="L196" s="1">
        <v>6434</v>
      </c>
      <c r="M196" s="1">
        <v>6635</v>
      </c>
      <c r="N196" s="1">
        <v>75.5</v>
      </c>
      <c r="O196" s="1">
        <v>96.5</v>
      </c>
      <c r="P196" s="1">
        <v>90.5</v>
      </c>
      <c r="Q196" s="1">
        <v>97</v>
      </c>
      <c r="R196" s="1">
        <v>51</v>
      </c>
      <c r="S196" s="1">
        <v>96</v>
      </c>
      <c r="T196" s="4">
        <v>0</v>
      </c>
      <c r="U196" s="1">
        <v>1.573</v>
      </c>
      <c r="V196" s="1">
        <v>5.7000000000000002E-2</v>
      </c>
      <c r="W196" s="1">
        <v>4.0199999999999996</v>
      </c>
      <c r="X196" s="1">
        <f t="shared" ref="X196" si="4631">H197</f>
        <v>2.5000000000000001E-2</v>
      </c>
      <c r="Y196" s="1">
        <f t="shared" ref="Y196" si="4632">H198</f>
        <v>5.6000000000000001E-2</v>
      </c>
      <c r="Z196" s="1">
        <f t="shared" ref="Z196" si="4633">H199</f>
        <v>2.5999999999999999E-2</v>
      </c>
      <c r="AA196" s="1">
        <f t="shared" ref="AA196" si="4634">H200</f>
        <v>2.1999999999999999E-2</v>
      </c>
      <c r="AB196" s="1">
        <f t="shared" ref="AB196" si="4635">H201</f>
        <v>2.5999999999999999E-2</v>
      </c>
      <c r="AC196" s="1">
        <f t="shared" si="2917"/>
        <v>3864.8351496651267</v>
      </c>
      <c r="AE196" s="1" t="s">
        <v>96</v>
      </c>
      <c r="AF196" s="1">
        <v>1</v>
      </c>
      <c r="AG196" s="1">
        <v>0.81499999999999995</v>
      </c>
      <c r="AH196" s="1">
        <v>0.64500000000000002</v>
      </c>
      <c r="AI196" s="1">
        <v>0.39500000000000002</v>
      </c>
      <c r="AJ196" s="1">
        <v>0.36</v>
      </c>
      <c r="AK196" s="1">
        <v>0.245</v>
      </c>
      <c r="AL196" s="1">
        <v>0.14499999999999999</v>
      </c>
      <c r="AM196" s="20">
        <v>6.5000000000000002E-2</v>
      </c>
      <c r="AN196" s="1">
        <v>1</v>
      </c>
      <c r="AO196" s="1">
        <v>0.81499999999999995</v>
      </c>
      <c r="AP196" s="1">
        <v>0.64500000000000002</v>
      </c>
      <c r="AQ196" s="1">
        <v>0.39500000000000002</v>
      </c>
      <c r="AR196" s="1">
        <v>0.36</v>
      </c>
      <c r="AS196" s="1">
        <v>0.245</v>
      </c>
      <c r="AT196" s="1">
        <v>0.14499999999999999</v>
      </c>
      <c r="AU196" s="20">
        <v>6.5000000000000002E-2</v>
      </c>
      <c r="AV196" s="1">
        <v>1</v>
      </c>
      <c r="AW196" s="1">
        <v>0.81499999999999995</v>
      </c>
      <c r="AX196" s="1">
        <v>0.64500000000000002</v>
      </c>
      <c r="AY196" s="1">
        <v>0.39500000000000002</v>
      </c>
      <c r="AZ196" s="1">
        <v>0.36</v>
      </c>
      <c r="BA196" s="1">
        <v>0.245</v>
      </c>
      <c r="BB196" s="1">
        <v>0.14499999999999999</v>
      </c>
      <c r="BC196" s="20">
        <v>6.5000000000000002E-2</v>
      </c>
      <c r="BD196" s="1">
        <v>1</v>
      </c>
      <c r="BE196" s="1">
        <v>0.81499999999999995</v>
      </c>
      <c r="BF196" s="1">
        <v>0.64500000000000002</v>
      </c>
      <c r="BG196" s="1">
        <v>0.39500000000000002</v>
      </c>
      <c r="BH196" s="1">
        <v>0.36</v>
      </c>
      <c r="BI196" s="1">
        <v>0.245</v>
      </c>
      <c r="BJ196" s="1">
        <v>0.14499999999999999</v>
      </c>
      <c r="BK196" s="20">
        <v>6.5000000000000002E-2</v>
      </c>
      <c r="BL196" s="1">
        <v>1</v>
      </c>
      <c r="BM196" s="1">
        <v>0.81499999999999995</v>
      </c>
      <c r="BN196" s="1">
        <v>0.64500000000000002</v>
      </c>
      <c r="BO196" s="1">
        <v>0.39500000000000002</v>
      </c>
      <c r="BP196" s="1">
        <v>0.36</v>
      </c>
      <c r="BQ196" s="1">
        <v>0.245</v>
      </c>
      <c r="BR196" s="1">
        <v>0.14499999999999999</v>
      </c>
      <c r="BS196" s="20">
        <v>6.5000000000000002E-2</v>
      </c>
      <c r="BT196" s="1">
        <v>1</v>
      </c>
      <c r="BU196" s="1">
        <v>0.81499999999999995</v>
      </c>
      <c r="BV196" s="1">
        <v>0.64500000000000002</v>
      </c>
      <c r="BW196" s="1">
        <v>0.39500000000000002</v>
      </c>
      <c r="BX196" s="1">
        <v>0.36</v>
      </c>
      <c r="BY196" s="1">
        <v>0.245</v>
      </c>
      <c r="BZ196" s="1">
        <v>0.14499999999999999</v>
      </c>
      <c r="CA196" s="20">
        <v>6.5000000000000002E-2</v>
      </c>
      <c r="CB196" s="1">
        <v>1</v>
      </c>
      <c r="CC196" s="1">
        <v>0.81499999999999995</v>
      </c>
      <c r="CD196" s="1">
        <v>0.64500000000000002</v>
      </c>
      <c r="CE196" s="1">
        <v>0.39500000000000002</v>
      </c>
      <c r="CF196" s="1">
        <v>0.36</v>
      </c>
      <c r="CG196" s="1">
        <v>0.245</v>
      </c>
      <c r="CH196" s="1">
        <v>0.14499999999999999</v>
      </c>
      <c r="CI196" s="20">
        <v>6.5000000000000002E-2</v>
      </c>
      <c r="CJ196" s="1">
        <v>1</v>
      </c>
      <c r="CK196" s="1">
        <v>0.81499999999999995</v>
      </c>
      <c r="CL196" s="1">
        <v>0.64500000000000002</v>
      </c>
      <c r="CM196" s="1">
        <v>0.39500000000000002</v>
      </c>
      <c r="CN196" s="1">
        <v>0.36</v>
      </c>
      <c r="CO196" s="1">
        <v>0.245</v>
      </c>
      <c r="CP196" s="1">
        <v>0.14499999999999999</v>
      </c>
      <c r="CQ196" s="20">
        <v>6.5000000000000002E-2</v>
      </c>
    </row>
    <row r="197" spans="3:160" x14ac:dyDescent="0.4">
      <c r="C197" s="1" t="s">
        <v>42</v>
      </c>
      <c r="D197" s="1" t="s">
        <v>6</v>
      </c>
      <c r="E197" s="1">
        <v>0.20300000000000001</v>
      </c>
      <c r="F197" s="1">
        <v>9.5000000000000001E-2</v>
      </c>
      <c r="G197" s="1">
        <v>0.108</v>
      </c>
      <c r="H197" s="1">
        <v>2.5000000000000001E-2</v>
      </c>
      <c r="I197" s="1">
        <v>5382</v>
      </c>
      <c r="J197" s="1">
        <v>4613</v>
      </c>
      <c r="K197" s="1">
        <v>72</v>
      </c>
      <c r="L197" s="1">
        <v>6434</v>
      </c>
      <c r="M197" s="1">
        <v>6635</v>
      </c>
      <c r="N197" s="1">
        <v>75.5</v>
      </c>
      <c r="O197" s="1">
        <v>96.5</v>
      </c>
      <c r="P197" s="1">
        <v>90.5</v>
      </c>
      <c r="Q197" s="1">
        <v>97</v>
      </c>
      <c r="R197" s="1">
        <v>51</v>
      </c>
      <c r="S197" s="1">
        <v>96</v>
      </c>
      <c r="T197" s="4">
        <v>0</v>
      </c>
      <c r="U197" s="1">
        <v>1.573</v>
      </c>
      <c r="V197" s="1">
        <v>5.7000000000000002E-2</v>
      </c>
      <c r="W197" s="1">
        <v>4.0199999999999996</v>
      </c>
      <c r="X197" s="1">
        <f t="shared" ref="X197" si="4636">H197</f>
        <v>2.5000000000000001E-2</v>
      </c>
      <c r="Y197" s="1">
        <f t="shared" ref="Y197" si="4637">H198</f>
        <v>5.6000000000000001E-2</v>
      </c>
      <c r="Z197" s="1">
        <f t="shared" ref="Z197" si="4638">H199</f>
        <v>2.5999999999999999E-2</v>
      </c>
      <c r="AA197" s="1">
        <f t="shared" ref="AA197" si="4639">H200</f>
        <v>2.1999999999999999E-2</v>
      </c>
      <c r="AB197" s="1">
        <f t="shared" ref="AB197" si="4640">H201</f>
        <v>2.5999999999999999E-2</v>
      </c>
      <c r="AC197" s="1">
        <f t="shared" ref="AC197:AC260" si="4641">1000000*(O197*Q197*S197)^(1/3)/(I197+0.5*J197+240*K197)</f>
        <v>3864.8351496651267</v>
      </c>
      <c r="CQ197" s="20"/>
    </row>
    <row r="198" spans="3:160" x14ac:dyDescent="0.4">
      <c r="C198" s="1" t="s">
        <v>42</v>
      </c>
      <c r="D198" s="1" t="s">
        <v>7</v>
      </c>
      <c r="E198" s="1">
        <v>0.24399999999999999</v>
      </c>
      <c r="F198" s="1">
        <v>0.13500000000000001</v>
      </c>
      <c r="G198" s="1">
        <v>0.109</v>
      </c>
      <c r="H198" s="1">
        <v>5.6000000000000001E-2</v>
      </c>
      <c r="I198" s="1">
        <v>5382</v>
      </c>
      <c r="J198" s="1">
        <v>4613</v>
      </c>
      <c r="K198" s="1">
        <v>72</v>
      </c>
      <c r="L198" s="1">
        <v>6434</v>
      </c>
      <c r="M198" s="1">
        <v>6635</v>
      </c>
      <c r="N198" s="1">
        <v>75.5</v>
      </c>
      <c r="O198" s="1">
        <v>96.5</v>
      </c>
      <c r="P198" s="1">
        <v>90.5</v>
      </c>
      <c r="Q198" s="1">
        <v>97</v>
      </c>
      <c r="R198" s="1">
        <v>51</v>
      </c>
      <c r="S198" s="1">
        <v>96</v>
      </c>
      <c r="T198" s="4">
        <v>0</v>
      </c>
      <c r="U198" s="1">
        <v>1.573</v>
      </c>
      <c r="V198" s="1">
        <v>5.7000000000000002E-2</v>
      </c>
      <c r="W198" s="1">
        <v>4.0199999999999996</v>
      </c>
      <c r="X198" s="1">
        <f t="shared" ref="X198" si="4642">H197</f>
        <v>2.5000000000000001E-2</v>
      </c>
      <c r="Y198" s="1">
        <f t="shared" ref="Y198" si="4643">H198</f>
        <v>5.6000000000000001E-2</v>
      </c>
      <c r="Z198" s="1">
        <f t="shared" ref="Z198" si="4644">H199</f>
        <v>2.5999999999999999E-2</v>
      </c>
      <c r="AA198" s="1">
        <f t="shared" ref="AA198" si="4645">H200</f>
        <v>2.1999999999999999E-2</v>
      </c>
      <c r="AB198" s="1">
        <f t="shared" ref="AB198" si="4646">H201</f>
        <v>2.5999999999999999E-2</v>
      </c>
      <c r="AC198" s="1">
        <f t="shared" si="4641"/>
        <v>3864.8351496651267</v>
      </c>
      <c r="AE198" s="1" t="s">
        <v>97</v>
      </c>
      <c r="AF198" s="1">
        <v>0</v>
      </c>
      <c r="AG198" s="1">
        <v>0.12</v>
      </c>
      <c r="AH198" s="1">
        <v>0.21</v>
      </c>
      <c r="AI198" s="1">
        <v>0.26</v>
      </c>
      <c r="AJ198" s="1">
        <v>0.28000000000000003</v>
      </c>
      <c r="AK198" s="1">
        <v>0.26</v>
      </c>
      <c r="AL198" s="1">
        <v>0.21</v>
      </c>
      <c r="AM198" s="20">
        <v>0.12</v>
      </c>
      <c r="AN198" s="1">
        <v>0</v>
      </c>
      <c r="AO198" s="1">
        <v>0.12</v>
      </c>
      <c r="AP198" s="1">
        <v>0.21</v>
      </c>
      <c r="AQ198" s="1">
        <v>0.26</v>
      </c>
      <c r="AR198" s="1">
        <v>0.28000000000000003</v>
      </c>
      <c r="AS198" s="1">
        <v>0.26</v>
      </c>
      <c r="AT198" s="1">
        <v>0.21</v>
      </c>
      <c r="AU198" s="20">
        <v>0.12</v>
      </c>
      <c r="AV198" s="1">
        <v>0</v>
      </c>
      <c r="AW198" s="1">
        <v>0.12</v>
      </c>
      <c r="AX198" s="1">
        <v>0.21</v>
      </c>
      <c r="AY198" s="1">
        <v>0.26</v>
      </c>
      <c r="AZ198" s="1">
        <v>0.28000000000000003</v>
      </c>
      <c r="BA198" s="1">
        <v>0.26</v>
      </c>
      <c r="BB198" s="1">
        <v>0.21</v>
      </c>
      <c r="BC198" s="20">
        <v>0.12</v>
      </c>
      <c r="BD198" s="1">
        <v>0</v>
      </c>
      <c r="BE198" s="1">
        <v>0.12</v>
      </c>
      <c r="BF198" s="1">
        <v>0.21</v>
      </c>
      <c r="BG198" s="1">
        <v>0.26</v>
      </c>
      <c r="BH198" s="1">
        <v>0.28000000000000003</v>
      </c>
      <c r="BI198" s="1">
        <v>0.26</v>
      </c>
      <c r="BJ198" s="1">
        <v>0.21</v>
      </c>
      <c r="BK198" s="20">
        <v>0.12</v>
      </c>
      <c r="BL198" s="1">
        <v>0</v>
      </c>
      <c r="BM198" s="1">
        <v>0.12</v>
      </c>
      <c r="BN198" s="1">
        <v>0.21</v>
      </c>
      <c r="BO198" s="1">
        <v>0.26</v>
      </c>
      <c r="BP198" s="1">
        <v>0.28000000000000003</v>
      </c>
      <c r="BQ198" s="1">
        <v>0.26</v>
      </c>
      <c r="BR198" s="1">
        <v>0.21</v>
      </c>
      <c r="BS198" s="20">
        <v>0.12</v>
      </c>
      <c r="BT198" s="1">
        <v>0</v>
      </c>
      <c r="BU198" s="1">
        <v>0.12</v>
      </c>
      <c r="BV198" s="1">
        <v>0.21</v>
      </c>
      <c r="BW198" s="1">
        <v>0.26</v>
      </c>
      <c r="BX198" s="1">
        <v>0.28000000000000003</v>
      </c>
      <c r="BY198" s="1">
        <v>0.26</v>
      </c>
      <c r="BZ198" s="1">
        <v>0.21</v>
      </c>
      <c r="CA198" s="20">
        <v>0.12</v>
      </c>
      <c r="CB198" s="1">
        <v>0</v>
      </c>
      <c r="CC198" s="1">
        <v>0.12</v>
      </c>
      <c r="CD198" s="1">
        <v>0.21</v>
      </c>
      <c r="CE198" s="1">
        <v>0.26</v>
      </c>
      <c r="CF198" s="1">
        <v>0.28000000000000003</v>
      </c>
      <c r="CG198" s="1">
        <v>0.26</v>
      </c>
      <c r="CH198" s="1">
        <v>0.21</v>
      </c>
      <c r="CI198" s="20">
        <v>0.12</v>
      </c>
      <c r="CJ198" s="1">
        <v>0</v>
      </c>
      <c r="CK198" s="1">
        <v>0.12</v>
      </c>
      <c r="CL198" s="1">
        <v>0.21</v>
      </c>
      <c r="CM198" s="1">
        <v>0.26</v>
      </c>
      <c r="CN198" s="1">
        <v>0.28000000000000003</v>
      </c>
      <c r="CO198" s="1">
        <v>0.26</v>
      </c>
      <c r="CP198" s="1">
        <v>0.21</v>
      </c>
      <c r="CQ198" s="20">
        <v>0.12</v>
      </c>
    </row>
    <row r="199" spans="3:160" x14ac:dyDescent="0.4">
      <c r="C199" s="1" t="s">
        <v>42</v>
      </c>
      <c r="D199" s="1" t="s">
        <v>8</v>
      </c>
      <c r="E199" s="1">
        <v>0.20499999999999999</v>
      </c>
      <c r="F199" s="1">
        <v>9.7000000000000003E-2</v>
      </c>
      <c r="G199" s="1">
        <v>0.108</v>
      </c>
      <c r="H199" s="1">
        <v>2.5999999999999999E-2</v>
      </c>
      <c r="I199" s="1">
        <v>5382</v>
      </c>
      <c r="J199" s="1">
        <v>4613</v>
      </c>
      <c r="K199" s="1">
        <v>72</v>
      </c>
      <c r="L199" s="1">
        <v>6434</v>
      </c>
      <c r="M199" s="1">
        <v>6635</v>
      </c>
      <c r="N199" s="1">
        <v>75.5</v>
      </c>
      <c r="O199" s="1">
        <v>96.5</v>
      </c>
      <c r="P199" s="1">
        <v>90.5</v>
      </c>
      <c r="Q199" s="1">
        <v>97</v>
      </c>
      <c r="R199" s="1">
        <v>51</v>
      </c>
      <c r="S199" s="1">
        <v>96</v>
      </c>
      <c r="T199" s="4">
        <v>0</v>
      </c>
      <c r="U199" s="1">
        <v>1.573</v>
      </c>
      <c r="V199" s="1">
        <v>5.7000000000000002E-2</v>
      </c>
      <c r="W199" s="1">
        <v>4.0199999999999996</v>
      </c>
      <c r="X199" s="1">
        <f t="shared" ref="X199" si="4647">H197</f>
        <v>2.5000000000000001E-2</v>
      </c>
      <c r="Y199" s="1">
        <f t="shared" ref="Y199" si="4648">H198</f>
        <v>5.6000000000000001E-2</v>
      </c>
      <c r="Z199" s="1">
        <f t="shared" ref="Z199" si="4649">H199</f>
        <v>2.5999999999999999E-2</v>
      </c>
      <c r="AA199" s="1">
        <f t="shared" ref="AA199" si="4650">H200</f>
        <v>2.1999999999999999E-2</v>
      </c>
      <c r="AB199" s="1">
        <f t="shared" ref="AB199" si="4651">H201</f>
        <v>2.5999999999999999E-2</v>
      </c>
      <c r="AC199" s="1">
        <f t="shared" si="4641"/>
        <v>3864.8351496651267</v>
      </c>
      <c r="CQ199" s="20"/>
    </row>
    <row r="200" spans="3:160" x14ac:dyDescent="0.4">
      <c r="C200" s="1" t="s">
        <v>42</v>
      </c>
      <c r="D200" s="1" t="s">
        <v>9</v>
      </c>
      <c r="E200" s="1">
        <v>0.2</v>
      </c>
      <c r="F200" s="1">
        <v>9.1999999999999998E-2</v>
      </c>
      <c r="G200" s="1">
        <v>0.108</v>
      </c>
      <c r="H200" s="1">
        <v>2.1999999999999999E-2</v>
      </c>
      <c r="I200" s="1">
        <v>5382</v>
      </c>
      <c r="J200" s="1">
        <v>4613</v>
      </c>
      <c r="K200" s="1">
        <v>72</v>
      </c>
      <c r="L200" s="1">
        <v>6434</v>
      </c>
      <c r="M200" s="1">
        <v>6635</v>
      </c>
      <c r="N200" s="1">
        <v>75.5</v>
      </c>
      <c r="O200" s="1">
        <v>96.5</v>
      </c>
      <c r="P200" s="1">
        <v>90.5</v>
      </c>
      <c r="Q200" s="1">
        <v>97</v>
      </c>
      <c r="R200" s="1">
        <v>51</v>
      </c>
      <c r="S200" s="1">
        <v>96</v>
      </c>
      <c r="T200" s="4">
        <v>0</v>
      </c>
      <c r="U200" s="1">
        <v>1.573</v>
      </c>
      <c r="V200" s="1">
        <v>5.7000000000000002E-2</v>
      </c>
      <c r="W200" s="1">
        <v>4.0199999999999996</v>
      </c>
      <c r="X200" s="1">
        <f t="shared" ref="X200" si="4652">H197</f>
        <v>2.5000000000000001E-2</v>
      </c>
      <c r="Y200" s="1">
        <f t="shared" ref="Y200" si="4653">H198</f>
        <v>5.6000000000000001E-2</v>
      </c>
      <c r="Z200" s="1">
        <f t="shared" ref="Z200" si="4654">H199</f>
        <v>2.5999999999999999E-2</v>
      </c>
      <c r="AA200" s="1">
        <f t="shared" ref="AA200" si="4655">H200</f>
        <v>2.1999999999999999E-2</v>
      </c>
      <c r="AB200" s="1">
        <f t="shared" ref="AB200" si="4656">H201</f>
        <v>2.5999999999999999E-2</v>
      </c>
      <c r="AC200" s="1">
        <f t="shared" si="4641"/>
        <v>3864.8351496651267</v>
      </c>
      <c r="AE200" s="1" t="s">
        <v>98</v>
      </c>
      <c r="AF200" s="1">
        <v>0</v>
      </c>
      <c r="AG200" s="1">
        <v>6.5000000000000002E-2</v>
      </c>
      <c r="AH200" s="1">
        <v>0.14499999999999999</v>
      </c>
      <c r="AI200" s="1">
        <v>0.245</v>
      </c>
      <c r="AJ200" s="1">
        <v>0.36</v>
      </c>
      <c r="AK200" s="1">
        <v>0.39500000000000002</v>
      </c>
      <c r="AL200" s="1">
        <v>0.64500000000000002</v>
      </c>
      <c r="AM200" s="20">
        <v>0.81499999999999995</v>
      </c>
      <c r="AN200" s="1">
        <v>0</v>
      </c>
      <c r="AO200" s="1">
        <v>6.5000000000000002E-2</v>
      </c>
      <c r="AP200" s="1">
        <v>0.14499999999999999</v>
      </c>
      <c r="AQ200" s="1">
        <v>0.245</v>
      </c>
      <c r="AR200" s="1">
        <v>0.36</v>
      </c>
      <c r="AS200" s="1">
        <v>0.39500000000000002</v>
      </c>
      <c r="AT200" s="1">
        <v>0.64500000000000002</v>
      </c>
      <c r="AU200" s="20">
        <v>0.81499999999999995</v>
      </c>
      <c r="AV200" s="1">
        <v>0</v>
      </c>
      <c r="AW200" s="1">
        <v>6.5000000000000002E-2</v>
      </c>
      <c r="AX200" s="1">
        <v>0.14499999999999999</v>
      </c>
      <c r="AY200" s="1">
        <v>0.245</v>
      </c>
      <c r="AZ200" s="1">
        <v>0.36</v>
      </c>
      <c r="BA200" s="1">
        <v>0.39500000000000002</v>
      </c>
      <c r="BB200" s="1">
        <v>0.64500000000000002</v>
      </c>
      <c r="BC200" s="20">
        <v>0.81499999999999995</v>
      </c>
      <c r="BD200" s="1">
        <v>0</v>
      </c>
      <c r="BE200" s="1">
        <v>6.5000000000000002E-2</v>
      </c>
      <c r="BF200" s="1">
        <v>0.14499999999999999</v>
      </c>
      <c r="BG200" s="1">
        <v>0.245</v>
      </c>
      <c r="BH200" s="1">
        <v>0.36</v>
      </c>
      <c r="BI200" s="1">
        <v>0.39500000000000002</v>
      </c>
      <c r="BJ200" s="1">
        <v>0.64500000000000002</v>
      </c>
      <c r="BK200" s="20">
        <v>0.81499999999999995</v>
      </c>
      <c r="BL200" s="1">
        <v>0</v>
      </c>
      <c r="BM200" s="1">
        <v>6.5000000000000002E-2</v>
      </c>
      <c r="BN200" s="1">
        <v>0.14499999999999999</v>
      </c>
      <c r="BO200" s="1">
        <v>0.245</v>
      </c>
      <c r="BP200" s="1">
        <v>0.36</v>
      </c>
      <c r="BQ200" s="1">
        <v>0.39500000000000002</v>
      </c>
      <c r="BR200" s="1">
        <v>0.64500000000000002</v>
      </c>
      <c r="BS200" s="20">
        <v>0.81499999999999995</v>
      </c>
      <c r="BT200" s="1">
        <v>0</v>
      </c>
      <c r="BU200" s="1">
        <v>6.5000000000000002E-2</v>
      </c>
      <c r="BV200" s="1">
        <v>0.14499999999999999</v>
      </c>
      <c r="BW200" s="1">
        <v>0.245</v>
      </c>
      <c r="BX200" s="1">
        <v>0.36</v>
      </c>
      <c r="BY200" s="1">
        <v>0.39500000000000002</v>
      </c>
      <c r="BZ200" s="1">
        <v>0.64500000000000002</v>
      </c>
      <c r="CA200" s="20">
        <v>0.81499999999999995</v>
      </c>
      <c r="CB200" s="1">
        <v>0</v>
      </c>
      <c r="CC200" s="1">
        <v>6.5000000000000002E-2</v>
      </c>
      <c r="CD200" s="1">
        <v>0.14499999999999999</v>
      </c>
      <c r="CE200" s="1">
        <v>0.245</v>
      </c>
      <c r="CF200" s="1">
        <v>0.36</v>
      </c>
      <c r="CG200" s="1">
        <v>0.39500000000000002</v>
      </c>
      <c r="CH200" s="1">
        <v>0.64500000000000002</v>
      </c>
      <c r="CI200" s="20">
        <v>0.81499999999999995</v>
      </c>
      <c r="CJ200" s="1">
        <v>0</v>
      </c>
      <c r="CK200" s="1">
        <v>6.5000000000000002E-2</v>
      </c>
      <c r="CL200" s="1">
        <v>0.14499999999999999</v>
      </c>
      <c r="CM200" s="1">
        <v>0.245</v>
      </c>
      <c r="CN200" s="1">
        <v>0.36</v>
      </c>
      <c r="CO200" s="1">
        <v>0.39500000000000002</v>
      </c>
      <c r="CP200" s="1">
        <v>0.64500000000000002</v>
      </c>
      <c r="CQ200" s="20">
        <v>0.81499999999999995</v>
      </c>
    </row>
    <row r="201" spans="3:160" s="2" customFormat="1" x14ac:dyDescent="0.4">
      <c r="C201" s="2" t="s">
        <v>42</v>
      </c>
      <c r="D201" s="2" t="s">
        <v>10</v>
      </c>
      <c r="E201" s="2">
        <v>0.20499999999999999</v>
      </c>
      <c r="F201" s="2">
        <v>9.7000000000000003E-2</v>
      </c>
      <c r="G201" s="2">
        <v>0.108</v>
      </c>
      <c r="H201" s="2">
        <v>2.5999999999999999E-2</v>
      </c>
      <c r="I201" s="2">
        <v>5382</v>
      </c>
      <c r="J201" s="2">
        <v>4613</v>
      </c>
      <c r="K201" s="2">
        <v>72</v>
      </c>
      <c r="L201" s="2">
        <v>6434</v>
      </c>
      <c r="M201" s="2">
        <v>6635</v>
      </c>
      <c r="N201" s="2">
        <v>75.5</v>
      </c>
      <c r="O201" s="2">
        <v>96.5</v>
      </c>
      <c r="P201" s="2">
        <v>90.5</v>
      </c>
      <c r="Q201" s="2">
        <v>97</v>
      </c>
      <c r="R201" s="2">
        <v>51</v>
      </c>
      <c r="S201" s="2">
        <v>96</v>
      </c>
      <c r="T201" s="6">
        <f t="shared" ref="T201" si="4657">(N196*O196*P196*Q196*R196*S196)/(I196*J196*K196*(F196*H196 + F197*H197 + F198*H198 + F199*H199 + F200*H200 + F201*H201))</f>
        <v>6820.7258084021005</v>
      </c>
      <c r="U201" s="2">
        <v>1.573</v>
      </c>
      <c r="V201" s="2">
        <v>5.7000000000000002E-2</v>
      </c>
      <c r="W201" s="2">
        <v>4.0199999999999996</v>
      </c>
      <c r="X201" s="2">
        <f t="shared" ref="X201" si="4658">H197</f>
        <v>2.5000000000000001E-2</v>
      </c>
      <c r="Y201" s="2">
        <f t="shared" ref="Y201" si="4659">H198</f>
        <v>5.6000000000000001E-2</v>
      </c>
      <c r="Z201" s="2">
        <f t="shared" ref="Z201" si="4660">H199</f>
        <v>2.5999999999999999E-2</v>
      </c>
      <c r="AA201" s="2">
        <f t="shared" ref="AA201" si="4661">H200</f>
        <v>2.1999999999999999E-2</v>
      </c>
      <c r="AB201" s="2">
        <f t="shared" ref="AB201" si="4662">H201</f>
        <v>2.5999999999999999E-2</v>
      </c>
      <c r="AC201" s="1">
        <f t="shared" si="4641"/>
        <v>3864.8351496651267</v>
      </c>
      <c r="AE201" s="2" t="s">
        <v>99</v>
      </c>
      <c r="AF201" s="23">
        <f>($O201*$Q201*$S201)^(1/3)/(AF196*((1-AF$2)*$H196+AF$2*$H197) + AF198*((1-AF$2)*$H198+AF$2*$H199) + AF200*((1-AF$2)*$H200+AF$2*$H201))</f>
        <v>1556.4376844260275</v>
      </c>
      <c r="AG201" s="23">
        <f t="shared" ref="AG201" si="4663">($O201*$Q201*$S201)^(1/3)/(AG196*((1-AG$2)*$H196+AG$2*$H197) + AG198*((1-AG$2)*$H198+AG$2*$H199) + AG200*((1-AG$2)*$H200+AG$2*$H201))</f>
        <v>1644.4978942469959</v>
      </c>
      <c r="AH201" s="23">
        <f t="shared" ref="AH201" si="4664">($O201*$Q201*$S201)^(1/3)/(AH196*((1-AH$2)*$H196+AH$2*$H197) + AH198*((1-AH$2)*$H198+AH$2*$H199) + AH200*((1-AH$2)*$H200+AH$2*$H201))</f>
        <v>1756.4458761269334</v>
      </c>
      <c r="AI201" s="23">
        <f t="shared" ref="AI201" si="4665">($O201*$Q201*$S201)^(1/3)/(AI196*((1-AI$2)*$H196+AI$2*$H197) + AI198*((1-AI$2)*$H198+AI$2*$H199) + AI200*((1-AI$2)*$H200+AI$2*$H201))</f>
        <v>2171.4477145457631</v>
      </c>
      <c r="AJ201" s="23">
        <f t="shared" ref="AJ201" si="4666">($O201*$Q201*$S201)^(1/3)/(AJ196*((1-AJ$2)*$H196+AJ$2*$H197) + AJ198*((1-AJ$2)*$H198+AJ$2*$H199) + AJ200*((1-AJ$2)*$H200+AJ$2*$H201))</f>
        <v>2101.4620303661522</v>
      </c>
      <c r="AK201" s="23">
        <f t="shared" ref="AK201" si="4667">($O201*$Q201*$S201)^(1/3)/(AK196*((1-AK$2)*$H196+AK$2*$H197) + AK198*((1-AK$2)*$H198+AK$2*$H199) + AK200*((1-AK$2)*$H200+AK$2*$H201))</f>
        <v>2510.3833619774637</v>
      </c>
      <c r="AL201" s="23">
        <f t="shared" ref="AL201" si="4668">($O201*$Q201*$S201)^(1/3)/(AL196*((1-AL$2)*$H196+AL$2*$H197) + AL198*((1-AL$2)*$H198+AL$2*$H199) + AL200*((1-AL$2)*$H200+AL$2*$H201))</f>
        <v>2761.8527886208849</v>
      </c>
      <c r="AM201" s="23">
        <f t="shared" ref="AM201" si="4669">($O201*$Q201*$S201)^(1/3)/(AM196*((1-AM$2)*$H196+AM$2*$H197) + AM198*((1-AM$2)*$H198+AM$2*$H199) + AM200*((1-AM$2)*$H200+AM$2*$H201))</f>
        <v>3364.683976095318</v>
      </c>
      <c r="AN201" s="23">
        <f t="shared" ref="AN201" si="4670">($O201*$Q201*$S201)^(1/3)/(AN196*((1-AN$2)*$H196+AN$2*$H197) + AN198*((1-AN$2)*$H198+AN$2*$H199) + AN200*((1-AN$2)*$H200+AN$2*$H201))</f>
        <v>1681.9021600769274</v>
      </c>
      <c r="AO201" s="23">
        <f t="shared" ref="AO201" si="4671">($O201*$Q201*$S201)^(1/3)/(AO196*((1-AO$2)*$H196+AO$2*$H197) + AO198*((1-AO$2)*$H198+AO$2*$H199) + AO200*((1-AO$2)*$H200+AO$2*$H201))</f>
        <v>1770.849743603688</v>
      </c>
      <c r="AP201" s="23">
        <f t="shared" ref="AP201" si="4672">($O201*$Q201*$S201)^(1/3)/(AP196*((1-AP$2)*$H196+AP$2*$H197) + AP198*((1-AP$2)*$H198+AP$2*$H199) + AP200*((1-AP$2)*$H200+AP$2*$H201))</f>
        <v>1883.2085366590061</v>
      </c>
      <c r="AQ201" s="23">
        <f t="shared" ref="AQ201" si="4673">($O201*$Q201*$S201)^(1/3)/(AQ196*((1-AQ$2)*$H196+AQ$2*$H197) + AQ198*((1-AQ$2)*$H198+AQ$2*$H199) + AQ200*((1-AQ$2)*$H200+AQ$2*$H201))</f>
        <v>2310.7684914776464</v>
      </c>
      <c r="AR201" s="23">
        <f t="shared" ref="AR201" si="4674">($O201*$Q201*$S201)^(1/3)/(AR196*((1-AR$2)*$H196+AR$2*$H197) + AR198*((1-AR$2)*$H198+AR$2*$H199) + AR200*((1-AR$2)*$H200+AR$2*$H201))</f>
        <v>2224.2511567226852</v>
      </c>
      <c r="AS201" s="23">
        <f t="shared" ref="AS201" si="4675">($O201*$Q201*$S201)^(1/3)/(AS196*((1-AS$2)*$H196+AS$2*$H197) + AS198*((1-AS$2)*$H198+AS$2*$H199) + AS200*((1-AS$2)*$H200+AS$2*$H201))</f>
        <v>2641.685942735503</v>
      </c>
      <c r="AT201" s="23">
        <f t="shared" ref="AT201" si="4676">($O201*$Q201*$S201)^(1/3)/(AT196*((1-AT$2)*$H196+AT$2*$H197) + AT198*((1-AT$2)*$H198+AT$2*$H199) + AT200*((1-AT$2)*$H200+AT$2*$H201))</f>
        <v>2854.6345387073038</v>
      </c>
      <c r="AU201" s="23">
        <f t="shared" ref="AU201" si="4677">($O201*$Q201*$S201)^(1/3)/(AU196*((1-AU$2)*$H196+AU$2*$H197) + AU198*((1-AU$2)*$H198+AU$2*$H199) + AU200*((1-AU$2)*$H200+AU$2*$H201))</f>
        <v>3405.4261958812926</v>
      </c>
      <c r="AV201" s="23">
        <f t="shared" ref="AV201" si="4678">($O201*$Q201*$S201)^(1/3)/(AV196*((1-AV$2)*$H196+AV$2*$H197) + AV198*((1-AV$2)*$H198+AV$2*$H199) + AV200*((1-AV$2)*$H200+AV$2*$H201))</f>
        <v>1829.367515344336</v>
      </c>
      <c r="AW201" s="23">
        <f t="shared" ref="AW201" si="4679">($O201*$Q201*$S201)^(1/3)/(AW196*((1-AW$2)*$H196+AW$2*$H197) + AW198*((1-AW$2)*$H198+AW$2*$H199) + AW200*((1-AW$2)*$H200+AW$2*$H201))</f>
        <v>1918.2335482055157</v>
      </c>
      <c r="AX201" s="23">
        <f t="shared" ref="AX201" si="4680">($O201*$Q201*$S201)^(1/3)/(AX196*((1-AX$2)*$H196+AX$2*$H197) + AX198*((1-AX$2)*$H198+AX$2*$H199) + AX200*((1-AX$2)*$H200+AX$2*$H201))</f>
        <v>2029.691314513763</v>
      </c>
      <c r="AY201" s="23">
        <f t="shared" ref="AY201" si="4681">($O201*$Q201*$S201)^(1/3)/(AY196*((1-AY$2)*$H196+AY$2*$H197) + AY198*((1-AY$2)*$H198+AY$2*$H199) + AY200*((1-AY$2)*$H200+AY$2*$H201))</f>
        <v>2469.1926802344783</v>
      </c>
      <c r="AZ201" s="23">
        <f t="shared" ref="AZ201" si="4682">($O201*$Q201*$S201)^(1/3)/(AZ196*((1-AZ$2)*$H196+AZ$2*$H197) + AZ198*((1-AZ$2)*$H198+AZ$2*$H199) + AZ200*((1-AZ$2)*$H200+AZ$2*$H201))</f>
        <v>2362.2799616747543</v>
      </c>
      <c r="BA201" s="23">
        <f t="shared" ref="BA201" si="4683">($O201*$Q201*$S201)^(1/3)/(BA196*((1-BA$2)*$H196+BA$2*$H197) + BA198*((1-BA$2)*$H198+BA$2*$H199) + BA200*((1-BA$2)*$H200+BA$2*$H201))</f>
        <v>2787.4818251500619</v>
      </c>
      <c r="BB201" s="23">
        <f t="shared" ref="BB201" si="4684">($O201*$Q201*$S201)^(1/3)/(BB196*((1-BB$2)*$H196+BB$2*$H197) + BB198*((1-BB$2)*$H198+BB$2*$H199) + BB200*((1-BB$2)*$H200+BB$2*$H201))</f>
        <v>2953.8668126087996</v>
      </c>
      <c r="BC201" s="23">
        <f t="shared" ref="BC201" si="4685">($O201*$Q201*$S201)^(1/3)/(BC196*((1-BC$2)*$H196+BC$2*$H197) + BC198*((1-BC$2)*$H198+BC$2*$H199) + BC200*((1-BC$2)*$H200+BC$2*$H201))</f>
        <v>3447.1671867618206</v>
      </c>
      <c r="BD201" s="23">
        <f t="shared" ref="BD201" si="4686">($O201*$Q201*$S201)^(1/3)/(BD196*((1-BD$2)*$H196+BD$2*$H197) + BD198*((1-BD$2)*$H198+BD$2*$H199) + BD200*((1-BD$2)*$H200+BD$2*$H201))</f>
        <v>2005.1768609748303</v>
      </c>
      <c r="BE201" s="23">
        <f t="shared" ref="BE201" si="4687">($O201*$Q201*$S201)^(1/3)/(BE196*((1-BE$2)*$H196+BE$2*$H197) + BE198*((1-BE$2)*$H198+BE$2*$H199) + BE200*((1-BE$2)*$H200+BE$2*$H201))</f>
        <v>2092.3773670916771</v>
      </c>
      <c r="BF201" s="23">
        <f t="shared" ref="BF201" si="4688">($O201*$Q201*$S201)^(1/3)/(BF196*((1-BF$2)*$H196+BF$2*$H197) + BF198*((1-BF$2)*$H198+BF$2*$H199) + BF200*((1-BF$2)*$H200+BF$2*$H201))</f>
        <v>2200.8840433775022</v>
      </c>
      <c r="BG201" s="23">
        <f t="shared" ref="BG201" si="4689">($O201*$Q201*$S201)^(1/3)/(BG196*((1-BG$2)*$H196+BG$2*$H197) + BG198*((1-BG$2)*$H198+BG$2*$H199) + BG200*((1-BG$2)*$H200+BG$2*$H201))</f>
        <v>2650.9386242992623</v>
      </c>
      <c r="BH201" s="23">
        <f t="shared" ref="BH201" si="4690">($O201*$Q201*$S201)^(1/3)/(BH196*((1-BH$2)*$H196+BH$2*$H197) + BH198*((1-BH$2)*$H198+BH$2*$H199) + BH200*((1-BH$2)*$H200+BH$2*$H201))</f>
        <v>2518.5733116119982</v>
      </c>
      <c r="BI201" s="23">
        <f t="shared" ref="BI201" si="4691">($O201*$Q201*$S201)^(1/3)/(BI196*((1-BI$2)*$H196+BI$2*$H197) + BI198*((1-BI$2)*$H198+BI$2*$H199) + BI200*((1-BI$2)*$H200+BI$2*$H201))</f>
        <v>2950.3108611213179</v>
      </c>
      <c r="BJ201" s="23">
        <f t="shared" ref="BJ201" si="4692">($O201*$Q201*$S201)^(1/3)/(BJ196*((1-BJ$2)*$H196+BJ$2*$H197) + BJ198*((1-BJ$2)*$H198+BJ$2*$H199) + BJ200*((1-BJ$2)*$H200+BJ$2*$H201))</f>
        <v>3060.2465323184338</v>
      </c>
      <c r="BK201" s="23">
        <f t="shared" ref="BK201" si="4693">($O201*$Q201*$S201)^(1/3)/(BK196*((1-BK$2)*$H196+BK$2*$H197) + BK198*((1-BK$2)*$H198+BK$2*$H199) + BK200*((1-BK$2)*$H200+BK$2*$H201))</f>
        <v>3489.9441308980799</v>
      </c>
      <c r="BL201" s="23">
        <f t="shared" ref="BL201" si="4694">($O201*$Q201*$S201)^(1/3)/(BL196*((1-BL$2)*$H196+BL$2*$H197) + BL198*((1-BL$2)*$H198+BL$2*$H199) + BL200*((1-BL$2)*$H200+BL$2*$H201))</f>
        <v>2218.3709525152581</v>
      </c>
      <c r="BM201" s="23">
        <f t="shared" ref="BM201" si="4695">($O201*$Q201*$S201)^(1/3)/(BM196*((1-BM$2)*$H196+BM$2*$H197) + BM198*((1-BM$2)*$H198+BM$2*$H199) + BM200*((1-BM$2)*$H200+BM$2*$H201))</f>
        <v>2301.2969995686813</v>
      </c>
      <c r="BN201" s="23">
        <f t="shared" ref="BN201" si="4696">($O201*$Q201*$S201)^(1/3)/(BN196*((1-BN$2)*$H196+BN$2*$H197) + BN198*((1-BN$2)*$H198+BN$2*$H199) + BN200*((1-BN$2)*$H200+BN$2*$H201))</f>
        <v>2403.6150802519142</v>
      </c>
      <c r="BO201" s="23">
        <f t="shared" ref="BO201" si="4697">($O201*$Q201*$S201)^(1/3)/(BO196*((1-BO$2)*$H196+BO$2*$H197) + BO198*((1-BO$2)*$H198+BO$2*$H199) + BO200*((1-BO$2)*$H200+BO$2*$H201))</f>
        <v>2861.5653179453989</v>
      </c>
      <c r="BP201" s="23">
        <f t="shared" ref="BP201" si="4698">($O201*$Q201*$S201)^(1/3)/(BP196*((1-BP$2)*$H196+BP$2*$H197) + BP198*((1-BP$2)*$H198+BP$2*$H199) + BP200*((1-BP$2)*$H200+BP$2*$H201))</f>
        <v>2697.0133156627644</v>
      </c>
      <c r="BQ201" s="23">
        <f t="shared" ref="BQ201" si="4699">($O201*$Q201*$S201)^(1/3)/(BQ196*((1-BQ$2)*$H196+BQ$2*$H197) + BQ198*((1-BQ$2)*$H198+BQ$2*$H199) + BQ200*((1-BQ$2)*$H200+BQ$2*$H201))</f>
        <v>3133.3431750763443</v>
      </c>
      <c r="BR201" s="23">
        <f t="shared" ref="BR201" si="4700">($O201*$Q201*$S201)^(1/3)/(BR196*((1-BR$2)*$H196+BR$2*$H197) + BR198*((1-BR$2)*$H198+BR$2*$H199) + BR200*((1-BR$2)*$H200+BR$2*$H201))</f>
        <v>3174.5747655041932</v>
      </c>
      <c r="BS201" s="23">
        <f t="shared" ref="BS201" si="4701">($O201*$Q201*$S201)^(1/3)/(BS196*((1-BS$2)*$H196+BS$2*$H197) + BS198*((1-BS$2)*$H198+BS$2*$H199) + BS200*((1-BS$2)*$H200+BS$2*$H201))</f>
        <v>3533.7960792607787</v>
      </c>
      <c r="BT201" s="23">
        <f t="shared" ref="BT201" si="4702">($O201*$Q201*$S201)^(1/3)/(BT196*((1-BT$2)*$H196+BT$2*$H197) + BT198*((1-BT$2)*$H198+BT$2*$H199) + BT200*((1-BT$2)*$H200+BT$2*$H201))</f>
        <v>2482.2928986344364</v>
      </c>
      <c r="BU201" s="23">
        <f t="shared" ref="BU201" si="4703">($O201*$Q201*$S201)^(1/3)/(BU196*((1-BU$2)*$H196+BU$2*$H197) + BU198*((1-BU$2)*$H198+BU$2*$H199) + BU200*((1-BU$2)*$H200+BU$2*$H201))</f>
        <v>2556.5648054420531</v>
      </c>
      <c r="BV201" s="23">
        <f t="shared" ref="BV201" si="4704">($O201*$Q201*$S201)^(1/3)/(BV196*((1-BV$2)*$H196+BV$2*$H197) + BV198*((1-BV$2)*$H198+BV$2*$H199) + BV200*((1-BV$2)*$H200+BV$2*$H201))</f>
        <v>2647.4839811221377</v>
      </c>
      <c r="BW201" s="23">
        <f t="shared" ref="BW201" si="4705">($O201*$Q201*$S201)^(1/3)/(BW196*((1-BW$2)*$H196+BW$2*$H197) + BW198*((1-BW$2)*$H198+BW$2*$H199) + BW200*((1-BW$2)*$H200+BW$2*$H201))</f>
        <v>3108.5509733447807</v>
      </c>
      <c r="BX201" s="23">
        <f t="shared" ref="BX201" si="4706">($O201*$Q201*$S201)^(1/3)/(BX196*((1-BX$2)*$H196+BX$2*$H197) + BX198*((1-BX$2)*$H198+BX$2*$H199) + BX200*((1-BX$2)*$H200+BX$2*$H201))</f>
        <v>2902.666158352044</v>
      </c>
      <c r="BY201" s="23">
        <f t="shared" ref="BY201" si="4707">($O201*$Q201*$S201)^(1/3)/(BY196*((1-BY$2)*$H196+BY$2*$H197) + BY198*((1-BY$2)*$H198+BY$2*$H199) + BY200*((1-BY$2)*$H200+BY$2*$H201))</f>
        <v>3340.5876002306832</v>
      </c>
      <c r="BZ201" s="23">
        <f t="shared" ref="BZ201" si="4708">($O201*$Q201*$S201)^(1/3)/(BZ196*((1-BZ$2)*$H196+BZ$2*$H197) + BZ198*((1-BZ$2)*$H198+BZ$2*$H199) + BZ200*((1-BZ$2)*$H200+BZ$2*$H201))</f>
        <v>3297.7769344723711</v>
      </c>
      <c r="CA201" s="23">
        <f t="shared" ref="CA201" si="4709">($O201*$Q201*$S201)^(1/3)/(CA196*((1-CA$2)*$H196+CA$2*$H197) + CA198*((1-CA$2)*$H198+CA$2*$H199) + CA200*((1-CA$2)*$H200+CA$2*$H201))</f>
        <v>3578.7640705343151</v>
      </c>
      <c r="CB201" s="23">
        <f t="shared" ref="CB201" si="4710">($O201*$Q201*$S201)^(1/3)/(CB196*((1-CB$2)*$H196+CB$2*$H197) + CB198*((1-CB$2)*$H198+CB$2*$H199) + CB200*((1-CB$2)*$H200+CB$2*$H201))</f>
        <v>2817.4930345814223</v>
      </c>
      <c r="CC201" s="23">
        <f t="shared" ref="CC201" si="4711">($O201*$Q201*$S201)^(1/3)/(CC196*((1-CC$2)*$H196+CC$2*$H197) + CC198*((1-CC$2)*$H198+CC$2*$H199) + CC200*((1-CC$2)*$H200+CC$2*$H201))</f>
        <v>2875.5283326826448</v>
      </c>
      <c r="CD201" s="23">
        <f t="shared" ref="CD201" si="4712">($O201*$Q201*$S201)^(1/3)/(CD196*((1-CD$2)*$H196+CD$2*$H197) + CD198*((1-CD$2)*$H198+CD$2*$H199) + CD200*((1-CD$2)*$H200+CD$2*$H201))</f>
        <v>2946.4260580714845</v>
      </c>
      <c r="CE201" s="23">
        <f t="shared" ref="CE201" si="4713">($O201*$Q201*$S201)^(1/3)/(CE196*((1-CE$2)*$H196+CE$2*$H197) + CE198*((1-CE$2)*$H198+CE$2*$H199) + CE200*((1-CE$2)*$H200+CE$2*$H201))</f>
        <v>3402.1995129139736</v>
      </c>
      <c r="CF201" s="23">
        <f t="shared" ref="CF201" si="4714">($O201*$Q201*$S201)^(1/3)/(CF196*((1-CF$2)*$H196+CF$2*$H197) + CF198*((1-CF$2)*$H198+CF$2*$H199) + CF200*((1-CF$2)*$H200+CF$2*$H201))</f>
        <v>3142.270805418877</v>
      </c>
      <c r="CG201" s="23">
        <f t="shared" ref="CG201" si="4715">($O201*$Q201*$S201)^(1/3)/(CG196*((1-CG$2)*$H196+CG$2*$H197) + CG198*((1-CG$2)*$H198+CG$2*$H199) + CG200*((1-CG$2)*$H200+CG$2*$H201))</f>
        <v>3577.1886913271378</v>
      </c>
      <c r="CH201" s="23">
        <f t="shared" ref="CH201" si="4716">($O201*$Q201*$S201)^(1/3)/(CH196*((1-CH$2)*$H196+CH$2*$H197) + CH198*((1-CH$2)*$H198+CH$2*$H199) + CH200*((1-CH$2)*$H200+CH$2*$H201))</f>
        <v>3430.9279208715598</v>
      </c>
      <c r="CI201" s="23">
        <f t="shared" ref="CI201" si="4717">($O201*$Q201*$S201)^(1/3)/(CI196*((1-CI$2)*$H196+CI$2*$H197) + CI198*((1-CI$2)*$H198+CI$2*$H199) + CI200*((1-CI$2)*$H200+CI$2*$H201))</f>
        <v>3624.8912592163674</v>
      </c>
      <c r="CJ201" s="23">
        <f t="shared" ref="CJ201" si="4718">($O201*$Q201*$S201)^(1/3)/(CJ196*((1-CJ$2)*$H196+CJ$2*$H197) + CJ198*((1-CJ$2)*$H198+CJ$2*$H199) + CJ200*((1-CJ$2)*$H200+CJ$2*$H201))</f>
        <v>3257.3548163515175</v>
      </c>
      <c r="CK201" s="23">
        <f t="shared" ref="CK201" si="4719">($O201*$Q201*$S201)^(1/3)/(CK196*((1-CK$2)*$H196+CK$2*$H197) + CK198*((1-CK$2)*$H198+CK$2*$H199) + CK200*((1-CK$2)*$H200+CK$2*$H201))</f>
        <v>3285.4264984586007</v>
      </c>
      <c r="CL201" s="23">
        <f t="shared" ref="CL201" si="4720">($O201*$Q201*$S201)^(1/3)/(CL196*((1-CL$2)*$H196+CL$2*$H197) + CL198*((1-CL$2)*$H198+CL$2*$H199) + CL200*((1-CL$2)*$H200+CL$2*$H201))</f>
        <v>3321.4718359699245</v>
      </c>
      <c r="CM201" s="23">
        <f t="shared" ref="CM201" si="4721">($O201*$Q201*$S201)^(1/3)/(CM196*((1-CM$2)*$H196+CM$2*$H197) + CM198*((1-CM$2)*$H198+CM$2*$H199) + CM200*((1-CM$2)*$H200+CM$2*$H201))</f>
        <v>3757.1144493262427</v>
      </c>
      <c r="CN201" s="23">
        <f t="shared" ref="CN201" si="4722">($O201*$Q201*$S201)^(1/3)/(CN196*((1-CN$2)*$H196+CN$2*$H197) + CN198*((1-CN$2)*$H198+CN$2*$H199) + CN200*((1-CN$2)*$H200+CN$2*$H201))</f>
        <v>3424.9915327209837</v>
      </c>
      <c r="CO201" s="23">
        <f t="shared" ref="CO201" si="4723">($O201*$Q201*$S201)^(1/3)/(CO196*((1-CO$2)*$H196+CO$2*$H197) + CO198*((1-CO$2)*$H198+CO$2*$H199) + CO200*((1-CO$2)*$H200+CO$2*$H201))</f>
        <v>3849.8595759895757</v>
      </c>
      <c r="CP201" s="23">
        <f t="shared" ref="CP201" si="4724">($O201*$Q201*$S201)^(1/3)/(CP196*((1-CP$2)*$H196+CP$2*$H197) + CP198*((1-CP$2)*$H198+CP$2*$H199) + CP200*((1-CP$2)*$H200+CP$2*$H201))</f>
        <v>3575.2835080482096</v>
      </c>
      <c r="CQ201" s="23">
        <f t="shared" ref="CQ201" si="4725">($O201*$Q201*$S201)^(1/3)/(CQ196*((1-CQ$2)*$H196+CQ$2*$H197) + CQ198*((1-CQ$2)*$H198+CQ$2*$H199) + CQ200*((1-CQ$2)*$H200+CQ$2*$H201))</f>
        <v>3672.2230537534056</v>
      </c>
      <c r="CS201" s="2">
        <f t="shared" ref="CS201" si="4726">100*$AF201/AF201</f>
        <v>99.999999999999986</v>
      </c>
      <c r="CT201" s="2">
        <f t="shared" ref="CT201" si="4727">100*$AF201/AG201</f>
        <v>94.645161290322562</v>
      </c>
      <c r="CU201" s="2">
        <f t="shared" ref="CU201" si="4728">100*$AF201/AH201</f>
        <v>88.612903225806434</v>
      </c>
      <c r="CV201" s="2">
        <f t="shared" ref="CV201" si="4729">100*$AF201/AI201</f>
        <v>71.677419354838705</v>
      </c>
      <c r="CW201" s="2">
        <f t="shared" ref="CW201" si="4730">100*$AF201/AJ201</f>
        <v>74.064516129032242</v>
      </c>
      <c r="CX201" s="2">
        <f t="shared" ref="CX201" si="4731">100*$AF201/AK201</f>
        <v>62</v>
      </c>
      <c r="CY201" s="2">
        <f t="shared" ref="CY201" si="4732">100*$AF201/AL201</f>
        <v>56.354838709677409</v>
      </c>
      <c r="CZ201" s="2">
        <f t="shared" ref="CZ201" si="4733">100*$AF201/AM201</f>
        <v>46.258064516129025</v>
      </c>
      <c r="DA201" s="2">
        <f t="shared" ref="DA201" si="4734">100*$AF201/AN201</f>
        <v>92.540322580645153</v>
      </c>
      <c r="DB201" s="2">
        <f t="shared" ref="DB201" si="4735">100*$AF201/AO201</f>
        <v>87.892137096774178</v>
      </c>
      <c r="DC201" s="2">
        <f t="shared" ref="DC201" si="4736">100*$AF201/AP201</f>
        <v>82.648185483870961</v>
      </c>
      <c r="DD201" s="2">
        <f t="shared" ref="DD201" si="4737">100*$AF201/AQ201</f>
        <v>67.355846774193552</v>
      </c>
      <c r="DE201" s="2">
        <f t="shared" ref="DE201" si="4738">100*$AF201/AR201</f>
        <v>69.975806451612911</v>
      </c>
      <c r="DF201" s="2">
        <f t="shared" ref="DF201" si="4739">100*$AF201/AS201</f>
        <v>58.918346774193537</v>
      </c>
      <c r="DG201" s="2">
        <f t="shared" ref="DG201" si="4740">100*$AF201/AT201</f>
        <v>54.523185483870961</v>
      </c>
      <c r="DH201" s="2">
        <f t="shared" ref="DH201" si="4741">100*$AF201/AU201</f>
        <v>45.704637096774192</v>
      </c>
      <c r="DI201" s="2">
        <f t="shared" ref="DI201" si="4742">100*$AF201/AV201</f>
        <v>85.080645161290306</v>
      </c>
      <c r="DJ201" s="2">
        <f t="shared" ref="DJ201" si="4743">100*$AF201/AW201</f>
        <v>81.139112903225779</v>
      </c>
      <c r="DK201" s="2">
        <f t="shared" ref="DK201" si="4744">100*$AF201/AX201</f>
        <v>76.683467741935473</v>
      </c>
      <c r="DL201" s="2">
        <f t="shared" ref="DL201" si="4745">100*$AF201/AY201</f>
        <v>63.034274193548384</v>
      </c>
      <c r="DM201" s="2">
        <f t="shared" ref="DM201" si="4746">100*$AF201/AZ201</f>
        <v>65.887096774193537</v>
      </c>
      <c r="DN201" s="2">
        <f t="shared" ref="DN201" si="4747">100*$AF201/BA201</f>
        <v>55.836693548387096</v>
      </c>
      <c r="DO201" s="2">
        <f t="shared" ref="DO201" si="4748">100*$AF201/BB201</f>
        <v>52.691532258064505</v>
      </c>
      <c r="DP201" s="2">
        <f t="shared" ref="DP201" si="4749">100*$AF201/BC201</f>
        <v>45.151209677419345</v>
      </c>
      <c r="DQ201" s="2">
        <f t="shared" ref="DQ201" si="4750">100*$AF201/BD201</f>
        <v>77.620967741935473</v>
      </c>
      <c r="DR201" s="2">
        <f t="shared" ref="DR201" si="4751">100*$AF201/BE201</f>
        <v>74.386088709677409</v>
      </c>
      <c r="DS201" s="2">
        <f t="shared" ref="DS201" si="4752">100*$AF201/BF201</f>
        <v>70.71875</v>
      </c>
      <c r="DT201" s="2">
        <f t="shared" ref="DT201" si="4753">100*$AF201/BG201</f>
        <v>58.712701612903217</v>
      </c>
      <c r="DU201" s="2">
        <f t="shared" ref="DU201" si="4754">100*$AF201/BH201</f>
        <v>61.798387096774185</v>
      </c>
      <c r="DV201" s="2">
        <f t="shared" ref="DV201" si="4755">100*$AF201/BI201</f>
        <v>52.755040322580641</v>
      </c>
      <c r="DW201" s="2">
        <f t="shared" ref="DW201" si="4756">100*$AF201/BJ201</f>
        <v>50.859879032258057</v>
      </c>
      <c r="DX201" s="2">
        <f t="shared" ref="DX201" si="4757">100*$AF201/BK201</f>
        <v>44.597782258064505</v>
      </c>
      <c r="DY201" s="2">
        <f t="shared" ref="DY201" si="4758">100*$AF201/BL201</f>
        <v>70.161290322580626</v>
      </c>
      <c r="DZ201" s="2">
        <f t="shared" ref="DZ201" si="4759">100*$AF201/BM201</f>
        <v>67.633064516129011</v>
      </c>
      <c r="EA201" s="2">
        <f t="shared" ref="EA201" si="4760">100*$AF201/BN201</f>
        <v>64.754032258064498</v>
      </c>
      <c r="EB201" s="2">
        <f t="shared" ref="EB201" si="4761">100*$AF201/BO201</f>
        <v>54.391129032258057</v>
      </c>
      <c r="EC201" s="2">
        <f t="shared" ref="EC201" si="4762">100*$AF201/BP201</f>
        <v>57.709677419354833</v>
      </c>
      <c r="ED201" s="2">
        <f t="shared" ref="ED201" si="4763">100*$AF201/BQ201</f>
        <v>49.673387096774185</v>
      </c>
      <c r="EE201" s="2">
        <f t="shared" ref="EE201" si="4764">100*$AF201/BR201</f>
        <v>49.028225806451609</v>
      </c>
      <c r="EF201" s="2">
        <f t="shared" ref="EF201" si="4765">100*$AF201/BS201</f>
        <v>44.044354838709673</v>
      </c>
      <c r="EG201" s="2">
        <f t="shared" ref="EG201" si="4766">100*$AF201/BT201</f>
        <v>62.701612903225794</v>
      </c>
      <c r="EH201" s="2">
        <f t="shared" ref="EH201" si="4767">100*$AF201/BU201</f>
        <v>60.880040322580648</v>
      </c>
      <c r="EI201" s="2">
        <f t="shared" ref="EI201" si="4768">100*$AF201/BV201</f>
        <v>58.789314516129018</v>
      </c>
      <c r="EJ201" s="2">
        <f t="shared" ref="EJ201" si="4769">100*$AF201/BW201</f>
        <v>50.069556451612904</v>
      </c>
      <c r="EK201" s="2">
        <f t="shared" ref="EK201" si="4770">100*$AF201/BX201</f>
        <v>53.62096774193548</v>
      </c>
      <c r="EL201" s="2">
        <f t="shared" ref="EL201" si="4771">100*$AF201/BY201</f>
        <v>46.591733870967737</v>
      </c>
      <c r="EM201" s="2">
        <f t="shared" ref="EM201" si="4772">100*$AF201/BZ201</f>
        <v>47.196572580645153</v>
      </c>
      <c r="EN201" s="2">
        <f t="shared" ref="EN201" si="4773">100*$AF201/CA201</f>
        <v>43.490927419354826</v>
      </c>
      <c r="EO201" s="2">
        <f t="shared" ref="EO201" si="4774">100*$AF201/CB201</f>
        <v>55.241935483870961</v>
      </c>
      <c r="EP201" s="2">
        <f t="shared" ref="EP201" si="4775">100*$AF201/CC201</f>
        <v>54.127016129032256</v>
      </c>
      <c r="EQ201" s="2">
        <f t="shared" ref="EQ201" si="4776">100*$AF201/CD201</f>
        <v>52.824596774193544</v>
      </c>
      <c r="ER201" s="2">
        <f t="shared" ref="ER201" si="4777">100*$AF201/CE201</f>
        <v>45.74798387096773</v>
      </c>
      <c r="ES201" s="2">
        <f t="shared" ref="ES201" si="4778">100*$AF201/CF201</f>
        <v>49.532258064516121</v>
      </c>
      <c r="ET201" s="2">
        <f t="shared" ref="ET201" si="4779">100*$AF201/CG201</f>
        <v>43.510080645161288</v>
      </c>
      <c r="EU201" s="2">
        <f t="shared" ref="EU201" si="4780">100*$AF201/CH201</f>
        <v>45.364919354838705</v>
      </c>
      <c r="EV201" s="2">
        <f t="shared" ref="EV201" si="4781">100*$AF201/CI201</f>
        <v>42.937499999999993</v>
      </c>
      <c r="EW201" s="2">
        <f t="shared" ref="EW201" si="4782">100*$AF201/CJ201</f>
        <v>47.782258064516128</v>
      </c>
      <c r="EX201" s="2">
        <f t="shared" ref="EX201" si="4783">100*$AF201/CK201</f>
        <v>47.373991935483865</v>
      </c>
      <c r="EY201" s="2">
        <f t="shared" ref="EY201" si="4784">100*$AF201/CL201</f>
        <v>46.859879032258057</v>
      </c>
      <c r="EZ201" s="2">
        <f t="shared" ref="EZ201" si="4785">100*$AF201/CM201</f>
        <v>41.426411290322577</v>
      </c>
      <c r="FA201" s="2">
        <f t="shared" ref="FA201" si="4786">100*$AF201/CN201</f>
        <v>45.443548387096769</v>
      </c>
      <c r="FB201" s="2">
        <f t="shared" ref="FB201" si="4787">100*$AF201/CO201</f>
        <v>40.428427419354833</v>
      </c>
      <c r="FC201" s="2">
        <f t="shared" ref="FC201" si="4788">100*$AF201/CP201</f>
        <v>43.533266129032256</v>
      </c>
      <c r="FD201" s="2">
        <f t="shared" ref="FD201" si="4789">100*$AF201/CQ201</f>
        <v>42.384072580645153</v>
      </c>
    </row>
    <row r="202" spans="3:160" x14ac:dyDescent="0.4">
      <c r="C202" s="1" t="s">
        <v>43</v>
      </c>
      <c r="D202" s="1" t="s">
        <v>5</v>
      </c>
      <c r="E202" s="1">
        <v>0.247</v>
      </c>
      <c r="F202" s="1">
        <v>0.13800000000000001</v>
      </c>
      <c r="G202" s="1">
        <v>0.109</v>
      </c>
      <c r="H202" s="1">
        <v>0.06</v>
      </c>
      <c r="I202" s="1">
        <v>5399</v>
      </c>
      <c r="J202" s="1">
        <v>4549</v>
      </c>
      <c r="K202" s="1">
        <v>72</v>
      </c>
      <c r="L202" s="1">
        <v>6424</v>
      </c>
      <c r="M202" s="1">
        <v>6571</v>
      </c>
      <c r="N202" s="1">
        <v>75.5</v>
      </c>
      <c r="O202" s="1">
        <v>96.5</v>
      </c>
      <c r="P202" s="1">
        <v>90.5</v>
      </c>
      <c r="Q202" s="1">
        <v>97</v>
      </c>
      <c r="R202" s="1">
        <v>51</v>
      </c>
      <c r="S202" s="1">
        <v>96</v>
      </c>
      <c r="T202" s="4">
        <v>0</v>
      </c>
      <c r="U202" s="1">
        <v>1.524</v>
      </c>
      <c r="V202" s="1">
        <v>8.2000000000000003E-2</v>
      </c>
      <c r="W202" s="1">
        <v>4.0199999999999996</v>
      </c>
      <c r="X202" s="1">
        <f t="shared" ref="X202" si="4790">H203</f>
        <v>2.9000000000000001E-2</v>
      </c>
      <c r="Y202" s="1">
        <f t="shared" ref="Y202" si="4791">H204</f>
        <v>5.5E-2</v>
      </c>
      <c r="Z202" s="1">
        <f t="shared" ref="Z202" si="4792">H205</f>
        <v>0.03</v>
      </c>
      <c r="AA202" s="1">
        <f t="shared" ref="AA202" si="4793">H206</f>
        <v>0.02</v>
      </c>
      <c r="AB202" s="1">
        <f t="shared" ref="AB202" si="4794">H207</f>
        <v>0.03</v>
      </c>
      <c r="AC202" s="1">
        <f t="shared" si="4641"/>
        <v>3867.1583719483724</v>
      </c>
      <c r="AE202" s="1" t="s">
        <v>96</v>
      </c>
      <c r="AF202" s="1">
        <v>1</v>
      </c>
      <c r="AG202" s="1">
        <v>0.81499999999999995</v>
      </c>
      <c r="AH202" s="1">
        <v>0.64500000000000002</v>
      </c>
      <c r="AI202" s="1">
        <v>0.39500000000000002</v>
      </c>
      <c r="AJ202" s="1">
        <v>0.36</v>
      </c>
      <c r="AK202" s="1">
        <v>0.245</v>
      </c>
      <c r="AL202" s="1">
        <v>0.14499999999999999</v>
      </c>
      <c r="AM202" s="20">
        <v>6.5000000000000002E-2</v>
      </c>
      <c r="AN202" s="1">
        <v>1</v>
      </c>
      <c r="AO202" s="1">
        <v>0.81499999999999995</v>
      </c>
      <c r="AP202" s="1">
        <v>0.64500000000000002</v>
      </c>
      <c r="AQ202" s="1">
        <v>0.39500000000000002</v>
      </c>
      <c r="AR202" s="1">
        <v>0.36</v>
      </c>
      <c r="AS202" s="1">
        <v>0.245</v>
      </c>
      <c r="AT202" s="1">
        <v>0.14499999999999999</v>
      </c>
      <c r="AU202" s="20">
        <v>6.5000000000000002E-2</v>
      </c>
      <c r="AV202" s="1">
        <v>1</v>
      </c>
      <c r="AW202" s="1">
        <v>0.81499999999999995</v>
      </c>
      <c r="AX202" s="1">
        <v>0.64500000000000002</v>
      </c>
      <c r="AY202" s="1">
        <v>0.39500000000000002</v>
      </c>
      <c r="AZ202" s="1">
        <v>0.36</v>
      </c>
      <c r="BA202" s="1">
        <v>0.245</v>
      </c>
      <c r="BB202" s="1">
        <v>0.14499999999999999</v>
      </c>
      <c r="BC202" s="20">
        <v>6.5000000000000002E-2</v>
      </c>
      <c r="BD202" s="1">
        <v>1</v>
      </c>
      <c r="BE202" s="1">
        <v>0.81499999999999995</v>
      </c>
      <c r="BF202" s="1">
        <v>0.64500000000000002</v>
      </c>
      <c r="BG202" s="1">
        <v>0.39500000000000002</v>
      </c>
      <c r="BH202" s="1">
        <v>0.36</v>
      </c>
      <c r="BI202" s="1">
        <v>0.245</v>
      </c>
      <c r="BJ202" s="1">
        <v>0.14499999999999999</v>
      </c>
      <c r="BK202" s="20">
        <v>6.5000000000000002E-2</v>
      </c>
      <c r="BL202" s="1">
        <v>1</v>
      </c>
      <c r="BM202" s="1">
        <v>0.81499999999999995</v>
      </c>
      <c r="BN202" s="1">
        <v>0.64500000000000002</v>
      </c>
      <c r="BO202" s="1">
        <v>0.39500000000000002</v>
      </c>
      <c r="BP202" s="1">
        <v>0.36</v>
      </c>
      <c r="BQ202" s="1">
        <v>0.245</v>
      </c>
      <c r="BR202" s="1">
        <v>0.14499999999999999</v>
      </c>
      <c r="BS202" s="20">
        <v>6.5000000000000002E-2</v>
      </c>
      <c r="BT202" s="1">
        <v>1</v>
      </c>
      <c r="BU202" s="1">
        <v>0.81499999999999995</v>
      </c>
      <c r="BV202" s="1">
        <v>0.64500000000000002</v>
      </c>
      <c r="BW202" s="1">
        <v>0.39500000000000002</v>
      </c>
      <c r="BX202" s="1">
        <v>0.36</v>
      </c>
      <c r="BY202" s="1">
        <v>0.245</v>
      </c>
      <c r="BZ202" s="1">
        <v>0.14499999999999999</v>
      </c>
      <c r="CA202" s="20">
        <v>6.5000000000000002E-2</v>
      </c>
      <c r="CB202" s="1">
        <v>1</v>
      </c>
      <c r="CC202" s="1">
        <v>0.81499999999999995</v>
      </c>
      <c r="CD202" s="1">
        <v>0.64500000000000002</v>
      </c>
      <c r="CE202" s="1">
        <v>0.39500000000000002</v>
      </c>
      <c r="CF202" s="1">
        <v>0.36</v>
      </c>
      <c r="CG202" s="1">
        <v>0.245</v>
      </c>
      <c r="CH202" s="1">
        <v>0.14499999999999999</v>
      </c>
      <c r="CI202" s="20">
        <v>6.5000000000000002E-2</v>
      </c>
      <c r="CJ202" s="1">
        <v>1</v>
      </c>
      <c r="CK202" s="1">
        <v>0.81499999999999995</v>
      </c>
      <c r="CL202" s="1">
        <v>0.64500000000000002</v>
      </c>
      <c r="CM202" s="1">
        <v>0.39500000000000002</v>
      </c>
      <c r="CN202" s="1">
        <v>0.36</v>
      </c>
      <c r="CO202" s="1">
        <v>0.245</v>
      </c>
      <c r="CP202" s="1">
        <v>0.14499999999999999</v>
      </c>
      <c r="CQ202" s="20">
        <v>6.5000000000000002E-2</v>
      </c>
    </row>
    <row r="203" spans="3:160" x14ac:dyDescent="0.4">
      <c r="C203" s="1" t="s">
        <v>43</v>
      </c>
      <c r="D203" s="1" t="s">
        <v>6</v>
      </c>
      <c r="E203" s="1">
        <v>0.20699999999999999</v>
      </c>
      <c r="F203" s="1">
        <v>9.9000000000000005E-2</v>
      </c>
      <c r="G203" s="1">
        <v>0.108</v>
      </c>
      <c r="H203" s="1">
        <v>2.9000000000000001E-2</v>
      </c>
      <c r="I203" s="1">
        <v>5399</v>
      </c>
      <c r="J203" s="1">
        <v>4549</v>
      </c>
      <c r="K203" s="1">
        <v>72</v>
      </c>
      <c r="L203" s="1">
        <v>6424</v>
      </c>
      <c r="M203" s="1">
        <v>6571</v>
      </c>
      <c r="N203" s="1">
        <v>75.5</v>
      </c>
      <c r="O203" s="1">
        <v>96.5</v>
      </c>
      <c r="P203" s="1">
        <v>90.5</v>
      </c>
      <c r="Q203" s="1">
        <v>97</v>
      </c>
      <c r="R203" s="1">
        <v>51</v>
      </c>
      <c r="S203" s="1">
        <v>96</v>
      </c>
      <c r="T203" s="4">
        <v>0</v>
      </c>
      <c r="U203" s="1">
        <v>1.524</v>
      </c>
      <c r="V203" s="1">
        <v>8.2000000000000003E-2</v>
      </c>
      <c r="W203" s="1">
        <v>4.0199999999999996</v>
      </c>
      <c r="X203" s="1">
        <f t="shared" ref="X203" si="4795">H203</f>
        <v>2.9000000000000001E-2</v>
      </c>
      <c r="Y203" s="1">
        <f t="shared" ref="Y203" si="4796">H204</f>
        <v>5.5E-2</v>
      </c>
      <c r="Z203" s="1">
        <f t="shared" ref="Z203" si="4797">H205</f>
        <v>0.03</v>
      </c>
      <c r="AA203" s="1">
        <f t="shared" ref="AA203" si="4798">H206</f>
        <v>0.02</v>
      </c>
      <c r="AB203" s="1">
        <f t="shared" ref="AB203" si="4799">H207</f>
        <v>0.03</v>
      </c>
      <c r="AC203" s="1">
        <f t="shared" si="4641"/>
        <v>3867.1583719483724</v>
      </c>
      <c r="CQ203" s="20"/>
    </row>
    <row r="204" spans="3:160" x14ac:dyDescent="0.4">
      <c r="C204" s="1" t="s">
        <v>43</v>
      </c>
      <c r="D204" s="1" t="s">
        <v>7</v>
      </c>
      <c r="E204" s="1">
        <v>0.24199999999999999</v>
      </c>
      <c r="F204" s="1">
        <v>0.13300000000000001</v>
      </c>
      <c r="G204" s="1">
        <v>0.108</v>
      </c>
      <c r="H204" s="1">
        <v>5.5E-2</v>
      </c>
      <c r="I204" s="1">
        <v>5399</v>
      </c>
      <c r="J204" s="1">
        <v>4549</v>
      </c>
      <c r="K204" s="1">
        <v>72</v>
      </c>
      <c r="L204" s="1">
        <v>6424</v>
      </c>
      <c r="M204" s="1">
        <v>6571</v>
      </c>
      <c r="N204" s="1">
        <v>75.5</v>
      </c>
      <c r="O204" s="1">
        <v>96.5</v>
      </c>
      <c r="P204" s="1">
        <v>90.5</v>
      </c>
      <c r="Q204" s="1">
        <v>97</v>
      </c>
      <c r="R204" s="1">
        <v>51</v>
      </c>
      <c r="S204" s="1">
        <v>96</v>
      </c>
      <c r="T204" s="4">
        <v>0</v>
      </c>
      <c r="U204" s="1">
        <v>1.524</v>
      </c>
      <c r="V204" s="1">
        <v>8.2000000000000003E-2</v>
      </c>
      <c r="W204" s="1">
        <v>4.0199999999999996</v>
      </c>
      <c r="X204" s="1">
        <f t="shared" ref="X204" si="4800">H203</f>
        <v>2.9000000000000001E-2</v>
      </c>
      <c r="Y204" s="1">
        <f t="shared" ref="Y204" si="4801">H204</f>
        <v>5.5E-2</v>
      </c>
      <c r="Z204" s="1">
        <f t="shared" ref="Z204" si="4802">H205</f>
        <v>0.03</v>
      </c>
      <c r="AA204" s="1">
        <f t="shared" ref="AA204" si="4803">H206</f>
        <v>0.02</v>
      </c>
      <c r="AB204" s="1">
        <f t="shared" ref="AB204" si="4804">H207</f>
        <v>0.03</v>
      </c>
      <c r="AC204" s="1">
        <f t="shared" si="4641"/>
        <v>3867.1583719483724</v>
      </c>
      <c r="AE204" s="1" t="s">
        <v>97</v>
      </c>
      <c r="AF204" s="1">
        <v>0</v>
      </c>
      <c r="AG204" s="1">
        <v>0.12</v>
      </c>
      <c r="AH204" s="1">
        <v>0.21</v>
      </c>
      <c r="AI204" s="1">
        <v>0.26</v>
      </c>
      <c r="AJ204" s="1">
        <v>0.28000000000000003</v>
      </c>
      <c r="AK204" s="1">
        <v>0.26</v>
      </c>
      <c r="AL204" s="1">
        <v>0.21</v>
      </c>
      <c r="AM204" s="20">
        <v>0.12</v>
      </c>
      <c r="AN204" s="1">
        <v>0</v>
      </c>
      <c r="AO204" s="1">
        <v>0.12</v>
      </c>
      <c r="AP204" s="1">
        <v>0.21</v>
      </c>
      <c r="AQ204" s="1">
        <v>0.26</v>
      </c>
      <c r="AR204" s="1">
        <v>0.28000000000000003</v>
      </c>
      <c r="AS204" s="1">
        <v>0.26</v>
      </c>
      <c r="AT204" s="1">
        <v>0.21</v>
      </c>
      <c r="AU204" s="20">
        <v>0.12</v>
      </c>
      <c r="AV204" s="1">
        <v>0</v>
      </c>
      <c r="AW204" s="1">
        <v>0.12</v>
      </c>
      <c r="AX204" s="1">
        <v>0.21</v>
      </c>
      <c r="AY204" s="1">
        <v>0.26</v>
      </c>
      <c r="AZ204" s="1">
        <v>0.28000000000000003</v>
      </c>
      <c r="BA204" s="1">
        <v>0.26</v>
      </c>
      <c r="BB204" s="1">
        <v>0.21</v>
      </c>
      <c r="BC204" s="20">
        <v>0.12</v>
      </c>
      <c r="BD204" s="1">
        <v>0</v>
      </c>
      <c r="BE204" s="1">
        <v>0.12</v>
      </c>
      <c r="BF204" s="1">
        <v>0.21</v>
      </c>
      <c r="BG204" s="1">
        <v>0.26</v>
      </c>
      <c r="BH204" s="1">
        <v>0.28000000000000003</v>
      </c>
      <c r="BI204" s="1">
        <v>0.26</v>
      </c>
      <c r="BJ204" s="1">
        <v>0.21</v>
      </c>
      <c r="BK204" s="20">
        <v>0.12</v>
      </c>
      <c r="BL204" s="1">
        <v>0</v>
      </c>
      <c r="BM204" s="1">
        <v>0.12</v>
      </c>
      <c r="BN204" s="1">
        <v>0.21</v>
      </c>
      <c r="BO204" s="1">
        <v>0.26</v>
      </c>
      <c r="BP204" s="1">
        <v>0.28000000000000003</v>
      </c>
      <c r="BQ204" s="1">
        <v>0.26</v>
      </c>
      <c r="BR204" s="1">
        <v>0.21</v>
      </c>
      <c r="BS204" s="20">
        <v>0.12</v>
      </c>
      <c r="BT204" s="1">
        <v>0</v>
      </c>
      <c r="BU204" s="1">
        <v>0.12</v>
      </c>
      <c r="BV204" s="1">
        <v>0.21</v>
      </c>
      <c r="BW204" s="1">
        <v>0.26</v>
      </c>
      <c r="BX204" s="1">
        <v>0.28000000000000003</v>
      </c>
      <c r="BY204" s="1">
        <v>0.26</v>
      </c>
      <c r="BZ204" s="1">
        <v>0.21</v>
      </c>
      <c r="CA204" s="20">
        <v>0.12</v>
      </c>
      <c r="CB204" s="1">
        <v>0</v>
      </c>
      <c r="CC204" s="1">
        <v>0.12</v>
      </c>
      <c r="CD204" s="1">
        <v>0.21</v>
      </c>
      <c r="CE204" s="1">
        <v>0.26</v>
      </c>
      <c r="CF204" s="1">
        <v>0.28000000000000003</v>
      </c>
      <c r="CG204" s="1">
        <v>0.26</v>
      </c>
      <c r="CH204" s="1">
        <v>0.21</v>
      </c>
      <c r="CI204" s="20">
        <v>0.12</v>
      </c>
      <c r="CJ204" s="1">
        <v>0</v>
      </c>
      <c r="CK204" s="1">
        <v>0.12</v>
      </c>
      <c r="CL204" s="1">
        <v>0.21</v>
      </c>
      <c r="CM204" s="1">
        <v>0.26</v>
      </c>
      <c r="CN204" s="1">
        <v>0.28000000000000003</v>
      </c>
      <c r="CO204" s="1">
        <v>0.26</v>
      </c>
      <c r="CP204" s="1">
        <v>0.21</v>
      </c>
      <c r="CQ204" s="20">
        <v>0.12</v>
      </c>
    </row>
    <row r="205" spans="3:160" x14ac:dyDescent="0.4">
      <c r="C205" s="1" t="s">
        <v>43</v>
      </c>
      <c r="D205" s="1" t="s">
        <v>8</v>
      </c>
      <c r="E205" s="1">
        <v>0.20899999999999999</v>
      </c>
      <c r="F205" s="1">
        <v>0.10100000000000001</v>
      </c>
      <c r="G205" s="1">
        <v>0.108</v>
      </c>
      <c r="H205" s="1">
        <v>0.03</v>
      </c>
      <c r="I205" s="1">
        <v>5399</v>
      </c>
      <c r="J205" s="1">
        <v>4549</v>
      </c>
      <c r="K205" s="1">
        <v>72</v>
      </c>
      <c r="L205" s="1">
        <v>6424</v>
      </c>
      <c r="M205" s="1">
        <v>6571</v>
      </c>
      <c r="N205" s="1">
        <v>75.5</v>
      </c>
      <c r="O205" s="1">
        <v>96.5</v>
      </c>
      <c r="P205" s="1">
        <v>90.5</v>
      </c>
      <c r="Q205" s="1">
        <v>97</v>
      </c>
      <c r="R205" s="1">
        <v>51</v>
      </c>
      <c r="S205" s="1">
        <v>96</v>
      </c>
      <c r="T205" s="4">
        <v>0</v>
      </c>
      <c r="U205" s="1">
        <v>1.524</v>
      </c>
      <c r="V205" s="1">
        <v>8.2000000000000003E-2</v>
      </c>
      <c r="W205" s="1">
        <v>4.0199999999999996</v>
      </c>
      <c r="X205" s="1">
        <f t="shared" ref="X205" si="4805">H203</f>
        <v>2.9000000000000001E-2</v>
      </c>
      <c r="Y205" s="1">
        <f t="shared" ref="Y205" si="4806">H204</f>
        <v>5.5E-2</v>
      </c>
      <c r="Z205" s="1">
        <f t="shared" ref="Z205" si="4807">H205</f>
        <v>0.03</v>
      </c>
      <c r="AA205" s="1">
        <f t="shared" ref="AA205" si="4808">H206</f>
        <v>0.02</v>
      </c>
      <c r="AB205" s="1">
        <f t="shared" ref="AB205" si="4809">H207</f>
        <v>0.03</v>
      </c>
      <c r="AC205" s="1">
        <f t="shared" si="4641"/>
        <v>3867.1583719483724</v>
      </c>
      <c r="CQ205" s="20"/>
    </row>
    <row r="206" spans="3:160" x14ac:dyDescent="0.4">
      <c r="C206" s="1" t="s">
        <v>43</v>
      </c>
      <c r="D206" s="1" t="s">
        <v>9</v>
      </c>
      <c r="E206" s="1">
        <v>0.19700000000000001</v>
      </c>
      <c r="F206" s="1">
        <v>0.09</v>
      </c>
      <c r="G206" s="1">
        <v>0.108</v>
      </c>
      <c r="H206" s="1">
        <v>0.02</v>
      </c>
      <c r="I206" s="1">
        <v>5399</v>
      </c>
      <c r="J206" s="1">
        <v>4549</v>
      </c>
      <c r="K206" s="1">
        <v>72</v>
      </c>
      <c r="L206" s="1">
        <v>6424</v>
      </c>
      <c r="M206" s="1">
        <v>6571</v>
      </c>
      <c r="N206" s="1">
        <v>75.5</v>
      </c>
      <c r="O206" s="1">
        <v>96.5</v>
      </c>
      <c r="P206" s="1">
        <v>90.5</v>
      </c>
      <c r="Q206" s="1">
        <v>97</v>
      </c>
      <c r="R206" s="1">
        <v>51</v>
      </c>
      <c r="S206" s="1">
        <v>96</v>
      </c>
      <c r="T206" s="4">
        <v>0</v>
      </c>
      <c r="U206" s="1">
        <v>1.524</v>
      </c>
      <c r="V206" s="1">
        <v>8.2000000000000003E-2</v>
      </c>
      <c r="W206" s="1">
        <v>4.0199999999999996</v>
      </c>
      <c r="X206" s="1">
        <f t="shared" ref="X206" si="4810">H203</f>
        <v>2.9000000000000001E-2</v>
      </c>
      <c r="Y206" s="1">
        <f t="shared" ref="Y206" si="4811">H204</f>
        <v>5.5E-2</v>
      </c>
      <c r="Z206" s="1">
        <f t="shared" ref="Z206" si="4812">H205</f>
        <v>0.03</v>
      </c>
      <c r="AA206" s="1">
        <f t="shared" ref="AA206" si="4813">H206</f>
        <v>0.02</v>
      </c>
      <c r="AB206" s="1">
        <f t="shared" ref="AB206" si="4814">H207</f>
        <v>0.03</v>
      </c>
      <c r="AC206" s="1">
        <f t="shared" si="4641"/>
        <v>3867.1583719483724</v>
      </c>
      <c r="AE206" s="1" t="s">
        <v>98</v>
      </c>
      <c r="AF206" s="1">
        <v>0</v>
      </c>
      <c r="AG206" s="1">
        <v>6.5000000000000002E-2</v>
      </c>
      <c r="AH206" s="1">
        <v>0.14499999999999999</v>
      </c>
      <c r="AI206" s="1">
        <v>0.245</v>
      </c>
      <c r="AJ206" s="1">
        <v>0.36</v>
      </c>
      <c r="AK206" s="1">
        <v>0.39500000000000002</v>
      </c>
      <c r="AL206" s="1">
        <v>0.64500000000000002</v>
      </c>
      <c r="AM206" s="20">
        <v>0.81499999999999995</v>
      </c>
      <c r="AN206" s="1">
        <v>0</v>
      </c>
      <c r="AO206" s="1">
        <v>6.5000000000000002E-2</v>
      </c>
      <c r="AP206" s="1">
        <v>0.14499999999999999</v>
      </c>
      <c r="AQ206" s="1">
        <v>0.245</v>
      </c>
      <c r="AR206" s="1">
        <v>0.36</v>
      </c>
      <c r="AS206" s="1">
        <v>0.39500000000000002</v>
      </c>
      <c r="AT206" s="1">
        <v>0.64500000000000002</v>
      </c>
      <c r="AU206" s="20">
        <v>0.81499999999999995</v>
      </c>
      <c r="AV206" s="1">
        <v>0</v>
      </c>
      <c r="AW206" s="1">
        <v>6.5000000000000002E-2</v>
      </c>
      <c r="AX206" s="1">
        <v>0.14499999999999999</v>
      </c>
      <c r="AY206" s="1">
        <v>0.245</v>
      </c>
      <c r="AZ206" s="1">
        <v>0.36</v>
      </c>
      <c r="BA206" s="1">
        <v>0.39500000000000002</v>
      </c>
      <c r="BB206" s="1">
        <v>0.64500000000000002</v>
      </c>
      <c r="BC206" s="20">
        <v>0.81499999999999995</v>
      </c>
      <c r="BD206" s="1">
        <v>0</v>
      </c>
      <c r="BE206" s="1">
        <v>6.5000000000000002E-2</v>
      </c>
      <c r="BF206" s="1">
        <v>0.14499999999999999</v>
      </c>
      <c r="BG206" s="1">
        <v>0.245</v>
      </c>
      <c r="BH206" s="1">
        <v>0.36</v>
      </c>
      <c r="BI206" s="1">
        <v>0.39500000000000002</v>
      </c>
      <c r="BJ206" s="1">
        <v>0.64500000000000002</v>
      </c>
      <c r="BK206" s="20">
        <v>0.81499999999999995</v>
      </c>
      <c r="BL206" s="1">
        <v>0</v>
      </c>
      <c r="BM206" s="1">
        <v>6.5000000000000002E-2</v>
      </c>
      <c r="BN206" s="1">
        <v>0.14499999999999999</v>
      </c>
      <c r="BO206" s="1">
        <v>0.245</v>
      </c>
      <c r="BP206" s="1">
        <v>0.36</v>
      </c>
      <c r="BQ206" s="1">
        <v>0.39500000000000002</v>
      </c>
      <c r="BR206" s="1">
        <v>0.64500000000000002</v>
      </c>
      <c r="BS206" s="20">
        <v>0.81499999999999995</v>
      </c>
      <c r="BT206" s="1">
        <v>0</v>
      </c>
      <c r="BU206" s="1">
        <v>6.5000000000000002E-2</v>
      </c>
      <c r="BV206" s="1">
        <v>0.14499999999999999</v>
      </c>
      <c r="BW206" s="1">
        <v>0.245</v>
      </c>
      <c r="BX206" s="1">
        <v>0.36</v>
      </c>
      <c r="BY206" s="1">
        <v>0.39500000000000002</v>
      </c>
      <c r="BZ206" s="1">
        <v>0.64500000000000002</v>
      </c>
      <c r="CA206" s="20">
        <v>0.81499999999999995</v>
      </c>
      <c r="CB206" s="1">
        <v>0</v>
      </c>
      <c r="CC206" s="1">
        <v>6.5000000000000002E-2</v>
      </c>
      <c r="CD206" s="1">
        <v>0.14499999999999999</v>
      </c>
      <c r="CE206" s="1">
        <v>0.245</v>
      </c>
      <c r="CF206" s="1">
        <v>0.36</v>
      </c>
      <c r="CG206" s="1">
        <v>0.39500000000000002</v>
      </c>
      <c r="CH206" s="1">
        <v>0.64500000000000002</v>
      </c>
      <c r="CI206" s="20">
        <v>0.81499999999999995</v>
      </c>
      <c r="CJ206" s="1">
        <v>0</v>
      </c>
      <c r="CK206" s="1">
        <v>6.5000000000000002E-2</v>
      </c>
      <c r="CL206" s="1">
        <v>0.14499999999999999</v>
      </c>
      <c r="CM206" s="1">
        <v>0.245</v>
      </c>
      <c r="CN206" s="1">
        <v>0.36</v>
      </c>
      <c r="CO206" s="1">
        <v>0.39500000000000002</v>
      </c>
      <c r="CP206" s="1">
        <v>0.64500000000000002</v>
      </c>
      <c r="CQ206" s="20">
        <v>0.81499999999999995</v>
      </c>
    </row>
    <row r="207" spans="3:160" s="2" customFormat="1" x14ac:dyDescent="0.4">
      <c r="C207" s="2" t="s">
        <v>43</v>
      </c>
      <c r="D207" s="2" t="s">
        <v>10</v>
      </c>
      <c r="E207" s="2">
        <v>0.20899999999999999</v>
      </c>
      <c r="F207" s="2">
        <v>0.10100000000000001</v>
      </c>
      <c r="G207" s="2">
        <v>0.108</v>
      </c>
      <c r="H207" s="2">
        <v>0.03</v>
      </c>
      <c r="I207" s="2">
        <v>5399</v>
      </c>
      <c r="J207" s="2">
        <v>4549</v>
      </c>
      <c r="K207" s="2">
        <v>72</v>
      </c>
      <c r="L207" s="2">
        <v>6424</v>
      </c>
      <c r="M207" s="2">
        <v>6571</v>
      </c>
      <c r="N207" s="2">
        <v>75.5</v>
      </c>
      <c r="O207" s="2">
        <v>96.5</v>
      </c>
      <c r="P207" s="2">
        <v>90.5</v>
      </c>
      <c r="Q207" s="2">
        <v>97</v>
      </c>
      <c r="R207" s="2">
        <v>51</v>
      </c>
      <c r="S207" s="2">
        <v>96</v>
      </c>
      <c r="T207" s="6">
        <f t="shared" si="4182"/>
        <v>6726.5031496865249</v>
      </c>
      <c r="U207" s="2">
        <v>1.524</v>
      </c>
      <c r="V207" s="2">
        <v>8.2000000000000003E-2</v>
      </c>
      <c r="W207" s="2">
        <v>4.0199999999999996</v>
      </c>
      <c r="X207" s="2">
        <f t="shared" ref="X207" si="4815">H203</f>
        <v>2.9000000000000001E-2</v>
      </c>
      <c r="Y207" s="2">
        <f t="shared" ref="Y207" si="4816">H204</f>
        <v>5.5E-2</v>
      </c>
      <c r="Z207" s="2">
        <f t="shared" ref="Z207" si="4817">H205</f>
        <v>0.03</v>
      </c>
      <c r="AA207" s="2">
        <f t="shared" ref="AA207" si="4818">H206</f>
        <v>0.02</v>
      </c>
      <c r="AB207" s="2">
        <f t="shared" ref="AB207" si="4819">H207</f>
        <v>0.03</v>
      </c>
      <c r="AC207" s="1">
        <f t="shared" si="4641"/>
        <v>3867.1583719483724</v>
      </c>
      <c r="AE207" s="2" t="s">
        <v>99</v>
      </c>
      <c r="AF207" s="23">
        <f>($O207*$Q207*$S207)^(1/3)/(AF202*((1-AF$2)*$H202+AF$2*$H203) + AF204*((1-AF$2)*$H204+AF$2*$H205) + AF206*((1-AF$2)*$H206+AF$2*$H207))</f>
        <v>1608.318940573562</v>
      </c>
      <c r="AG207" s="23">
        <f t="shared" ref="AG207" si="4820">($O207*$Q207*$S207)^(1/3)/(AG202*((1-AG$2)*$H202+AG$2*$H203) + AG204*((1-AG$2)*$H204+AG$2*$H205) + AG206*((1-AG$2)*$H206+AG$2*$H207))</f>
        <v>1698.9284583523543</v>
      </c>
      <c r="AH207" s="23">
        <f t="shared" ref="AH207" si="4821">($O207*$Q207*$S207)^(1/3)/(AH202*((1-AH$2)*$H202+AH$2*$H203) + AH204*((1-AH$2)*$H204+AH$2*$H205) + AH206*((1-AH$2)*$H206+AH$2*$H207))</f>
        <v>1815.5999329146514</v>
      </c>
      <c r="AI207" s="23">
        <f t="shared" ref="AI207" si="4822">($O207*$Q207*$S207)^(1/3)/(AI202*((1-AI$2)*$H202+AI$2*$H203) + AI204*((1-AI$2)*$H204+AI$2*$H205) + AI206*((1-AI$2)*$H206+AI$2*$H207))</f>
        <v>2249.3971196833031</v>
      </c>
      <c r="AJ207" s="23">
        <f t="shared" ref="AJ207" si="4823">($O207*$Q207*$S207)^(1/3)/(AJ202*((1-AJ$2)*$H202+AJ$2*$H203) + AJ204*((1-AJ$2)*$H204+AJ$2*$H205) + AJ206*((1-AJ$2)*$H206+AJ$2*$H207))</f>
        <v>2183.2383808690888</v>
      </c>
      <c r="AK207" s="23">
        <f t="shared" ref="AK207" si="4824">($O207*$Q207*$S207)^(1/3)/(AK202*((1-AK$2)*$H202+AK$2*$H203) + AK204*((1-AK$2)*$H204+AK$2*$H205) + AK206*((1-AK$2)*$H206+AK$2*$H207))</f>
        <v>2615.1527489001005</v>
      </c>
      <c r="AL207" s="23">
        <f t="shared" ref="AL207" si="4825">($O207*$Q207*$S207)^(1/3)/(AL202*((1-AL$2)*$H202+AL$2*$H203) + AL204*((1-AL$2)*$H204+AL$2*$H205) + AL206*((1-AL$2)*$H206+AL$2*$H207))</f>
        <v>2910.9845078254516</v>
      </c>
      <c r="AM207" s="23">
        <f t="shared" ref="AM207" si="4826">($O207*$Q207*$S207)^(1/3)/(AM202*((1-AM$2)*$H202+AM$2*$H203) + AM204*((1-AM$2)*$H204+AM$2*$H205) + AM206*((1-AM$2)*$H206+AM$2*$H207))</f>
        <v>3600.7140460602136</v>
      </c>
      <c r="AN207" s="23">
        <f t="shared" ref="AN207" si="4827">($O207*$Q207*$S207)^(1/3)/(AN202*((1-AN$2)*$H202+AN$2*$H203) + AN204*((1-AN$2)*$H204+AN$2*$H205) + AN206*((1-AN$2)*$H206+AN$2*$H207))</f>
        <v>1719.3610055129391</v>
      </c>
      <c r="AO207" s="23">
        <f t="shared" ref="AO207" si="4828">($O207*$Q207*$S207)^(1/3)/(AO202*((1-AO$2)*$H202+AO$2*$H203) + AO204*((1-AO$2)*$H204+AO$2*$H205) + AO206*((1-AO$2)*$H206+AO$2*$H207))</f>
        <v>1808.8571329247975</v>
      </c>
      <c r="AP207" s="23">
        <f t="shared" ref="AP207" si="4829">($O207*$Q207*$S207)^(1/3)/(AP202*((1-AP$2)*$H202+AP$2*$H203) + AP204*((1-AP$2)*$H204+AP$2*$H205) + AP206*((1-AP$2)*$H206+AP$2*$H207))</f>
        <v>1923.2273924722156</v>
      </c>
      <c r="AQ207" s="23">
        <f t="shared" ref="AQ207" si="4830">($O207*$Q207*$S207)^(1/3)/(AQ202*((1-AQ$2)*$H202+AQ$2*$H203) + AQ204*((1-AQ$2)*$H204+AQ$2*$H205) + AQ206*((1-AQ$2)*$H206+AQ$2*$H207))</f>
        <v>2361.5212109796717</v>
      </c>
      <c r="AR207" s="23">
        <f t="shared" ref="AR207" si="4831">($O207*$Q207*$S207)^(1/3)/(AR202*((1-AR$2)*$H202+AR$2*$H203) + AR204*((1-AR$2)*$H204+AR$2*$H205) + AR206*((1-AR$2)*$H206+AR$2*$H207))</f>
        <v>2276.9970843419942</v>
      </c>
      <c r="AS207" s="23">
        <f t="shared" ref="AS207" si="4832">($O207*$Q207*$S207)^(1/3)/(AS202*((1-AS$2)*$H202+AS$2*$H203) + AS204*((1-AS$2)*$H204+AS$2*$H205) + AS206*((1-AS$2)*$H206+AS$2*$H207))</f>
        <v>2708.2250494652249</v>
      </c>
      <c r="AT207" s="23">
        <f t="shared" ref="AT207" si="4833">($O207*$Q207*$S207)^(1/3)/(AT202*((1-AT$2)*$H202+AT$2*$H203) + AT204*((1-AT$2)*$H204+AT$2*$H205) + AT206*((1-AT$2)*$H206+AT$2*$H207))</f>
        <v>2947.6073059899954</v>
      </c>
      <c r="AU207" s="23">
        <f t="shared" ref="AU207" si="4834">($O207*$Q207*$S207)^(1/3)/(AU202*((1-AU$2)*$H202+AU$2*$H203) + AU204*((1-AU$2)*$H204+AU$2*$H205) + AU206*((1-AU$2)*$H206+AU$2*$H207))</f>
        <v>3548.822449147538</v>
      </c>
      <c r="AV207" s="23">
        <f t="shared" ref="AV207" si="4835">($O207*$Q207*$S207)^(1/3)/(AV202*((1-AV$2)*$H202+AV$2*$H203) + AV204*((1-AV$2)*$H204+AV$2*$H205) + AV206*((1-AV$2)*$H206+AV$2*$H207))</f>
        <v>1846.8734245820808</v>
      </c>
      <c r="AW207" s="23">
        <f t="shared" ref="AW207" si="4836">($O207*$Q207*$S207)^(1/3)/(AW202*((1-AW$2)*$H202+AW$2*$H203) + AW204*((1-AW$2)*$H204+AW$2*$H205) + AW206*((1-AW$2)*$H206+AW$2*$H207))</f>
        <v>1933.9957699108395</v>
      </c>
      <c r="AX207" s="23">
        <f t="shared" ref="AX207" si="4837">($O207*$Q207*$S207)^(1/3)/(AX202*((1-AX$2)*$H202+AX$2*$H203) + AX204*((1-AX$2)*$H204+AX$2*$H205) + AX206*((1-AX$2)*$H206+AX$2*$H207))</f>
        <v>2044.4190870880266</v>
      </c>
      <c r="AY207" s="23">
        <f t="shared" ref="AY207" si="4838">($O207*$Q207*$S207)^(1/3)/(AY202*((1-AY$2)*$H202+AY$2*$H203) + AY204*((1-AY$2)*$H204+AY$2*$H205) + AY206*((1-AY$2)*$H206+AY$2*$H207))</f>
        <v>2485.4096502859197</v>
      </c>
      <c r="AZ207" s="23">
        <f t="shared" ref="AZ207" si="4839">($O207*$Q207*$S207)^(1/3)/(AZ202*((1-AZ$2)*$H202+AZ$2*$H203) + AZ204*((1-AZ$2)*$H204+AZ$2*$H205) + AZ206*((1-AZ$2)*$H206+AZ$2*$H207))</f>
        <v>2379.170030434263</v>
      </c>
      <c r="BA207" s="23">
        <f t="shared" ref="BA207" si="4840">($O207*$Q207*$S207)^(1/3)/(BA202*((1-BA$2)*$H202+BA$2*$H203) + BA204*((1-BA$2)*$H204+BA$2*$H205) + BA206*((1-BA$2)*$H206+BA$2*$H207))</f>
        <v>2808.1666417202346</v>
      </c>
      <c r="BB207" s="23">
        <f t="shared" ref="BB207" si="4841">($O207*$Q207*$S207)^(1/3)/(BB202*((1-BB$2)*$H202+BB$2*$H203) + BB204*((1-BB$2)*$H204+BB$2*$H205) + BB206*((1-BB$2)*$H206+BB$2*$H207))</f>
        <v>2985.1633404559361</v>
      </c>
      <c r="BC207" s="23">
        <f t="shared" ref="BC207" si="4842">($O207*$Q207*$S207)^(1/3)/(BC202*((1-BC$2)*$H202+BC$2*$H203) + BC204*((1-BC$2)*$H204+BC$2*$H205) + BC206*((1-BC$2)*$H206+BC$2*$H207))</f>
        <v>3498.405272467076</v>
      </c>
      <c r="BD207" s="23">
        <f t="shared" ref="BD207" si="4843">($O207*$Q207*$S207)^(1/3)/(BD202*((1-BD$2)*$H202+BD$2*$H203) + BD204*((1-BD$2)*$H204+BD$2*$H205) + BD206*((1-BD$2)*$H206+BD$2*$H207))</f>
        <v>1994.8141898586814</v>
      </c>
      <c r="BE207" s="23">
        <f t="shared" ref="BE207" si="4844">($O207*$Q207*$S207)^(1/3)/(BE202*((1-BE$2)*$H202+BE$2*$H203) + BE204*((1-BE$2)*$H204+BE$2*$H205) + BE206*((1-BE$2)*$H206+BE$2*$H207))</f>
        <v>2077.7357093170858</v>
      </c>
      <c r="BF207" s="23">
        <f t="shared" ref="BF207" si="4845">($O207*$Q207*$S207)^(1/3)/(BF202*((1-BF$2)*$H202+BF$2*$H203) + BF204*((1-BF$2)*$H204+BF$2*$H205) + BF206*((1-BF$2)*$H206+BF$2*$H207))</f>
        <v>2181.9117094394232</v>
      </c>
      <c r="BG207" s="23">
        <f t="shared" ref="BG207" si="4846">($O207*$Q207*$S207)^(1/3)/(BG202*((1-BG$2)*$H202+BG$2*$H203) + BG204*((1-BG$2)*$H204+BG$2*$H205) + BG206*((1-BG$2)*$H206+BG$2*$H207))</f>
        <v>2623.0164669667183</v>
      </c>
      <c r="BH207" s="23">
        <f t="shared" ref="BH207" si="4847">($O207*$Q207*$S207)^(1/3)/(BH202*((1-BH$2)*$H202+BH$2*$H203) + BH204*((1-BH$2)*$H204+BH$2*$H205) + BH206*((1-BH$2)*$H206+BH$2*$H207))</f>
        <v>2490.9431191123826</v>
      </c>
      <c r="BI207" s="23">
        <f t="shared" ref="BI207" si="4848">($O207*$Q207*$S207)^(1/3)/(BI202*((1-BI$2)*$H202+BI$2*$H203) + BI204*((1-BI$2)*$H204+BI$2*$H205) + BI206*((1-BI$2)*$H206+BI$2*$H207))</f>
        <v>2915.7671575748668</v>
      </c>
      <c r="BJ207" s="23">
        <f t="shared" ref="BJ207" si="4849">($O207*$Q207*$S207)^(1/3)/(BJ202*((1-BJ$2)*$H202+BJ$2*$H203) + BJ204*((1-BJ$2)*$H204+BJ$2*$H205) + BJ206*((1-BJ$2)*$H206+BJ$2*$H207))</f>
        <v>3023.6887432203735</v>
      </c>
      <c r="BK207" s="23">
        <f t="shared" ref="BK207" si="4850">($O207*$Q207*$S207)^(1/3)/(BK202*((1-BK$2)*$H202+BK$2*$H203) + BK204*((1-BK$2)*$H204+BK$2*$H205) + BK206*((1-BK$2)*$H206+BK$2*$H207))</f>
        <v>3449.4005561775198</v>
      </c>
      <c r="BL207" s="23">
        <f t="shared" ref="BL207" si="4851">($O207*$Q207*$S207)^(1/3)/(BL202*((1-BL$2)*$H202+BL$2*$H203) + BL204*((1-BL$2)*$H204+BL$2*$H205) + BL206*((1-BL$2)*$H206+BL$2*$H207))</f>
        <v>2168.5199198744654</v>
      </c>
      <c r="BM207" s="23">
        <f t="shared" ref="BM207" si="4852">($O207*$Q207*$S207)^(1/3)/(BM202*((1-BM$2)*$H202+BM$2*$H203) + BM204*((1-BM$2)*$H204+BM$2*$H205) + BM206*((1-BM$2)*$H206+BM$2*$H207))</f>
        <v>2244.5574561705816</v>
      </c>
      <c r="BN207" s="23">
        <f t="shared" ref="BN207" si="4853">($O207*$Q207*$S207)^(1/3)/(BN202*((1-BN$2)*$H202+BN$2*$H203) + BN204*((1-BN$2)*$H204+BN$2*$H205) + BN206*((1-BN$2)*$H206+BN$2*$H207))</f>
        <v>2339.2312328807639</v>
      </c>
      <c r="BO207" s="23">
        <f t="shared" ref="BO207" si="4854">($O207*$Q207*$S207)^(1/3)/(BO202*((1-BO$2)*$H202+BO$2*$H203) + BO204*((1-BO$2)*$H204+BO$2*$H205) + BO206*((1-BO$2)*$H206+BO$2*$H207))</f>
        <v>2776.753799997517</v>
      </c>
      <c r="BP207" s="23">
        <f t="shared" ref="BP207" si="4855">($O207*$Q207*$S207)^(1/3)/(BP202*((1-BP$2)*$H202+BP$2*$H203) + BP204*((1-BP$2)*$H204+BP$2*$H205) + BP206*((1-BP$2)*$H206+BP$2*$H207))</f>
        <v>2613.7360897728522</v>
      </c>
      <c r="BQ207" s="23">
        <f t="shared" ref="BQ207" si="4856">($O207*$Q207*$S207)^(1/3)/(BQ202*((1-BQ$2)*$H202+BQ$2*$H203) + BQ204*((1-BQ$2)*$H204+BQ$2*$H205) + BQ206*((1-BQ$2)*$H206+BQ$2*$H207))</f>
        <v>3031.9420763306484</v>
      </c>
      <c r="BR207" s="23">
        <f t="shared" ref="BR207" si="4857">($O207*$Q207*$S207)^(1/3)/(BR202*((1-BR$2)*$H202+BR$2*$H203) + BR204*((1-BR$2)*$H204+BR$2*$H205) + BR206*((1-BR$2)*$H206+BR$2*$H207))</f>
        <v>3063.2215358912372</v>
      </c>
      <c r="BS207" s="23">
        <f t="shared" ref="BS207" si="4858">($O207*$Q207*$S207)^(1/3)/(BS202*((1-BS$2)*$H202+BS$2*$H203) + BS204*((1-BS$2)*$H204+BS$2*$H205) + BS206*((1-BS$2)*$H206+BS$2*$H207))</f>
        <v>3401.7497641460727</v>
      </c>
      <c r="BT207" s="23">
        <f t="shared" ref="BT207" si="4859">($O207*$Q207*$S207)^(1/3)/(BT202*((1-BT$2)*$H202+BT$2*$H203) + BT204*((1-BT$2)*$H204+BT$2*$H205) + BT206*((1-BT$2)*$H206+BT$2*$H207))</f>
        <v>2375.3633583855681</v>
      </c>
      <c r="BU207" s="23">
        <f t="shared" ref="BU207" si="4860">($O207*$Q207*$S207)^(1/3)/(BU202*((1-BU$2)*$H202+BU$2*$H203) + BU204*((1-BU$2)*$H204+BU$2*$H205) + BU206*((1-BU$2)*$H206+BU$2*$H207))</f>
        <v>2440.506098080486</v>
      </c>
      <c r="BV207" s="23">
        <f t="shared" ref="BV207" si="4861">($O207*$Q207*$S207)^(1/3)/(BV202*((1-BV$2)*$H202+BV$2*$H203) + BV204*((1-BV$2)*$H204+BV$2*$H205) + BV206*((1-BV$2)*$H206+BV$2*$H207))</f>
        <v>2520.9995639654171</v>
      </c>
      <c r="BW207" s="23">
        <f t="shared" ref="BW207" si="4862">($O207*$Q207*$S207)^(1/3)/(BW202*((1-BW$2)*$H202+BW$2*$H203) + BW204*((1-BW$2)*$H204+BW$2*$H205) + BW206*((1-BW$2)*$H206+BW$2*$H207))</f>
        <v>2949.634507499512</v>
      </c>
      <c r="BX207" s="23">
        <f t="shared" ref="BX207" si="4863">($O207*$Q207*$S207)^(1/3)/(BX202*((1-BX$2)*$H202+BX$2*$H203) + BX204*((1-BX$2)*$H204+BX$2*$H205) + BX206*((1-BX$2)*$H206+BX$2*$H207))</f>
        <v>2749.263146279593</v>
      </c>
      <c r="BY207" s="23">
        <f t="shared" ref="BY207" si="4864">($O207*$Q207*$S207)^(1/3)/(BY202*((1-BY$2)*$H202+BY$2*$H203) + BY204*((1-BY$2)*$H204+BY$2*$H205) + BY206*((1-BY$2)*$H206+BY$2*$H207))</f>
        <v>3157.7588361808353</v>
      </c>
      <c r="BZ207" s="23">
        <f t="shared" ref="BZ207" si="4865">($O207*$Q207*$S207)^(1/3)/(BZ202*((1-BZ$2)*$H202+BZ$2*$H203) + BZ204*((1-BZ$2)*$H204+BZ$2*$H205) + BZ206*((1-BZ$2)*$H206+BZ$2*$H207))</f>
        <v>3103.8017548509793</v>
      </c>
      <c r="CA207" s="23">
        <f t="shared" ref="CA207" si="4866">($O207*$Q207*$S207)^(1/3)/(CA202*((1-CA$2)*$H202+CA$2*$H203) + CA204*((1-CA$2)*$H204+CA$2*$H205) + CA206*((1-CA$2)*$H206+CA$2*$H207))</f>
        <v>3355.3975506913389</v>
      </c>
      <c r="CB207" s="23">
        <f t="shared" ref="CB207" si="4867">($O207*$Q207*$S207)^(1/3)/(CB202*((1-CB$2)*$H202+CB$2*$H203) + CB204*((1-CB$2)*$H204+CB$2*$H205) + CB206*((1-CB$2)*$H206+CB$2*$H207))</f>
        <v>2625.8268417527538</v>
      </c>
      <c r="CC207" s="23">
        <f t="shared" ref="CC207" si="4868">($O207*$Q207*$S207)^(1/3)/(CC202*((1-CC$2)*$H202+CC$2*$H203) + CC204*((1-CC$2)*$H204+CC$2*$H205) + CC206*((1-CC$2)*$H206+CC$2*$H207))</f>
        <v>2673.9395638367555</v>
      </c>
      <c r="CD207" s="23">
        <f t="shared" ref="CD207" si="4869">($O207*$Q207*$S207)^(1/3)/(CD202*((1-CD$2)*$H202+CD$2*$H203) + CD204*((1-CD$2)*$H204+CD$2*$H205) + CD206*((1-CD$2)*$H206+CD$2*$H207))</f>
        <v>2733.3962095928537</v>
      </c>
      <c r="CE207" s="23">
        <f t="shared" ref="CE207" si="4870">($O207*$Q207*$S207)^(1/3)/(CE202*((1-CE$2)*$H202+CE$2*$H203) + CE204*((1-CE$2)*$H204+CE$2*$H205) + CE206*((1-CE$2)*$H206+CE$2*$H207))</f>
        <v>3145.4715865025041</v>
      </c>
      <c r="CF207" s="23">
        <f t="shared" ref="CF207" si="4871">($O207*$Q207*$S207)^(1/3)/(CF202*((1-CF$2)*$H202+CF$2*$H203) + CF204*((1-CF$2)*$H204+CF$2*$H205) + CF206*((1-CF$2)*$H206+CF$2*$H207))</f>
        <v>2899.6134745917579</v>
      </c>
      <c r="CG207" s="23">
        <f t="shared" ref="CG207" si="4872">($O207*$Q207*$S207)^(1/3)/(CG202*((1-CG$2)*$H202+CG$2*$H203) + CG204*((1-CG$2)*$H204+CG$2*$H205) + CG206*((1-CG$2)*$H206+CG$2*$H207))</f>
        <v>3294.4697284825234</v>
      </c>
      <c r="CH207" s="23">
        <f t="shared" ref="CH207" si="4873">($O207*$Q207*$S207)^(1/3)/(CH202*((1-CH$2)*$H202+CH$2*$H203) + CH204*((1-CH$2)*$H204+CH$2*$H205) + CH206*((1-CH$2)*$H206+CH$2*$H207))</f>
        <v>3145.471586502505</v>
      </c>
      <c r="CI207" s="23">
        <f t="shared" ref="CI207" si="4874">($O207*$Q207*$S207)^(1/3)/(CI202*((1-CI$2)*$H202+CI$2*$H203) + CI204*((1-CI$2)*$H204+CI$2*$H205) + CI206*((1-CI$2)*$H206+CI$2*$H207))</f>
        <v>3310.2915461400016</v>
      </c>
      <c r="CJ207" s="23">
        <f t="shared" ref="CJ207" si="4875">($O207*$Q207*$S207)^(1/3)/(CJ202*((1-CJ$2)*$H202+CJ$2*$H203) + CJ204*((1-CJ$2)*$H204+CJ$2*$H205) + CJ206*((1-CJ$2)*$H206+CJ$2*$H207))</f>
        <v>2935.334948575322</v>
      </c>
      <c r="CK207" s="23">
        <f t="shared" ref="CK207" si="4876">($O207*$Q207*$S207)^(1/3)/(CK202*((1-CK$2)*$H202+CK$2*$H203) + CK204*((1-CK$2)*$H204+CK$2*$H205) + CK206*((1-CK$2)*$H206+CK$2*$H207))</f>
        <v>2956.751724373541</v>
      </c>
      <c r="CL207" s="23">
        <f t="shared" ref="CL207" si="4877">($O207*$Q207*$S207)^(1/3)/(CL202*((1-CL$2)*$H202+CL$2*$H203) + CL204*((1-CL$2)*$H204+CL$2*$H205) + CL206*((1-CL$2)*$H206+CL$2*$H207))</f>
        <v>2984.8747906327826</v>
      </c>
      <c r="CM207" s="23">
        <f t="shared" ref="CM207" si="4878">($O207*$Q207*$S207)^(1/3)/(CM202*((1-CM$2)*$H202+CM$2*$H203) + CM204*((1-CM$2)*$H204+CM$2*$H205) + CM206*((1-CM$2)*$H206+CM$2*$H207))</f>
        <v>3369.1626834630661</v>
      </c>
      <c r="CN207" s="23">
        <f t="shared" ref="CN207" si="4879">($O207*$Q207*$S207)^(1/3)/(CN202*((1-CN$2)*$H202+CN$2*$H203) + CN204*((1-CN$2)*$H204+CN$2*$H205) + CN206*((1-CN$2)*$H206+CN$2*$H207))</f>
        <v>3067.3597086590498</v>
      </c>
      <c r="CO207" s="23">
        <f t="shared" ref="CO207" si="4880">($O207*$Q207*$S207)^(1/3)/(CO202*((1-CO$2)*$H202+CO$2*$H203) + CO204*((1-CO$2)*$H204+CO$2*$H205) + CO206*((1-CO$2)*$H206+CO$2*$H207))</f>
        <v>3443.5537233771647</v>
      </c>
      <c r="CP207" s="23">
        <f t="shared" ref="CP207" si="4881">($O207*$Q207*$S207)^(1/3)/(CP202*((1-CP$2)*$H202+CP$2*$H203) + CP204*((1-CP$2)*$H204+CP$2*$H205) + CP206*((1-CP$2)*$H206+CP$2*$H207))</f>
        <v>3188.2755135577663</v>
      </c>
      <c r="CQ207" s="23">
        <f t="shared" ref="CQ207" si="4882">($O207*$Q207*$S207)^(1/3)/(CQ202*((1-CQ$2)*$H202+CQ$2*$H203) + CQ204*((1-CQ$2)*$H204+CQ$2*$H205) + CQ206*((1-CQ$2)*$H206+CQ$2*$H207))</f>
        <v>3266.3821594504211</v>
      </c>
      <c r="CS207" s="2">
        <f t="shared" ref="CS207" si="4883">100*$AF207/AF207</f>
        <v>100</v>
      </c>
      <c r="CT207" s="2">
        <f t="shared" ref="CT207" si="4884">100*$AF207/AG207</f>
        <v>94.666666666666671</v>
      </c>
      <c r="CU207" s="2">
        <f t="shared" ref="CU207" si="4885">100*$AF207/AH207</f>
        <v>88.583333333333329</v>
      </c>
      <c r="CV207" s="2">
        <f t="shared" ref="CV207" si="4886">100*$AF207/AI207</f>
        <v>71.500000000000014</v>
      </c>
      <c r="CW207" s="2">
        <f t="shared" ref="CW207" si="4887">100*$AF207/AJ207</f>
        <v>73.666666666666657</v>
      </c>
      <c r="CX207" s="2">
        <f t="shared" ref="CX207" si="4888">100*$AF207/AK207</f>
        <v>61.500000000000007</v>
      </c>
      <c r="CY207" s="2">
        <f t="shared" ref="CY207" si="4889">100*$AF207/AL207</f>
        <v>55.25</v>
      </c>
      <c r="CZ207" s="2">
        <f t="shared" ref="CZ207" si="4890">100*$AF207/AM207</f>
        <v>44.666666666666664</v>
      </c>
      <c r="DA207" s="2">
        <f t="shared" ref="DA207" si="4891">100*$AF207/AN207</f>
        <v>93.541666666666686</v>
      </c>
      <c r="DB207" s="2">
        <f t="shared" ref="DB207" si="4892">100*$AF207/AO207</f>
        <v>88.913541666666674</v>
      </c>
      <c r="DC207" s="2">
        <f t="shared" ref="DC207" si="4893">100*$AF207/AP207</f>
        <v>83.62604166666668</v>
      </c>
      <c r="DD207" s="2">
        <f t="shared" ref="DD207" si="4894">100*$AF207/AQ207</f>
        <v>68.105208333333351</v>
      </c>
      <c r="DE207" s="2">
        <f t="shared" ref="DE207" si="4895">100*$AF207/AR207</f>
        <v>70.63333333333334</v>
      </c>
      <c r="DF207" s="2">
        <f t="shared" ref="DF207" si="4896">100*$AF207/AS207</f>
        <v>59.386458333333337</v>
      </c>
      <c r="DG207" s="2">
        <f t="shared" ref="DG207" si="4897">100*$AF207/AT207</f>
        <v>54.563541666666666</v>
      </c>
      <c r="DH207" s="2">
        <f t="shared" ref="DH207" si="4898">100*$AF207/AU207</f>
        <v>45.319791666666674</v>
      </c>
      <c r="DI207" s="2">
        <f t="shared" ref="DI207" si="4899">100*$AF207/AV207</f>
        <v>87.083333333333329</v>
      </c>
      <c r="DJ207" s="2">
        <f t="shared" ref="DJ207" si="4900">100*$AF207/AW207</f>
        <v>83.160416666666663</v>
      </c>
      <c r="DK207" s="2">
        <f t="shared" ref="DK207" si="4901">100*$AF207/AX207</f>
        <v>78.668750000000003</v>
      </c>
      <c r="DL207" s="2">
        <f t="shared" ref="DL207" si="4902">100*$AF207/AY207</f>
        <v>64.710416666666688</v>
      </c>
      <c r="DM207" s="2">
        <f t="shared" ref="DM207" si="4903">100*$AF207/AZ207</f>
        <v>67.600000000000009</v>
      </c>
      <c r="DN207" s="2">
        <f t="shared" ref="DN207" si="4904">100*$AF207/BA207</f>
        <v>57.272916666666674</v>
      </c>
      <c r="DO207" s="2">
        <f t="shared" ref="DO207" si="4905">100*$AF207/BB207</f>
        <v>53.877083333333339</v>
      </c>
      <c r="DP207" s="2">
        <f t="shared" ref="DP207" si="4906">100*$AF207/BC207</f>
        <v>45.97291666666667</v>
      </c>
      <c r="DQ207" s="2">
        <f t="shared" ref="DQ207" si="4907">100*$AF207/BD207</f>
        <v>80.625</v>
      </c>
      <c r="DR207" s="2">
        <f t="shared" ref="DR207" si="4908">100*$AF207/BE207</f>
        <v>77.407291666666666</v>
      </c>
      <c r="DS207" s="2">
        <f t="shared" ref="DS207" si="4909">100*$AF207/BF207</f>
        <v>73.711458333333354</v>
      </c>
      <c r="DT207" s="2">
        <f t="shared" ref="DT207" si="4910">100*$AF207/BG207</f>
        <v>61.315625000000004</v>
      </c>
      <c r="DU207" s="2">
        <f t="shared" ref="DU207" si="4911">100*$AF207/BH207</f>
        <v>64.566666666666677</v>
      </c>
      <c r="DV207" s="2">
        <f t="shared" ref="DV207" si="4912">100*$AF207/BI207</f>
        <v>55.159375000000011</v>
      </c>
      <c r="DW207" s="2">
        <f t="shared" ref="DW207" si="4913">100*$AF207/BJ207</f>
        <v>53.190625000000004</v>
      </c>
      <c r="DX207" s="2">
        <f t="shared" ref="DX207" si="4914">100*$AF207/BK207</f>
        <v>46.626041666666666</v>
      </c>
      <c r="DY207" s="2">
        <f t="shared" ref="DY207" si="4915">100*$AF207/BL207</f>
        <v>74.166666666666671</v>
      </c>
      <c r="DZ207" s="2">
        <f t="shared" ref="DZ207" si="4916">100*$AF207/BM207</f>
        <v>71.654166666666654</v>
      </c>
      <c r="EA207" s="2">
        <f t="shared" ref="EA207" si="4917">100*$AF207/BN207</f>
        <v>68.754166666666677</v>
      </c>
      <c r="EB207" s="2">
        <f t="shared" ref="EB207" si="4918">100*$AF207/BO207</f>
        <v>57.920833333333341</v>
      </c>
      <c r="EC207" s="2">
        <f t="shared" ref="EC207" si="4919">100*$AF207/BP207</f>
        <v>61.533333333333346</v>
      </c>
      <c r="ED207" s="2">
        <f t="shared" ref="ED207" si="4920">100*$AF207/BQ207</f>
        <v>53.045833333333334</v>
      </c>
      <c r="EE207" s="2">
        <f t="shared" ref="EE207" si="4921">100*$AF207/BR207</f>
        <v>52.504166666666677</v>
      </c>
      <c r="EF207" s="2">
        <f t="shared" ref="EF207" si="4922">100*$AF207/BS207</f>
        <v>47.279166666666669</v>
      </c>
      <c r="EG207" s="2">
        <f t="shared" ref="EG207" si="4923">100*$AF207/BT207</f>
        <v>67.708333333333343</v>
      </c>
      <c r="EH207" s="2">
        <f t="shared" ref="EH207" si="4924">100*$AF207/BU207</f>
        <v>65.901041666666671</v>
      </c>
      <c r="EI207" s="2">
        <f t="shared" ref="EI207" si="4925">100*$AF207/BV207</f>
        <v>63.796874999999993</v>
      </c>
      <c r="EJ207" s="2">
        <f t="shared" ref="EJ207" si="4926">100*$AF207/BW207</f>
        <v>54.526041666666664</v>
      </c>
      <c r="EK207" s="2">
        <f t="shared" ref="EK207" si="4927">100*$AF207/BX207</f>
        <v>58.5</v>
      </c>
      <c r="EL207" s="2">
        <f t="shared" ref="EL207" si="4928">100*$AF207/BY207</f>
        <v>50.932291666666671</v>
      </c>
      <c r="EM207" s="2">
        <f t="shared" ref="EM207" si="4929">100*$AF207/BZ207</f>
        <v>51.817708333333329</v>
      </c>
      <c r="EN207" s="2">
        <f t="shared" ref="EN207" si="4930">100*$AF207/CA207</f>
        <v>47.932291666666664</v>
      </c>
      <c r="EO207" s="2">
        <f t="shared" ref="EO207" si="4931">100*$AF207/CB207</f>
        <v>61.250000000000014</v>
      </c>
      <c r="EP207" s="2">
        <f t="shared" ref="EP207" si="4932">100*$AF207/CC207</f>
        <v>60.147916666666674</v>
      </c>
      <c r="EQ207" s="2">
        <f t="shared" ref="EQ207" si="4933">100*$AF207/CD207</f>
        <v>58.839583333333344</v>
      </c>
      <c r="ER207" s="2">
        <f t="shared" ref="ER207" si="4934">100*$AF207/CE207</f>
        <v>51.131250000000009</v>
      </c>
      <c r="ES207" s="2">
        <f t="shared" ref="ES207" si="4935">100*$AF207/CF207</f>
        <v>55.466666666666676</v>
      </c>
      <c r="ET207" s="2">
        <f t="shared" ref="ET207" si="4936">100*$AF207/CG207</f>
        <v>48.818750000000001</v>
      </c>
      <c r="EU207" s="2">
        <f t="shared" ref="EU207" si="4937">100*$AF207/CH207</f>
        <v>51.131249999999994</v>
      </c>
      <c r="EV207" s="2">
        <f t="shared" ref="EV207" si="4938">100*$AF207/CI207</f>
        <v>48.585416666666667</v>
      </c>
      <c r="EW207" s="2">
        <f t="shared" ref="EW207" si="4939">100*$AF207/CJ207</f>
        <v>54.791666666666671</v>
      </c>
      <c r="EX207" s="2">
        <f t="shared" ref="EX207" si="4940">100*$AF207/CK207</f>
        <v>54.39479166666667</v>
      </c>
      <c r="EY207" s="2">
        <f t="shared" ref="EY207" si="4941">100*$AF207/CL207</f>
        <v>53.882291666666667</v>
      </c>
      <c r="EZ207" s="2">
        <f t="shared" ref="EZ207" si="4942">100*$AF207/CM207</f>
        <v>47.736458333333339</v>
      </c>
      <c r="FA207" s="2">
        <f t="shared" ref="FA207" si="4943">100*$AF207/CN207</f>
        <v>52.433333333333337</v>
      </c>
      <c r="FB207" s="2">
        <f t="shared" ref="FB207" si="4944">100*$AF207/CO207</f>
        <v>46.705208333333339</v>
      </c>
      <c r="FC207" s="2">
        <f t="shared" ref="FC207" si="4945">100*$AF207/CP207</f>
        <v>50.444791666666667</v>
      </c>
      <c r="FD207" s="2">
        <f t="shared" ref="FD207" si="4946">100*$AF207/CQ207</f>
        <v>49.238541666666663</v>
      </c>
    </row>
    <row r="208" spans="3:160" x14ac:dyDescent="0.4">
      <c r="C208" s="1" t="s">
        <v>44</v>
      </c>
      <c r="D208" s="1" t="s">
        <v>5</v>
      </c>
      <c r="E208" s="1">
        <v>0.247</v>
      </c>
      <c r="F208" s="1">
        <v>0.13900000000000001</v>
      </c>
      <c r="G208" s="1">
        <v>0.109</v>
      </c>
      <c r="H208" s="1">
        <v>6.0999999999999999E-2</v>
      </c>
      <c r="I208" s="1">
        <v>5401</v>
      </c>
      <c r="J208" s="1">
        <v>4549</v>
      </c>
      <c r="K208" s="1">
        <v>72</v>
      </c>
      <c r="L208" s="1">
        <v>6433</v>
      </c>
      <c r="M208" s="1">
        <v>6571</v>
      </c>
      <c r="N208" s="1">
        <v>75.5</v>
      </c>
      <c r="O208" s="1">
        <v>96.5</v>
      </c>
      <c r="P208" s="1">
        <v>90.5</v>
      </c>
      <c r="Q208" s="1">
        <v>97</v>
      </c>
      <c r="R208" s="1">
        <v>51</v>
      </c>
      <c r="S208" s="1">
        <v>96</v>
      </c>
      <c r="T208" s="4">
        <v>0</v>
      </c>
      <c r="U208" s="1">
        <v>1.577</v>
      </c>
      <c r="V208" s="1">
        <v>7.0999999999999994E-2</v>
      </c>
      <c r="W208" s="1">
        <v>4.0199999999999996</v>
      </c>
      <c r="X208" s="1">
        <f t="shared" ref="X208" si="4947">H209</f>
        <v>2.3E-2</v>
      </c>
      <c r="Y208" s="1">
        <f t="shared" ref="Y208" si="4948">H210</f>
        <v>5.6000000000000001E-2</v>
      </c>
      <c r="Z208" s="1">
        <f t="shared" ref="Z208" si="4949">H211</f>
        <v>2.5000000000000001E-2</v>
      </c>
      <c r="AA208" s="1">
        <f t="shared" ref="AA208" si="4950">H212</f>
        <v>0.02</v>
      </c>
      <c r="AB208" s="1">
        <f t="shared" ref="AB208" si="4951">H213</f>
        <v>2.5000000000000001E-2</v>
      </c>
      <c r="AC208" s="1">
        <f t="shared" si="4641"/>
        <v>3866.8484476133003</v>
      </c>
      <c r="AE208" s="1" t="s">
        <v>96</v>
      </c>
      <c r="AF208" s="1">
        <v>1</v>
      </c>
      <c r="AG208" s="1">
        <v>0.81499999999999995</v>
      </c>
      <c r="AH208" s="1">
        <v>0.64500000000000002</v>
      </c>
      <c r="AI208" s="1">
        <v>0.39500000000000002</v>
      </c>
      <c r="AJ208" s="1">
        <v>0.36</v>
      </c>
      <c r="AK208" s="1">
        <v>0.245</v>
      </c>
      <c r="AL208" s="1">
        <v>0.14499999999999999</v>
      </c>
      <c r="AM208" s="20">
        <v>6.5000000000000002E-2</v>
      </c>
      <c r="AN208" s="1">
        <v>1</v>
      </c>
      <c r="AO208" s="1">
        <v>0.81499999999999995</v>
      </c>
      <c r="AP208" s="1">
        <v>0.64500000000000002</v>
      </c>
      <c r="AQ208" s="1">
        <v>0.39500000000000002</v>
      </c>
      <c r="AR208" s="1">
        <v>0.36</v>
      </c>
      <c r="AS208" s="1">
        <v>0.245</v>
      </c>
      <c r="AT208" s="1">
        <v>0.14499999999999999</v>
      </c>
      <c r="AU208" s="20">
        <v>6.5000000000000002E-2</v>
      </c>
      <c r="AV208" s="1">
        <v>1</v>
      </c>
      <c r="AW208" s="1">
        <v>0.81499999999999995</v>
      </c>
      <c r="AX208" s="1">
        <v>0.64500000000000002</v>
      </c>
      <c r="AY208" s="1">
        <v>0.39500000000000002</v>
      </c>
      <c r="AZ208" s="1">
        <v>0.36</v>
      </c>
      <c r="BA208" s="1">
        <v>0.245</v>
      </c>
      <c r="BB208" s="1">
        <v>0.14499999999999999</v>
      </c>
      <c r="BC208" s="20">
        <v>6.5000000000000002E-2</v>
      </c>
      <c r="BD208" s="1">
        <v>1</v>
      </c>
      <c r="BE208" s="1">
        <v>0.81499999999999995</v>
      </c>
      <c r="BF208" s="1">
        <v>0.64500000000000002</v>
      </c>
      <c r="BG208" s="1">
        <v>0.39500000000000002</v>
      </c>
      <c r="BH208" s="1">
        <v>0.36</v>
      </c>
      <c r="BI208" s="1">
        <v>0.245</v>
      </c>
      <c r="BJ208" s="1">
        <v>0.14499999999999999</v>
      </c>
      <c r="BK208" s="20">
        <v>6.5000000000000002E-2</v>
      </c>
      <c r="BL208" s="1">
        <v>1</v>
      </c>
      <c r="BM208" s="1">
        <v>0.81499999999999995</v>
      </c>
      <c r="BN208" s="1">
        <v>0.64500000000000002</v>
      </c>
      <c r="BO208" s="1">
        <v>0.39500000000000002</v>
      </c>
      <c r="BP208" s="1">
        <v>0.36</v>
      </c>
      <c r="BQ208" s="1">
        <v>0.245</v>
      </c>
      <c r="BR208" s="1">
        <v>0.14499999999999999</v>
      </c>
      <c r="BS208" s="20">
        <v>6.5000000000000002E-2</v>
      </c>
      <c r="BT208" s="1">
        <v>1</v>
      </c>
      <c r="BU208" s="1">
        <v>0.81499999999999995</v>
      </c>
      <c r="BV208" s="1">
        <v>0.64500000000000002</v>
      </c>
      <c r="BW208" s="1">
        <v>0.39500000000000002</v>
      </c>
      <c r="BX208" s="1">
        <v>0.36</v>
      </c>
      <c r="BY208" s="1">
        <v>0.245</v>
      </c>
      <c r="BZ208" s="1">
        <v>0.14499999999999999</v>
      </c>
      <c r="CA208" s="20">
        <v>6.5000000000000002E-2</v>
      </c>
      <c r="CB208" s="1">
        <v>1</v>
      </c>
      <c r="CC208" s="1">
        <v>0.81499999999999995</v>
      </c>
      <c r="CD208" s="1">
        <v>0.64500000000000002</v>
      </c>
      <c r="CE208" s="1">
        <v>0.39500000000000002</v>
      </c>
      <c r="CF208" s="1">
        <v>0.36</v>
      </c>
      <c r="CG208" s="1">
        <v>0.245</v>
      </c>
      <c r="CH208" s="1">
        <v>0.14499999999999999</v>
      </c>
      <c r="CI208" s="20">
        <v>6.5000000000000002E-2</v>
      </c>
      <c r="CJ208" s="1">
        <v>1</v>
      </c>
      <c r="CK208" s="1">
        <v>0.81499999999999995</v>
      </c>
      <c r="CL208" s="1">
        <v>0.64500000000000002</v>
      </c>
      <c r="CM208" s="1">
        <v>0.39500000000000002</v>
      </c>
      <c r="CN208" s="1">
        <v>0.36</v>
      </c>
      <c r="CO208" s="1">
        <v>0.245</v>
      </c>
      <c r="CP208" s="1">
        <v>0.14499999999999999</v>
      </c>
      <c r="CQ208" s="20">
        <v>6.5000000000000002E-2</v>
      </c>
    </row>
    <row r="209" spans="3:160" x14ac:dyDescent="0.4">
      <c r="C209" s="1" t="s">
        <v>44</v>
      </c>
      <c r="D209" s="1" t="s">
        <v>6</v>
      </c>
      <c r="E209" s="1">
        <v>0.20100000000000001</v>
      </c>
      <c r="F209" s="1">
        <v>9.2999999999999999E-2</v>
      </c>
      <c r="G209" s="1">
        <v>0.108</v>
      </c>
      <c r="H209" s="1">
        <v>2.3E-2</v>
      </c>
      <c r="I209" s="1">
        <v>5401</v>
      </c>
      <c r="J209" s="1">
        <v>4549</v>
      </c>
      <c r="K209" s="1">
        <v>72</v>
      </c>
      <c r="L209" s="1">
        <v>6433</v>
      </c>
      <c r="M209" s="1">
        <v>6571</v>
      </c>
      <c r="N209" s="1">
        <v>75.5</v>
      </c>
      <c r="O209" s="1">
        <v>96.5</v>
      </c>
      <c r="P209" s="1">
        <v>90.5</v>
      </c>
      <c r="Q209" s="1">
        <v>97</v>
      </c>
      <c r="R209" s="1">
        <v>51</v>
      </c>
      <c r="S209" s="1">
        <v>96</v>
      </c>
      <c r="T209" s="4">
        <v>0</v>
      </c>
      <c r="U209" s="1">
        <v>1.577</v>
      </c>
      <c r="V209" s="1">
        <v>7.0999999999999994E-2</v>
      </c>
      <c r="W209" s="1">
        <v>4.0199999999999996</v>
      </c>
      <c r="X209" s="1">
        <f t="shared" ref="X209" si="4952">H209</f>
        <v>2.3E-2</v>
      </c>
      <c r="Y209" s="1">
        <f t="shared" ref="Y209" si="4953">H210</f>
        <v>5.6000000000000001E-2</v>
      </c>
      <c r="Z209" s="1">
        <f t="shared" ref="Z209" si="4954">H211</f>
        <v>2.5000000000000001E-2</v>
      </c>
      <c r="AA209" s="1">
        <f t="shared" ref="AA209" si="4955">H212</f>
        <v>0.02</v>
      </c>
      <c r="AB209" s="1">
        <f t="shared" ref="AB209" si="4956">H213</f>
        <v>2.5000000000000001E-2</v>
      </c>
      <c r="AC209" s="1">
        <f t="shared" si="4641"/>
        <v>3866.8484476133003</v>
      </c>
      <c r="CQ209" s="20"/>
    </row>
    <row r="210" spans="3:160" x14ac:dyDescent="0.4">
      <c r="C210" s="1" t="s">
        <v>44</v>
      </c>
      <c r="D210" s="1" t="s">
        <v>7</v>
      </c>
      <c r="E210" s="1">
        <v>0.24199999999999999</v>
      </c>
      <c r="F210" s="1">
        <v>0.13400000000000001</v>
      </c>
      <c r="G210" s="1">
        <v>0.108</v>
      </c>
      <c r="H210" s="1">
        <v>5.6000000000000001E-2</v>
      </c>
      <c r="I210" s="1">
        <v>5401</v>
      </c>
      <c r="J210" s="1">
        <v>4549</v>
      </c>
      <c r="K210" s="1">
        <v>72</v>
      </c>
      <c r="L210" s="1">
        <v>6433</v>
      </c>
      <c r="M210" s="1">
        <v>6571</v>
      </c>
      <c r="N210" s="1">
        <v>75.5</v>
      </c>
      <c r="O210" s="1">
        <v>96.5</v>
      </c>
      <c r="P210" s="1">
        <v>90.5</v>
      </c>
      <c r="Q210" s="1">
        <v>97</v>
      </c>
      <c r="R210" s="1">
        <v>51</v>
      </c>
      <c r="S210" s="1">
        <v>96</v>
      </c>
      <c r="T210" s="4">
        <v>0</v>
      </c>
      <c r="U210" s="1">
        <v>1.577</v>
      </c>
      <c r="V210" s="1">
        <v>7.0999999999999994E-2</v>
      </c>
      <c r="W210" s="1">
        <v>4.0199999999999996</v>
      </c>
      <c r="X210" s="1">
        <f t="shared" ref="X210" si="4957">H209</f>
        <v>2.3E-2</v>
      </c>
      <c r="Y210" s="1">
        <f t="shared" ref="Y210" si="4958">H210</f>
        <v>5.6000000000000001E-2</v>
      </c>
      <c r="Z210" s="1">
        <f t="shared" ref="Z210" si="4959">H211</f>
        <v>2.5000000000000001E-2</v>
      </c>
      <c r="AA210" s="1">
        <f t="shared" ref="AA210" si="4960">H212</f>
        <v>0.02</v>
      </c>
      <c r="AB210" s="1">
        <f t="shared" ref="AB210" si="4961">H213</f>
        <v>2.5000000000000001E-2</v>
      </c>
      <c r="AC210" s="1">
        <f t="shared" si="4641"/>
        <v>3866.8484476133003</v>
      </c>
      <c r="AE210" s="1" t="s">
        <v>97</v>
      </c>
      <c r="AF210" s="1">
        <v>0</v>
      </c>
      <c r="AG210" s="1">
        <v>0.12</v>
      </c>
      <c r="AH210" s="1">
        <v>0.21</v>
      </c>
      <c r="AI210" s="1">
        <v>0.26</v>
      </c>
      <c r="AJ210" s="1">
        <v>0.28000000000000003</v>
      </c>
      <c r="AK210" s="1">
        <v>0.26</v>
      </c>
      <c r="AL210" s="1">
        <v>0.21</v>
      </c>
      <c r="AM210" s="20">
        <v>0.12</v>
      </c>
      <c r="AN210" s="1">
        <v>0</v>
      </c>
      <c r="AO210" s="1">
        <v>0.12</v>
      </c>
      <c r="AP210" s="1">
        <v>0.21</v>
      </c>
      <c r="AQ210" s="1">
        <v>0.26</v>
      </c>
      <c r="AR210" s="1">
        <v>0.28000000000000003</v>
      </c>
      <c r="AS210" s="1">
        <v>0.26</v>
      </c>
      <c r="AT210" s="1">
        <v>0.21</v>
      </c>
      <c r="AU210" s="20">
        <v>0.12</v>
      </c>
      <c r="AV210" s="1">
        <v>0</v>
      </c>
      <c r="AW210" s="1">
        <v>0.12</v>
      </c>
      <c r="AX210" s="1">
        <v>0.21</v>
      </c>
      <c r="AY210" s="1">
        <v>0.26</v>
      </c>
      <c r="AZ210" s="1">
        <v>0.28000000000000003</v>
      </c>
      <c r="BA210" s="1">
        <v>0.26</v>
      </c>
      <c r="BB210" s="1">
        <v>0.21</v>
      </c>
      <c r="BC210" s="20">
        <v>0.12</v>
      </c>
      <c r="BD210" s="1">
        <v>0</v>
      </c>
      <c r="BE210" s="1">
        <v>0.12</v>
      </c>
      <c r="BF210" s="1">
        <v>0.21</v>
      </c>
      <c r="BG210" s="1">
        <v>0.26</v>
      </c>
      <c r="BH210" s="1">
        <v>0.28000000000000003</v>
      </c>
      <c r="BI210" s="1">
        <v>0.26</v>
      </c>
      <c r="BJ210" s="1">
        <v>0.21</v>
      </c>
      <c r="BK210" s="20">
        <v>0.12</v>
      </c>
      <c r="BL210" s="1">
        <v>0</v>
      </c>
      <c r="BM210" s="1">
        <v>0.12</v>
      </c>
      <c r="BN210" s="1">
        <v>0.21</v>
      </c>
      <c r="BO210" s="1">
        <v>0.26</v>
      </c>
      <c r="BP210" s="1">
        <v>0.28000000000000003</v>
      </c>
      <c r="BQ210" s="1">
        <v>0.26</v>
      </c>
      <c r="BR210" s="1">
        <v>0.21</v>
      </c>
      <c r="BS210" s="20">
        <v>0.12</v>
      </c>
      <c r="BT210" s="1">
        <v>0</v>
      </c>
      <c r="BU210" s="1">
        <v>0.12</v>
      </c>
      <c r="BV210" s="1">
        <v>0.21</v>
      </c>
      <c r="BW210" s="1">
        <v>0.26</v>
      </c>
      <c r="BX210" s="1">
        <v>0.28000000000000003</v>
      </c>
      <c r="BY210" s="1">
        <v>0.26</v>
      </c>
      <c r="BZ210" s="1">
        <v>0.21</v>
      </c>
      <c r="CA210" s="20">
        <v>0.12</v>
      </c>
      <c r="CB210" s="1">
        <v>0</v>
      </c>
      <c r="CC210" s="1">
        <v>0.12</v>
      </c>
      <c r="CD210" s="1">
        <v>0.21</v>
      </c>
      <c r="CE210" s="1">
        <v>0.26</v>
      </c>
      <c r="CF210" s="1">
        <v>0.28000000000000003</v>
      </c>
      <c r="CG210" s="1">
        <v>0.26</v>
      </c>
      <c r="CH210" s="1">
        <v>0.21</v>
      </c>
      <c r="CI210" s="20">
        <v>0.12</v>
      </c>
      <c r="CJ210" s="1">
        <v>0</v>
      </c>
      <c r="CK210" s="1">
        <v>0.12</v>
      </c>
      <c r="CL210" s="1">
        <v>0.21</v>
      </c>
      <c r="CM210" s="1">
        <v>0.26</v>
      </c>
      <c r="CN210" s="1">
        <v>0.28000000000000003</v>
      </c>
      <c r="CO210" s="1">
        <v>0.26</v>
      </c>
      <c r="CP210" s="1">
        <v>0.21</v>
      </c>
      <c r="CQ210" s="20">
        <v>0.12</v>
      </c>
    </row>
    <row r="211" spans="3:160" x14ac:dyDescent="0.4">
      <c r="C211" s="1" t="s">
        <v>44</v>
      </c>
      <c r="D211" s="1" t="s">
        <v>8</v>
      </c>
      <c r="E211" s="1">
        <v>0.20200000000000001</v>
      </c>
      <c r="F211" s="1">
        <v>9.5000000000000001E-2</v>
      </c>
      <c r="G211" s="1">
        <v>0.108</v>
      </c>
      <c r="H211" s="1">
        <v>2.5000000000000001E-2</v>
      </c>
      <c r="I211" s="1">
        <v>5401</v>
      </c>
      <c r="J211" s="1">
        <v>4549</v>
      </c>
      <c r="K211" s="1">
        <v>72</v>
      </c>
      <c r="L211" s="1">
        <v>6433</v>
      </c>
      <c r="M211" s="1">
        <v>6571</v>
      </c>
      <c r="N211" s="1">
        <v>75.5</v>
      </c>
      <c r="O211" s="1">
        <v>96.5</v>
      </c>
      <c r="P211" s="1">
        <v>90.5</v>
      </c>
      <c r="Q211" s="1">
        <v>97</v>
      </c>
      <c r="R211" s="1">
        <v>51</v>
      </c>
      <c r="S211" s="1">
        <v>96</v>
      </c>
      <c r="T211" s="4">
        <v>0</v>
      </c>
      <c r="U211" s="1">
        <v>1.577</v>
      </c>
      <c r="V211" s="1">
        <v>7.0999999999999994E-2</v>
      </c>
      <c r="W211" s="1">
        <v>4.0199999999999996</v>
      </c>
      <c r="X211" s="1">
        <f t="shared" ref="X211" si="4962">H209</f>
        <v>2.3E-2</v>
      </c>
      <c r="Y211" s="1">
        <f t="shared" ref="Y211" si="4963">H210</f>
        <v>5.6000000000000001E-2</v>
      </c>
      <c r="Z211" s="1">
        <f t="shared" ref="Z211" si="4964">H211</f>
        <v>2.5000000000000001E-2</v>
      </c>
      <c r="AA211" s="1">
        <f t="shared" ref="AA211" si="4965">H212</f>
        <v>0.02</v>
      </c>
      <c r="AB211" s="1">
        <f t="shared" ref="AB211" si="4966">H213</f>
        <v>2.5000000000000001E-2</v>
      </c>
      <c r="AC211" s="1">
        <f t="shared" si="4641"/>
        <v>3866.8484476133003</v>
      </c>
      <c r="CQ211" s="20"/>
    </row>
    <row r="212" spans="3:160" x14ac:dyDescent="0.4">
      <c r="C212" s="1" t="s">
        <v>44</v>
      </c>
      <c r="D212" s="1" t="s">
        <v>9</v>
      </c>
      <c r="E212" s="1">
        <v>0.19700000000000001</v>
      </c>
      <c r="F212" s="1">
        <v>8.8999999999999996E-2</v>
      </c>
      <c r="G212" s="1">
        <v>0.108</v>
      </c>
      <c r="H212" s="1">
        <v>0.02</v>
      </c>
      <c r="I212" s="1">
        <v>5401</v>
      </c>
      <c r="J212" s="1">
        <v>4549</v>
      </c>
      <c r="K212" s="1">
        <v>72</v>
      </c>
      <c r="L212" s="1">
        <v>6433</v>
      </c>
      <c r="M212" s="1">
        <v>6571</v>
      </c>
      <c r="N212" s="1">
        <v>75.5</v>
      </c>
      <c r="O212" s="1">
        <v>96.5</v>
      </c>
      <c r="P212" s="1">
        <v>90.5</v>
      </c>
      <c r="Q212" s="1">
        <v>97</v>
      </c>
      <c r="R212" s="1">
        <v>51</v>
      </c>
      <c r="S212" s="1">
        <v>96</v>
      </c>
      <c r="T212" s="4">
        <v>0</v>
      </c>
      <c r="U212" s="1">
        <v>1.577</v>
      </c>
      <c r="V212" s="1">
        <v>7.0999999999999994E-2</v>
      </c>
      <c r="W212" s="1">
        <v>4.0199999999999996</v>
      </c>
      <c r="X212" s="1">
        <f t="shared" ref="X212" si="4967">H209</f>
        <v>2.3E-2</v>
      </c>
      <c r="Y212" s="1">
        <f t="shared" ref="Y212" si="4968">H210</f>
        <v>5.6000000000000001E-2</v>
      </c>
      <c r="Z212" s="1">
        <f t="shared" ref="Z212" si="4969">H211</f>
        <v>2.5000000000000001E-2</v>
      </c>
      <c r="AA212" s="1">
        <f t="shared" ref="AA212" si="4970">H212</f>
        <v>0.02</v>
      </c>
      <c r="AB212" s="1">
        <f t="shared" ref="AB212" si="4971">H213</f>
        <v>2.5000000000000001E-2</v>
      </c>
      <c r="AC212" s="1">
        <f t="shared" si="4641"/>
        <v>3866.8484476133003</v>
      </c>
      <c r="AE212" s="1" t="s">
        <v>98</v>
      </c>
      <c r="AF212" s="1">
        <v>0</v>
      </c>
      <c r="AG212" s="1">
        <v>6.5000000000000002E-2</v>
      </c>
      <c r="AH212" s="1">
        <v>0.14499999999999999</v>
      </c>
      <c r="AI212" s="1">
        <v>0.245</v>
      </c>
      <c r="AJ212" s="1">
        <v>0.36</v>
      </c>
      <c r="AK212" s="1">
        <v>0.39500000000000002</v>
      </c>
      <c r="AL212" s="1">
        <v>0.64500000000000002</v>
      </c>
      <c r="AM212" s="20">
        <v>0.81499999999999995</v>
      </c>
      <c r="AN212" s="1">
        <v>0</v>
      </c>
      <c r="AO212" s="1">
        <v>6.5000000000000002E-2</v>
      </c>
      <c r="AP212" s="1">
        <v>0.14499999999999999</v>
      </c>
      <c r="AQ212" s="1">
        <v>0.245</v>
      </c>
      <c r="AR212" s="1">
        <v>0.36</v>
      </c>
      <c r="AS212" s="1">
        <v>0.39500000000000002</v>
      </c>
      <c r="AT212" s="1">
        <v>0.64500000000000002</v>
      </c>
      <c r="AU212" s="20">
        <v>0.81499999999999995</v>
      </c>
      <c r="AV212" s="1">
        <v>0</v>
      </c>
      <c r="AW212" s="1">
        <v>6.5000000000000002E-2</v>
      </c>
      <c r="AX212" s="1">
        <v>0.14499999999999999</v>
      </c>
      <c r="AY212" s="1">
        <v>0.245</v>
      </c>
      <c r="AZ212" s="1">
        <v>0.36</v>
      </c>
      <c r="BA212" s="1">
        <v>0.39500000000000002</v>
      </c>
      <c r="BB212" s="1">
        <v>0.64500000000000002</v>
      </c>
      <c r="BC212" s="20">
        <v>0.81499999999999995</v>
      </c>
      <c r="BD212" s="1">
        <v>0</v>
      </c>
      <c r="BE212" s="1">
        <v>6.5000000000000002E-2</v>
      </c>
      <c r="BF212" s="1">
        <v>0.14499999999999999</v>
      </c>
      <c r="BG212" s="1">
        <v>0.245</v>
      </c>
      <c r="BH212" s="1">
        <v>0.36</v>
      </c>
      <c r="BI212" s="1">
        <v>0.39500000000000002</v>
      </c>
      <c r="BJ212" s="1">
        <v>0.64500000000000002</v>
      </c>
      <c r="BK212" s="20">
        <v>0.81499999999999995</v>
      </c>
      <c r="BL212" s="1">
        <v>0</v>
      </c>
      <c r="BM212" s="1">
        <v>6.5000000000000002E-2</v>
      </c>
      <c r="BN212" s="1">
        <v>0.14499999999999999</v>
      </c>
      <c r="BO212" s="1">
        <v>0.245</v>
      </c>
      <c r="BP212" s="1">
        <v>0.36</v>
      </c>
      <c r="BQ212" s="1">
        <v>0.39500000000000002</v>
      </c>
      <c r="BR212" s="1">
        <v>0.64500000000000002</v>
      </c>
      <c r="BS212" s="20">
        <v>0.81499999999999995</v>
      </c>
      <c r="BT212" s="1">
        <v>0</v>
      </c>
      <c r="BU212" s="1">
        <v>6.5000000000000002E-2</v>
      </c>
      <c r="BV212" s="1">
        <v>0.14499999999999999</v>
      </c>
      <c r="BW212" s="1">
        <v>0.245</v>
      </c>
      <c r="BX212" s="1">
        <v>0.36</v>
      </c>
      <c r="BY212" s="1">
        <v>0.39500000000000002</v>
      </c>
      <c r="BZ212" s="1">
        <v>0.64500000000000002</v>
      </c>
      <c r="CA212" s="20">
        <v>0.81499999999999995</v>
      </c>
      <c r="CB212" s="1">
        <v>0</v>
      </c>
      <c r="CC212" s="1">
        <v>6.5000000000000002E-2</v>
      </c>
      <c r="CD212" s="1">
        <v>0.14499999999999999</v>
      </c>
      <c r="CE212" s="1">
        <v>0.245</v>
      </c>
      <c r="CF212" s="1">
        <v>0.36</v>
      </c>
      <c r="CG212" s="1">
        <v>0.39500000000000002</v>
      </c>
      <c r="CH212" s="1">
        <v>0.64500000000000002</v>
      </c>
      <c r="CI212" s="20">
        <v>0.81499999999999995</v>
      </c>
      <c r="CJ212" s="1">
        <v>0</v>
      </c>
      <c r="CK212" s="1">
        <v>6.5000000000000002E-2</v>
      </c>
      <c r="CL212" s="1">
        <v>0.14499999999999999</v>
      </c>
      <c r="CM212" s="1">
        <v>0.245</v>
      </c>
      <c r="CN212" s="1">
        <v>0.36</v>
      </c>
      <c r="CO212" s="1">
        <v>0.39500000000000002</v>
      </c>
      <c r="CP212" s="1">
        <v>0.64500000000000002</v>
      </c>
      <c r="CQ212" s="20">
        <v>0.81499999999999995</v>
      </c>
    </row>
    <row r="213" spans="3:160" s="2" customFormat="1" x14ac:dyDescent="0.4">
      <c r="C213" s="2" t="s">
        <v>44</v>
      </c>
      <c r="D213" s="2" t="s">
        <v>10</v>
      </c>
      <c r="E213" s="2">
        <v>0.20200000000000001</v>
      </c>
      <c r="F213" s="2">
        <v>9.5000000000000001E-2</v>
      </c>
      <c r="G213" s="2">
        <v>0.108</v>
      </c>
      <c r="H213" s="2">
        <v>2.5000000000000001E-2</v>
      </c>
      <c r="I213" s="2">
        <v>5401</v>
      </c>
      <c r="J213" s="2">
        <v>4549</v>
      </c>
      <c r="K213" s="2">
        <v>72</v>
      </c>
      <c r="L213" s="2">
        <v>6433</v>
      </c>
      <c r="M213" s="2">
        <v>6571</v>
      </c>
      <c r="N213" s="2">
        <v>75.5</v>
      </c>
      <c r="O213" s="2">
        <v>96.5</v>
      </c>
      <c r="P213" s="2">
        <v>90.5</v>
      </c>
      <c r="Q213" s="2">
        <v>97</v>
      </c>
      <c r="R213" s="2">
        <v>51</v>
      </c>
      <c r="S213" s="2">
        <v>96</v>
      </c>
      <c r="T213" s="6">
        <f t="shared" si="4340"/>
        <v>7180.6079898153621</v>
      </c>
      <c r="U213" s="2">
        <v>1.577</v>
      </c>
      <c r="V213" s="2">
        <v>7.0999999999999994E-2</v>
      </c>
      <c r="W213" s="2">
        <v>4.0199999999999996</v>
      </c>
      <c r="X213" s="2">
        <f t="shared" ref="X213" si="4972">H209</f>
        <v>2.3E-2</v>
      </c>
      <c r="Y213" s="2">
        <f t="shared" ref="Y213" si="4973">H210</f>
        <v>5.6000000000000001E-2</v>
      </c>
      <c r="Z213" s="2">
        <f t="shared" ref="Z213" si="4974">H211</f>
        <v>2.5000000000000001E-2</v>
      </c>
      <c r="AA213" s="2">
        <f t="shared" ref="AA213" si="4975">H212</f>
        <v>0.02</v>
      </c>
      <c r="AB213" s="2">
        <f t="shared" ref="AB213" si="4976">H213</f>
        <v>2.5000000000000001E-2</v>
      </c>
      <c r="AC213" s="1">
        <f t="shared" si="4641"/>
        <v>3866.8484476133003</v>
      </c>
      <c r="AE213" s="2" t="s">
        <v>99</v>
      </c>
      <c r="AF213" s="23">
        <f>($O213*$Q213*$S213)^(1/3)/(AF208*((1-AF$2)*$H208+AF$2*$H209) + AF210*((1-AF$2)*$H210+AF$2*$H211) + AF212*((1-AF$2)*$H212+AF$2*$H213))</f>
        <v>1581.9530563018643</v>
      </c>
      <c r="AG213" s="23">
        <f t="shared" ref="AG213" si="4977">($O213*$Q213*$S213)^(1/3)/(AG208*((1-AG$2)*$H208+AG$2*$H209) + AG210*((1-AG$2)*$H210+AG$2*$H211) + AG212*((1-AG$2)*$H212+AG$2*$H213))</f>
        <v>1671.4148512066115</v>
      </c>
      <c r="AH213" s="23">
        <f t="shared" ref="AH213" si="4978">($O213*$Q213*$S213)^(1/3)/(AH208*((1-AH$2)*$H208+AH$2*$H209) + AH210*((1-AH$2)*$H210+AH$2*$H211) + AH212*((1-AH$2)*$H212+AH$2*$H213))</f>
        <v>1786.8555954895605</v>
      </c>
      <c r="AI213" s="23">
        <f t="shared" ref="AI213" si="4979">($O213*$Q213*$S213)^(1/3)/(AI208*((1-AI$2)*$H208+AI$2*$H209) + AI210*((1-AI$2)*$H210+AI$2*$H211) + AI212*((1-AI$2)*$H212+AI$2*$H213))</f>
        <v>2215.5696575459465</v>
      </c>
      <c r="AJ213" s="23">
        <f t="shared" ref="AJ213" si="4980">($O213*$Q213*$S213)^(1/3)/(AJ208*((1-AJ$2)*$H208+AJ$2*$H209) + AJ210*((1-AJ$2)*$H210+AJ$2*$H211) + AJ212*((1-AJ$2)*$H212+AJ$2*$H213))</f>
        <v>2152.0770837291193</v>
      </c>
      <c r="AK213" s="23">
        <f t="shared" ref="AK213" si="4981">($O213*$Q213*$S213)^(1/3)/(AK208*((1-AK$2)*$H208+AK$2*$H209) + AK210*((1-AK$2)*$H210+AK$2*$H211) + AK212*((1-AK$2)*$H212+AK$2*$H213))</f>
        <v>2579.8459145679376</v>
      </c>
      <c r="AL213" s="23">
        <f t="shared" ref="AL213" si="4982">($O213*$Q213*$S213)^(1/3)/(AL208*((1-AL$2)*$H208+AL$2*$H209) + AL210*((1-AL$2)*$H210+AL$2*$H211) + AL212*((1-AL$2)*$H212+AL$2*$H213))</f>
        <v>2880.1413650026479</v>
      </c>
      <c r="AM213" s="23">
        <f t="shared" ref="AM213" si="4983">($O213*$Q213*$S213)^(1/3)/(AM208*((1-AM$2)*$H208+AM$2*$H209) + AM210*((1-AM$2)*$H210+AM$2*$H211) + AM212*((1-AM$2)*$H212+AM$2*$H213))</f>
        <v>3576.0287728150352</v>
      </c>
      <c r="AN213" s="23">
        <f t="shared" ref="AN213" si="4984">($O213*$Q213*$S213)^(1/3)/(AN208*((1-AN$2)*$H208+AN$2*$H209) + AN210*((1-AN$2)*$H210+AN$2*$H211) + AN212*((1-AN$2)*$H212+AN$2*$H213))</f>
        <v>1715.5402032784659</v>
      </c>
      <c r="AO213" s="23">
        <f t="shared" ref="AO213" si="4985">($O213*$Q213*$S213)^(1/3)/(AO208*((1-AO$2)*$H208+AO$2*$H209) + AO210*((1-AO$2)*$H210+AO$2*$H211) + AO212*((1-AO$2)*$H212+AO$2*$H213))</f>
        <v>1805.7684326288195</v>
      </c>
      <c r="AP213" s="23">
        <f t="shared" ref="AP213" si="4986">($O213*$Q213*$S213)^(1/3)/(AP208*((1-AP$2)*$H208+AP$2*$H209) + AP210*((1-AP$2)*$H210+AP$2*$H211) + AP212*((1-AP$2)*$H212+AP$2*$H213))</f>
        <v>1921.5997497798596</v>
      </c>
      <c r="AQ213" s="23">
        <f t="shared" ref="AQ213" si="4987">($O213*$Q213*$S213)^(1/3)/(AQ208*((1-AQ$2)*$H208+AQ$2*$H209) + AQ210*((1-AQ$2)*$H210+AQ$2*$H211) + AQ212*((1-AQ$2)*$H212+AQ$2*$H213))</f>
        <v>2363.7627381782013</v>
      </c>
      <c r="AR213" s="23">
        <f t="shared" ref="AR213" si="4988">($O213*$Q213*$S213)^(1/3)/(AR208*((1-AR$2)*$H208+AR$2*$H209) + AR210*((1-AR$2)*$H210+AR$2*$H211) + AR212*((1-AR$2)*$H212+AR$2*$H213))</f>
        <v>2282.922555817689</v>
      </c>
      <c r="AS213" s="23">
        <f t="shared" ref="AS213" si="4989">($O213*$Q213*$S213)^(1/3)/(AS208*((1-AS$2)*$H208+AS$2*$H209) + AS210*((1-AS$2)*$H210+AS$2*$H211) + AS212*((1-AS$2)*$H212+AS$2*$H213))</f>
        <v>2719.7699148313682</v>
      </c>
      <c r="AT213" s="23">
        <f t="shared" ref="AT213" si="4990">($O213*$Q213*$S213)^(1/3)/(AT208*((1-AT$2)*$H208+AT$2*$H209) + AT210*((1-AT$2)*$H210+AT$2*$H211) + AT212*((1-AT$2)*$H212+AT$2*$H213))</f>
        <v>2977.8514203757436</v>
      </c>
      <c r="AU213" s="23">
        <f t="shared" ref="AU213" si="4991">($O213*$Q213*$S213)^(1/3)/(AU208*((1-AU$2)*$H208+AU$2*$H209) + AU210*((1-AU$2)*$H210+AU$2*$H211) + AU212*((1-AU$2)*$H212+AU$2*$H213))</f>
        <v>3611.4101535579243</v>
      </c>
      <c r="AV213" s="23">
        <f t="shared" ref="AV213" si="4992">($O213*$Q213*$S213)^(1/3)/(AV208*((1-AV$2)*$H208+AV$2*$H209) + AV210*((1-AV$2)*$H210+AV$2*$H211) + AV212*((1-AV$2)*$H212+AV$2*$H213))</f>
        <v>1873.769639503179</v>
      </c>
      <c r="AW213" s="23">
        <f t="shared" ref="AW213" si="4993">($O213*$Q213*$S213)^(1/3)/(AW208*((1-AW$2)*$H208+AW$2*$H209) + AW210*((1-AW$2)*$H210+AW$2*$H211) + AW212*((1-AW$2)*$H212+AW$2*$H213))</f>
        <v>1963.6095420966799</v>
      </c>
      <c r="AX213" s="23">
        <f t="shared" ref="AX213" si="4994">($O213*$Q213*$S213)^(1/3)/(AX208*((1-AX$2)*$H208+AX$2*$H209) + AX210*((1-AX$2)*$H210+AX$2*$H211) + AX212*((1-AX$2)*$H212+AX$2*$H213))</f>
        <v>2078.3230353353338</v>
      </c>
      <c r="AY213" s="23">
        <f t="shared" ref="AY213" si="4995">($O213*$Q213*$S213)^(1/3)/(AY208*((1-AY$2)*$H208+AY$2*$H209) + AY210*((1-AY$2)*$H210+AY$2*$H211) + AY212*((1-AY$2)*$H212+AY$2*$H213))</f>
        <v>2533.2012845785393</v>
      </c>
      <c r="AZ213" s="23">
        <f t="shared" ref="AZ213" si="4996">($O213*$Q213*$S213)^(1/3)/(AZ208*((1-AZ$2)*$H208+AZ$2*$H209) + AZ210*((1-AZ$2)*$H210+AZ$2*$H211) + AZ212*((1-AZ$2)*$H212+AZ$2*$H213))</f>
        <v>2430.7087263076505</v>
      </c>
      <c r="BA213" s="23">
        <f t="shared" ref="BA213" si="4997">($O213*$Q213*$S213)^(1/3)/(BA208*((1-BA$2)*$H208+BA$2*$H209) + BA210*((1-BA$2)*$H210+BA$2*$H211) + BA212*((1-BA$2)*$H212+BA$2*$H213))</f>
        <v>2875.7425646314391</v>
      </c>
      <c r="BB213" s="23">
        <f t="shared" ref="BB213" si="4998">($O213*$Q213*$S213)^(1/3)/(BB208*((1-BB$2)*$H208+BB$2*$H209) + BB210*((1-BB$2)*$H210+BB$2*$H211) + BB212*((1-BB$2)*$H212+BB$2*$H213))</f>
        <v>3082.4240026963857</v>
      </c>
      <c r="BC213" s="23">
        <f t="shared" ref="BC213" si="4999">($O213*$Q213*$S213)^(1/3)/(BC208*((1-BC$2)*$H208+BC$2*$H209) + BC210*((1-BC$2)*$H210+BC$2*$H211) + BC212*((1-BC$2)*$H212+BC$2*$H213))</f>
        <v>3647.4986604077949</v>
      </c>
      <c r="BD213" s="23">
        <f t="shared" ref="BD213" si="5000">($O213*$Q213*$S213)^(1/3)/(BD208*((1-BD$2)*$H208+BD$2*$H209) + BD210*((1-BD$2)*$H210+BD$2*$H211) + BD212*((1-BD$2)*$H212+BD$2*$H213))</f>
        <v>2064.1526510035019</v>
      </c>
      <c r="BE213" s="23">
        <f t="shared" ref="BE213" si="5001">($O213*$Q213*$S213)^(1/3)/(BE208*((1-BE$2)*$H208+BE$2*$H209) + BE210*((1-BE$2)*$H210+BE$2*$H211) + BE212*((1-BE$2)*$H212+BE$2*$H213))</f>
        <v>2151.6871983926576</v>
      </c>
      <c r="BF213" s="23">
        <f t="shared" ref="BF213" si="5002">($O213*$Q213*$S213)^(1/3)/(BF208*((1-BF$2)*$H208+BF$2*$H209) + BF210*((1-BF$2)*$H210+BF$2*$H211) + BF212*((1-BF$2)*$H212+BF$2*$H213))</f>
        <v>2262.8807769937703</v>
      </c>
      <c r="BG213" s="23">
        <f t="shared" ref="BG213" si="5003">($O213*$Q213*$S213)^(1/3)/(BG208*((1-BG$2)*$H208+BG$2*$H209) + BG210*((1-BG$2)*$H210+BG$2*$H211) + BG212*((1-BG$2)*$H212+BG$2*$H213))</f>
        <v>2728.8068131539198</v>
      </c>
      <c r="BH213" s="23">
        <f t="shared" ref="BH213" si="5004">($O213*$Q213*$S213)^(1/3)/(BH208*((1-BH$2)*$H208+BH$2*$H209) + BH210*((1-BH$2)*$H210+BH$2*$H211) + BH212*((1-BH$2)*$H212+BH$2*$H213))</f>
        <v>2598.9533109187646</v>
      </c>
      <c r="BI213" s="23">
        <f t="shared" ref="BI213" si="5005">($O213*$Q213*$S213)^(1/3)/(BI208*((1-BI$2)*$H208+BI$2*$H209) + BI210*((1-BI$2)*$H210+BI$2*$H211) + BI212*((1-BI$2)*$H212+BI$2*$H213))</f>
        <v>3050.6928986793764</v>
      </c>
      <c r="BJ213" s="23">
        <f t="shared" ref="BJ213" si="5006">($O213*$Q213*$S213)^(1/3)/(BJ208*((1-BJ$2)*$H208+BJ$2*$H209) + BJ210*((1-BJ$2)*$H210+BJ$2*$H211) + BJ212*((1-BJ$2)*$H212+BJ$2*$H213))</f>
        <v>3194.6083940961689</v>
      </c>
      <c r="BK213" s="23">
        <f t="shared" ref="BK213" si="5007">($O213*$Q213*$S213)^(1/3)/(BK208*((1-BK$2)*$H208+BK$2*$H209) + BK210*((1-BK$2)*$H210+BK$2*$H211) + BK212*((1-BK$2)*$H212+BK$2*$H213))</f>
        <v>3684.3157060887661</v>
      </c>
      <c r="BL213" s="23">
        <f t="shared" ref="BL213" si="5008">($O213*$Q213*$S213)^(1/3)/(BL208*((1-BL$2)*$H208+BL$2*$H209) + BL210*((1-BL$2)*$H210+BL$2*$H211) + BL212*((1-BL$2)*$H212+BL$2*$H213))</f>
        <v>2297.59848653366</v>
      </c>
      <c r="BM213" s="23">
        <f t="shared" ref="BM213" si="5009">($O213*$Q213*$S213)^(1/3)/(BM208*((1-BM$2)*$H208+BM$2*$H209) + BM210*((1-BM$2)*$H210+BM$2*$H211) + BM212*((1-BM$2)*$H212+BM$2*$H213))</f>
        <v>2379.6100470849815</v>
      </c>
      <c r="BN213" s="23">
        <f t="shared" ref="BN213" si="5010">($O213*$Q213*$S213)^(1/3)/(BN208*((1-BN$2)*$H208+BN$2*$H209) + BN210*((1-BN$2)*$H210+BN$2*$H211) + BN212*((1-BN$2)*$H212+BN$2*$H213))</f>
        <v>2483.4108327713752</v>
      </c>
      <c r="BO213" s="23">
        <f t="shared" ref="BO213" si="5011">($O213*$Q213*$S213)^(1/3)/(BO208*((1-BO$2)*$H208+BO$2*$H209) + BO210*((1-BO$2)*$H210+BO$2*$H211) + BO212*((1-BO$2)*$H212+BO$2*$H213))</f>
        <v>2957.1481325186151</v>
      </c>
      <c r="BP213" s="23">
        <f t="shared" ref="BP213" si="5012">($O213*$Q213*$S213)^(1/3)/(BP208*((1-BP$2)*$H208+BP$2*$H209) + BP210*((1-BP$2)*$H210+BP$2*$H211) + BP212*((1-BP$2)*$H212+BP$2*$H213))</f>
        <v>2792.2203829402119</v>
      </c>
      <c r="BQ213" s="23">
        <f t="shared" ref="BQ213" si="5013">($O213*$Q213*$S213)^(1/3)/(BQ208*((1-BQ$2)*$H208+BQ$2*$H209) + BQ210*((1-BQ$2)*$H210+BQ$2*$H211) + BQ212*((1-BQ$2)*$H212+BQ$2*$H213))</f>
        <v>3248.3088928524353</v>
      </c>
      <c r="BR213" s="23">
        <f t="shared" ref="BR213" si="5014">($O213*$Q213*$S213)^(1/3)/(BR208*((1-BR$2)*$H208+BR$2*$H209) + BR210*((1-BR$2)*$H210+BR$2*$H211) + BR212*((1-BR$2)*$H212+BR$2*$H213))</f>
        <v>3315.2670766783031</v>
      </c>
      <c r="BS213" s="23">
        <f t="shared" ref="BS213" si="5015">($O213*$Q213*$S213)^(1/3)/(BS208*((1-BS$2)*$H208+BS$2*$H209) + BS210*((1-BS$2)*$H210+BS$2*$H211) + BS212*((1-BS$2)*$H212+BS$2*$H213))</f>
        <v>3721.8835766816592</v>
      </c>
      <c r="BT213" s="23">
        <f t="shared" ref="BT213" si="5016">($O213*$Q213*$S213)^(1/3)/(BT208*((1-BT$2)*$H208+BT$2*$H209) + BT210*((1-BT$2)*$H210+BT$2*$H211) + BT212*((1-BT$2)*$H212+BT$2*$H213))</f>
        <v>2590.5808438768781</v>
      </c>
      <c r="BU213" s="23">
        <f t="shared" ref="BU213" si="5017">($O213*$Q213*$S213)^(1/3)/(BU208*((1-BU$2)*$H208+BU$2*$H209) + BU210*((1-BU$2)*$H210+BU$2*$H211) + BU212*((1-BU$2)*$H212+BU$2*$H213))</f>
        <v>2661.5403681209073</v>
      </c>
      <c r="BV213" s="23">
        <f t="shared" ref="BV213" si="5018">($O213*$Q213*$S213)^(1/3)/(BV208*((1-BV$2)*$H208+BV$2*$H209) + BV210*((1-BV$2)*$H210+BV$2*$H211) + BV212*((1-BV$2)*$H212+BV$2*$H213))</f>
        <v>2751.5659169009309</v>
      </c>
      <c r="BW213" s="23">
        <f t="shared" ref="BW213" si="5019">($O213*$Q213*$S213)^(1/3)/(BW208*((1-BW$2)*$H208+BW$2*$H209) + BW210*((1-BW$2)*$H210+BW$2*$H211) + BW212*((1-BW$2)*$H212+BW$2*$H213))</f>
        <v>3227.1934931977912</v>
      </c>
      <c r="BX213" s="23">
        <f t="shared" ref="BX213" si="5020">($O213*$Q213*$S213)^(1/3)/(BX208*((1-BX$2)*$H208+BX$2*$H209) + BX210*((1-BX$2)*$H210+BX$2*$H211) + BX212*((1-BX$2)*$H212+BX$2*$H213))</f>
        <v>3016.5406825387222</v>
      </c>
      <c r="BY213" s="23">
        <f t="shared" ref="BY213" si="5021">($O213*$Q213*$S213)^(1/3)/(BY208*((1-BY$2)*$H208+BY$2*$H209) + BY210*((1-BY$2)*$H210+BY$2*$H211) + BY212*((1-BY$2)*$H212+BY$2*$H213))</f>
        <v>3473.3003013308876</v>
      </c>
      <c r="BZ213" s="23">
        <f t="shared" ref="BZ213" si="5022">($O213*$Q213*$S213)^(1/3)/(BZ208*((1-BZ$2)*$H208+BZ$2*$H209) + BZ210*((1-BZ$2)*$H210+BZ$2*$H211) + BZ212*((1-BZ$2)*$H212+BZ$2*$H213))</f>
        <v>3445.3979491456034</v>
      </c>
      <c r="CA213" s="23">
        <f t="shared" ref="CA213" si="5023">($O213*$Q213*$S213)^(1/3)/(CA208*((1-CA$2)*$H208+CA$2*$H209) + CA210*((1-CA$2)*$H210+CA$2*$H211) + CA212*((1-CA$2)*$H212+CA$2*$H213))</f>
        <v>3760.2254766094825</v>
      </c>
      <c r="CB213" s="23">
        <f t="shared" ref="CB213" si="5024">($O213*$Q213*$S213)^(1/3)/(CB208*((1-CB$2)*$H208+CB$2*$H209) + CB210*((1-CB$2)*$H210+CB$2*$H211) + CB212*((1-CB$2)*$H212+CB$2*$H213))</f>
        <v>2969.2041979819605</v>
      </c>
      <c r="CC213" s="23">
        <f t="shared" ref="CC213" si="5025">($O213*$Q213*$S213)^(1/3)/(CC208*((1-CC$2)*$H208+CC$2*$H209) + CC210*((1-CC$2)*$H210+CC$2*$H211) + CC212*((1-CC$2)*$H212+CC$2*$H213))</f>
        <v>3019.2541416375675</v>
      </c>
      <c r="CD213" s="23">
        <f t="shared" ref="CD213" si="5026">($O213*$Q213*$S213)^(1/3)/(CD208*((1-CD$2)*$H208+CD$2*$H209) + CD210*((1-CD$2)*$H210+CD$2*$H211) + CD212*((1-CD$2)*$H212+CD$2*$H213))</f>
        <v>3084.6409536712731</v>
      </c>
      <c r="CE213" s="23">
        <f t="shared" ref="CE213" si="5027">($O213*$Q213*$S213)^(1/3)/(CE208*((1-CE$2)*$H208+CE$2*$H209) + CE210*((1-CE$2)*$H210+CE$2*$H211) + CE212*((1-CE$2)*$H212+CE$2*$H213))</f>
        <v>3551.5162693808234</v>
      </c>
      <c r="CF213" s="23">
        <f t="shared" ref="CF213" si="5028">($O213*$Q213*$S213)^(1/3)/(CF208*((1-CF$2)*$H208+CF$2*$H209) + CF210*((1-CF$2)*$H210+CF$2*$H211) + CF212*((1-CF$2)*$H212+CF$2*$H213))</f>
        <v>3280.052224147305</v>
      </c>
      <c r="CG213" s="23">
        <f t="shared" ref="CG213" si="5029">($O213*$Q213*$S213)^(1/3)/(CG208*((1-CG$2)*$H208+CG$2*$H209) + CG210*((1-CG$2)*$H210+CG$2*$H211) + CG212*((1-CG$2)*$H212+CG$2*$H213))</f>
        <v>3731.7788537502283</v>
      </c>
      <c r="CH213" s="23">
        <f t="shared" ref="CH213" si="5030">($O213*$Q213*$S213)^(1/3)/(CH208*((1-CH$2)*$H208+CH$2*$H209) + CH210*((1-CH$2)*$H210+CH$2*$H211) + CH212*((1-CH$2)*$H212+CH$2*$H213))</f>
        <v>3586.1619894797682</v>
      </c>
      <c r="CI213" s="23">
        <f t="shared" ref="CI213" si="5031">($O213*$Q213*$S213)^(1/3)/(CI208*((1-CI$2)*$H208+CI$2*$H209) + CI210*((1-CI$2)*$H210+CI$2*$H211) + CI212*((1-CI$2)*$H212+CI$2*$H213))</f>
        <v>3799.3655764324503</v>
      </c>
      <c r="CJ213" s="23">
        <f t="shared" ref="CJ213" si="5032">($O213*$Q213*$S213)^(1/3)/(CJ208*((1-CJ$2)*$H208+CJ$2*$H209) + CJ210*((1-CJ$2)*$H210+CJ$2*$H211) + CJ212*((1-CJ$2)*$H212+CJ$2*$H213))</f>
        <v>3477.4463579968906</v>
      </c>
      <c r="CK213" s="23">
        <f t="shared" ref="CK213" si="5033">($O213*$Q213*$S213)^(1/3)/(CK208*((1-CK$2)*$H208+CK$2*$H209) + CK210*((1-CK$2)*$H210+CK$2*$H211) + CK212*((1-CK$2)*$H212+CK$2*$H213))</f>
        <v>3488.051921271026</v>
      </c>
      <c r="CL213" s="23">
        <f t="shared" ref="CL213" si="5034">($O213*$Q213*$S213)^(1/3)/(CL208*((1-CL$2)*$H208+CL$2*$H209) + CL210*((1-CL$2)*$H210+CL$2*$H211) + CL212*((1-CL$2)*$H212+CL$2*$H213))</f>
        <v>3509.4583087864971</v>
      </c>
      <c r="CM213" s="23">
        <f t="shared" ref="CM213" si="5035">($O213*$Q213*$S213)^(1/3)/(CM208*((1-CM$2)*$H208+CM$2*$H209) + CM210*((1-CM$2)*$H210+CM$2*$H211) + CM212*((1-CM$2)*$H212+CM$2*$H213))</f>
        <v>3948.30886830487</v>
      </c>
      <c r="CN213" s="23">
        <f t="shared" ref="CN213" si="5036">($O213*$Q213*$S213)^(1/3)/(CN208*((1-CN$2)*$H208+CN$2*$H209) + CN210*((1-CN$2)*$H210+CN$2*$H211) + CN212*((1-CN$2)*$H212+CN$2*$H213))</f>
        <v>3594.0088057509765</v>
      </c>
      <c r="CO213" s="23">
        <f t="shared" ref="CO213" si="5037">($O213*$Q213*$S213)^(1/3)/(CO208*((1-CO$2)*$H208+CO$2*$H209) + CO210*((1-CO$2)*$H210+CO$2*$H211) + CO212*((1-CO$2)*$H212+CO$2*$H213))</f>
        <v>4031.821864344221</v>
      </c>
      <c r="CP213" s="23">
        <f t="shared" ref="CP213" si="5038">($O213*$Q213*$S213)^(1/3)/(CP208*((1-CP$2)*$H208+CP$2*$H209) + CP210*((1-CP$2)*$H210+CP$2*$H211) + CP212*((1-CP$2)*$H212+CP$2*$H213))</f>
        <v>3738.9179875302566</v>
      </c>
      <c r="CQ213" s="23">
        <f t="shared" ref="CQ213" si="5039">($O213*$Q213*$S213)^(1/3)/(CQ208*((1-CQ$2)*$H208+CQ$2*$H209) + CQ210*((1-CQ$2)*$H210+CQ$2*$H211) + CQ212*((1-CQ$2)*$H212+CQ$2*$H213))</f>
        <v>3839.3290636593797</v>
      </c>
      <c r="CS213" s="2">
        <f t="shared" ref="CS213" si="5040">100*$AF213/AF213</f>
        <v>100</v>
      </c>
      <c r="CT213" s="2">
        <f t="shared" ref="CT213" si="5041">100*$AF213/AG213</f>
        <v>94.647540983606561</v>
      </c>
      <c r="CU213" s="2">
        <f t="shared" ref="CU213" si="5042">100*$AF213/AH213</f>
        <v>88.532786885245912</v>
      </c>
      <c r="CV213" s="2">
        <f t="shared" ref="CV213" si="5043">100*$AF213/AI213</f>
        <v>71.401639344262307</v>
      </c>
      <c r="CW213" s="2">
        <f t="shared" ref="CW213" si="5044">100*$AF213/AJ213</f>
        <v>73.508196721311478</v>
      </c>
      <c r="CX213" s="2">
        <f t="shared" ref="CX213" si="5045">100*$AF213/AK213</f>
        <v>61.319672131147549</v>
      </c>
      <c r="CY213" s="2">
        <f t="shared" ref="CY213" si="5046">100*$AF213/AL213</f>
        <v>54.92622950819672</v>
      </c>
      <c r="CZ213" s="2">
        <f t="shared" ref="CZ213" si="5047">100*$AF213/AM213</f>
        <v>44.237704918032783</v>
      </c>
      <c r="DA213" s="2">
        <f t="shared" ref="DA213" si="5048">100*$AF213/AN213</f>
        <v>92.21311475409837</v>
      </c>
      <c r="DB213" s="2">
        <f t="shared" ref="DB213" si="5049">100*$AF213/AO213</f>
        <v>87.605532786885249</v>
      </c>
      <c r="DC213" s="2">
        <f t="shared" ref="DC213" si="5050">100*$AF213/AP213</f>
        <v>82.324795081967224</v>
      </c>
      <c r="DD213" s="2">
        <f t="shared" ref="DD213" si="5051">100*$AF213/AQ213</f>
        <v>66.92520491803279</v>
      </c>
      <c r="DE213" s="2">
        <f t="shared" ref="DE213" si="5052">100*$AF213/AR213</f>
        <v>69.295081967213122</v>
      </c>
      <c r="DF213" s="2">
        <f t="shared" ref="DF213" si="5053">100*$AF213/AS213</f>
        <v>58.164959016393446</v>
      </c>
      <c r="DG213" s="2">
        <f t="shared" ref="DG213" si="5054">100*$AF213/AT213</f>
        <v>53.123975409836071</v>
      </c>
      <c r="DH213" s="2">
        <f t="shared" ref="DH213" si="5055">100*$AF213/AU213</f>
        <v>43.804303278688529</v>
      </c>
      <c r="DI213" s="2">
        <f t="shared" ref="DI213" si="5056">100*$AF213/AV213</f>
        <v>84.426229508196727</v>
      </c>
      <c r="DJ213" s="2">
        <f t="shared" ref="DJ213" si="5057">100*$AF213/AW213</f>
        <v>80.563524590163937</v>
      </c>
      <c r="DK213" s="2">
        <f t="shared" ref="DK213" si="5058">100*$AF213/AX213</f>
        <v>76.116803278688522</v>
      </c>
      <c r="DL213" s="2">
        <f t="shared" ref="DL213" si="5059">100*$AF213/AY213</f>
        <v>62.448770491803273</v>
      </c>
      <c r="DM213" s="2">
        <f t="shared" ref="DM213" si="5060">100*$AF213/AZ213</f>
        <v>65.081967213114751</v>
      </c>
      <c r="DN213" s="2">
        <f t="shared" ref="DN213" si="5061">100*$AF213/BA213</f>
        <v>55.010245901639337</v>
      </c>
      <c r="DO213" s="2">
        <f t="shared" ref="DO213" si="5062">100*$AF213/BB213</f>
        <v>51.321721311475407</v>
      </c>
      <c r="DP213" s="2">
        <f t="shared" ref="DP213" si="5063">100*$AF213/BC213</f>
        <v>43.370901639344261</v>
      </c>
      <c r="DQ213" s="2">
        <f t="shared" ref="DQ213" si="5064">100*$AF213/BD213</f>
        <v>76.639344262295083</v>
      </c>
      <c r="DR213" s="2">
        <f t="shared" ref="DR213" si="5065">100*$AF213/BE213</f>
        <v>73.521516393442639</v>
      </c>
      <c r="DS213" s="2">
        <f t="shared" ref="DS213" si="5066">100*$AF213/BF213</f>
        <v>69.908811475409848</v>
      </c>
      <c r="DT213" s="2">
        <f t="shared" ref="DT213" si="5067">100*$AF213/BG213</f>
        <v>57.972336065573778</v>
      </c>
      <c r="DU213" s="2">
        <f t="shared" ref="DU213" si="5068">100*$AF213/BH213</f>
        <v>60.868852459016388</v>
      </c>
      <c r="DV213" s="2">
        <f t="shared" ref="DV213" si="5069">100*$AF213/BI213</f>
        <v>51.855532786885256</v>
      </c>
      <c r="DW213" s="2">
        <f t="shared" ref="DW213" si="5070">100*$AF213/BJ213</f>
        <v>49.519467213114758</v>
      </c>
      <c r="DX213" s="2">
        <f t="shared" ref="DX213" si="5071">100*$AF213/BK213</f>
        <v>42.937500000000007</v>
      </c>
      <c r="DY213" s="2">
        <f t="shared" ref="DY213" si="5072">100*$AF213/BL213</f>
        <v>68.852459016393439</v>
      </c>
      <c r="DZ213" s="2">
        <f t="shared" ref="DZ213" si="5073">100*$AF213/BM213</f>
        <v>66.479508196721312</v>
      </c>
      <c r="EA213" s="2">
        <f t="shared" ref="EA213" si="5074">100*$AF213/BN213</f>
        <v>63.700819672131153</v>
      </c>
      <c r="EB213" s="2">
        <f t="shared" ref="EB213" si="5075">100*$AF213/BO213</f>
        <v>53.495901639344268</v>
      </c>
      <c r="EC213" s="2">
        <f t="shared" ref="EC213" si="5076">100*$AF213/BP213</f>
        <v>56.655737704918032</v>
      </c>
      <c r="ED213" s="2">
        <f t="shared" ref="ED213" si="5077">100*$AF213/BQ213</f>
        <v>48.700819672131146</v>
      </c>
      <c r="EE213" s="2">
        <f t="shared" ref="EE213" si="5078">100*$AF213/BR213</f>
        <v>47.717213114754102</v>
      </c>
      <c r="EF213" s="2">
        <f t="shared" ref="EF213" si="5079">100*$AF213/BS213</f>
        <v>42.504098360655739</v>
      </c>
      <c r="EG213" s="2">
        <f t="shared" ref="EG213" si="5080">100*$AF213/BT213</f>
        <v>61.06557377049181</v>
      </c>
      <c r="EH213" s="2">
        <f t="shared" ref="EH213" si="5081">100*$AF213/BU213</f>
        <v>59.4375</v>
      </c>
      <c r="EI213" s="2">
        <f t="shared" ref="EI213" si="5082">100*$AF213/BV213</f>
        <v>57.492827868852466</v>
      </c>
      <c r="EJ213" s="2">
        <f t="shared" ref="EJ213" si="5083">100*$AF213/BW213</f>
        <v>49.019467213114766</v>
      </c>
      <c r="EK213" s="2">
        <f t="shared" ref="EK213" si="5084">100*$AF213/BX213</f>
        <v>52.442622950819668</v>
      </c>
      <c r="EL213" s="2">
        <f t="shared" ref="EL213" si="5085">100*$AF213/BY213</f>
        <v>45.546106557377051</v>
      </c>
      <c r="EM213" s="2">
        <f t="shared" ref="EM213" si="5086">100*$AF213/BZ213</f>
        <v>45.914959016393453</v>
      </c>
      <c r="EN213" s="2">
        <f t="shared" ref="EN213" si="5087">100*$AF213/CA213</f>
        <v>42.070696721311471</v>
      </c>
      <c r="EO213" s="2">
        <f t="shared" ref="EO213" si="5088">100*$AF213/CB213</f>
        <v>53.278688524590166</v>
      </c>
      <c r="EP213" s="2">
        <f t="shared" ref="EP213" si="5089">100*$AF213/CC213</f>
        <v>52.395491803278695</v>
      </c>
      <c r="EQ213" s="2">
        <f t="shared" ref="EQ213" si="5090">100*$AF213/CD213</f>
        <v>51.284836065573785</v>
      </c>
      <c r="ER213" s="2">
        <f t="shared" ref="ER213" si="5091">100*$AF213/CE213</f>
        <v>44.543032786885256</v>
      </c>
      <c r="ES213" s="2">
        <f t="shared" ref="ES213" si="5092">100*$AF213/CF213</f>
        <v>48.229508196721312</v>
      </c>
      <c r="ET213" s="2">
        <f t="shared" ref="ET213" si="5093">100*$AF213/CG213</f>
        <v>42.391393442622949</v>
      </c>
      <c r="EU213" s="2">
        <f t="shared" ref="EU213" si="5094">100*$AF213/CH213</f>
        <v>44.11270491803279</v>
      </c>
      <c r="EV213" s="2">
        <f t="shared" ref="EV213" si="5095">100*$AF213/CI213</f>
        <v>41.637295081967224</v>
      </c>
      <c r="EW213" s="2">
        <f t="shared" ref="EW213" si="5096">100*$AF213/CJ213</f>
        <v>45.491803278688529</v>
      </c>
      <c r="EX213" s="2">
        <f t="shared" ref="EX213" si="5097">100*$AF213/CK213</f>
        <v>45.353483606557376</v>
      </c>
      <c r="EY213" s="2">
        <f t="shared" ref="EY213" si="5098">100*$AF213/CL213</f>
        <v>45.076844262295083</v>
      </c>
      <c r="EZ213" s="2">
        <f t="shared" ref="EZ213" si="5099">100*$AF213/CM213</f>
        <v>40.066598360655739</v>
      </c>
      <c r="FA213" s="2">
        <f t="shared" ref="FA213" si="5100">100*$AF213/CN213</f>
        <v>44.016393442622949</v>
      </c>
      <c r="FB213" s="2">
        <f t="shared" ref="FB213" si="5101">100*$AF213/CO213</f>
        <v>39.236680327868854</v>
      </c>
      <c r="FC213" s="2">
        <f t="shared" ref="FC213" si="5102">100*$AF213/CP213</f>
        <v>42.310450819672134</v>
      </c>
      <c r="FD213" s="2">
        <f t="shared" ref="FD213" si="5103">100*$AF213/CQ213</f>
        <v>41.203893442622949</v>
      </c>
    </row>
    <row r="214" spans="3:160" x14ac:dyDescent="0.4">
      <c r="C214" s="1" t="s">
        <v>45</v>
      </c>
      <c r="D214" s="1" t="s">
        <v>5</v>
      </c>
      <c r="E214" s="1">
        <v>0.248</v>
      </c>
      <c r="F214" s="1">
        <v>0.13900000000000001</v>
      </c>
      <c r="G214" s="1">
        <v>0.109</v>
      </c>
      <c r="H214" s="1">
        <v>6.0999999999999999E-2</v>
      </c>
      <c r="I214" s="1">
        <v>5417</v>
      </c>
      <c r="J214" s="1">
        <v>4669</v>
      </c>
      <c r="K214" s="1">
        <v>72</v>
      </c>
      <c r="L214" s="1">
        <v>6441</v>
      </c>
      <c r="M214" s="1">
        <v>6691</v>
      </c>
      <c r="N214" s="1">
        <v>75.5</v>
      </c>
      <c r="O214" s="1">
        <v>96.5</v>
      </c>
      <c r="P214" s="1">
        <v>90.5</v>
      </c>
      <c r="Q214" s="1">
        <v>97</v>
      </c>
      <c r="R214" s="1">
        <v>51</v>
      </c>
      <c r="S214" s="1">
        <v>96</v>
      </c>
      <c r="T214" s="4">
        <v>0</v>
      </c>
      <c r="U214" s="1">
        <v>1.1830000000000001</v>
      </c>
      <c r="V214" s="1">
        <v>6.3E-2</v>
      </c>
      <c r="W214" s="1">
        <v>4.0199999999999996</v>
      </c>
      <c r="X214" s="1">
        <f t="shared" ref="X214" si="5104">H215</f>
        <v>2.4E-2</v>
      </c>
      <c r="Y214" s="1">
        <f t="shared" ref="Y214" si="5105">H216</f>
        <v>5.6000000000000001E-2</v>
      </c>
      <c r="Z214" s="1">
        <f t="shared" ref="Z214" si="5106">H217</f>
        <v>2.5000000000000001E-2</v>
      </c>
      <c r="AA214" s="1">
        <f t="shared" ref="AA214" si="5107">H218</f>
        <v>2.1000000000000001E-2</v>
      </c>
      <c r="AB214" s="1">
        <f t="shared" ref="AB214" si="5108">H219</f>
        <v>2.5000000000000001E-2</v>
      </c>
      <c r="AC214" s="1">
        <f t="shared" si="4641"/>
        <v>3855.1080212697489</v>
      </c>
      <c r="AE214" s="1" t="s">
        <v>96</v>
      </c>
      <c r="AF214" s="1">
        <v>1</v>
      </c>
      <c r="AG214" s="1">
        <v>0.81499999999999995</v>
      </c>
      <c r="AH214" s="1">
        <v>0.64500000000000002</v>
      </c>
      <c r="AI214" s="1">
        <v>0.39500000000000002</v>
      </c>
      <c r="AJ214" s="1">
        <v>0.36</v>
      </c>
      <c r="AK214" s="1">
        <v>0.245</v>
      </c>
      <c r="AL214" s="1">
        <v>0.14499999999999999</v>
      </c>
      <c r="AM214" s="20">
        <v>6.5000000000000002E-2</v>
      </c>
      <c r="AN214" s="1">
        <v>1</v>
      </c>
      <c r="AO214" s="1">
        <v>0.81499999999999995</v>
      </c>
      <c r="AP214" s="1">
        <v>0.64500000000000002</v>
      </c>
      <c r="AQ214" s="1">
        <v>0.39500000000000002</v>
      </c>
      <c r="AR214" s="1">
        <v>0.36</v>
      </c>
      <c r="AS214" s="1">
        <v>0.245</v>
      </c>
      <c r="AT214" s="1">
        <v>0.14499999999999999</v>
      </c>
      <c r="AU214" s="20">
        <v>6.5000000000000002E-2</v>
      </c>
      <c r="AV214" s="1">
        <v>1</v>
      </c>
      <c r="AW214" s="1">
        <v>0.81499999999999995</v>
      </c>
      <c r="AX214" s="1">
        <v>0.64500000000000002</v>
      </c>
      <c r="AY214" s="1">
        <v>0.39500000000000002</v>
      </c>
      <c r="AZ214" s="1">
        <v>0.36</v>
      </c>
      <c r="BA214" s="1">
        <v>0.245</v>
      </c>
      <c r="BB214" s="1">
        <v>0.14499999999999999</v>
      </c>
      <c r="BC214" s="20">
        <v>6.5000000000000002E-2</v>
      </c>
      <c r="BD214" s="1">
        <v>1</v>
      </c>
      <c r="BE214" s="1">
        <v>0.81499999999999995</v>
      </c>
      <c r="BF214" s="1">
        <v>0.64500000000000002</v>
      </c>
      <c r="BG214" s="1">
        <v>0.39500000000000002</v>
      </c>
      <c r="BH214" s="1">
        <v>0.36</v>
      </c>
      <c r="BI214" s="1">
        <v>0.245</v>
      </c>
      <c r="BJ214" s="1">
        <v>0.14499999999999999</v>
      </c>
      <c r="BK214" s="20">
        <v>6.5000000000000002E-2</v>
      </c>
      <c r="BL214" s="1">
        <v>1</v>
      </c>
      <c r="BM214" s="1">
        <v>0.81499999999999995</v>
      </c>
      <c r="BN214" s="1">
        <v>0.64500000000000002</v>
      </c>
      <c r="BO214" s="1">
        <v>0.39500000000000002</v>
      </c>
      <c r="BP214" s="1">
        <v>0.36</v>
      </c>
      <c r="BQ214" s="1">
        <v>0.245</v>
      </c>
      <c r="BR214" s="1">
        <v>0.14499999999999999</v>
      </c>
      <c r="BS214" s="20">
        <v>6.5000000000000002E-2</v>
      </c>
      <c r="BT214" s="1">
        <v>1</v>
      </c>
      <c r="BU214" s="1">
        <v>0.81499999999999995</v>
      </c>
      <c r="BV214" s="1">
        <v>0.64500000000000002</v>
      </c>
      <c r="BW214" s="1">
        <v>0.39500000000000002</v>
      </c>
      <c r="BX214" s="1">
        <v>0.36</v>
      </c>
      <c r="BY214" s="1">
        <v>0.245</v>
      </c>
      <c r="BZ214" s="1">
        <v>0.14499999999999999</v>
      </c>
      <c r="CA214" s="20">
        <v>6.5000000000000002E-2</v>
      </c>
      <c r="CB214" s="1">
        <v>1</v>
      </c>
      <c r="CC214" s="1">
        <v>0.81499999999999995</v>
      </c>
      <c r="CD214" s="1">
        <v>0.64500000000000002</v>
      </c>
      <c r="CE214" s="1">
        <v>0.39500000000000002</v>
      </c>
      <c r="CF214" s="1">
        <v>0.36</v>
      </c>
      <c r="CG214" s="1">
        <v>0.245</v>
      </c>
      <c r="CH214" s="1">
        <v>0.14499999999999999</v>
      </c>
      <c r="CI214" s="20">
        <v>6.5000000000000002E-2</v>
      </c>
      <c r="CJ214" s="1">
        <v>1</v>
      </c>
      <c r="CK214" s="1">
        <v>0.81499999999999995</v>
      </c>
      <c r="CL214" s="1">
        <v>0.64500000000000002</v>
      </c>
      <c r="CM214" s="1">
        <v>0.39500000000000002</v>
      </c>
      <c r="CN214" s="1">
        <v>0.36</v>
      </c>
      <c r="CO214" s="1">
        <v>0.245</v>
      </c>
      <c r="CP214" s="1">
        <v>0.14499999999999999</v>
      </c>
      <c r="CQ214" s="20">
        <v>6.5000000000000002E-2</v>
      </c>
    </row>
    <row r="215" spans="3:160" x14ac:dyDescent="0.4">
      <c r="C215" s="1" t="s">
        <v>45</v>
      </c>
      <c r="D215" s="1" t="s">
        <v>6</v>
      </c>
      <c r="E215" s="1">
        <v>0.20100000000000001</v>
      </c>
      <c r="F215" s="1">
        <v>9.4E-2</v>
      </c>
      <c r="G215" s="1">
        <v>0.108</v>
      </c>
      <c r="H215" s="1">
        <v>2.4E-2</v>
      </c>
      <c r="I215" s="1">
        <v>5417</v>
      </c>
      <c r="J215" s="1">
        <v>4669</v>
      </c>
      <c r="K215" s="1">
        <v>72</v>
      </c>
      <c r="L215" s="1">
        <v>6441</v>
      </c>
      <c r="M215" s="1">
        <v>6691</v>
      </c>
      <c r="N215" s="1">
        <v>75.5</v>
      </c>
      <c r="O215" s="1">
        <v>96.5</v>
      </c>
      <c r="P215" s="1">
        <v>90.5</v>
      </c>
      <c r="Q215" s="1">
        <v>97</v>
      </c>
      <c r="R215" s="1">
        <v>51</v>
      </c>
      <c r="S215" s="1">
        <v>96</v>
      </c>
      <c r="T215" s="4">
        <v>0</v>
      </c>
      <c r="U215" s="1">
        <v>1.1830000000000001</v>
      </c>
      <c r="V215" s="1">
        <v>6.3E-2</v>
      </c>
      <c r="W215" s="1">
        <v>4.0199999999999996</v>
      </c>
      <c r="X215" s="1">
        <f t="shared" ref="X215" si="5109">H215</f>
        <v>2.4E-2</v>
      </c>
      <c r="Y215" s="1">
        <f t="shared" ref="Y215" si="5110">H216</f>
        <v>5.6000000000000001E-2</v>
      </c>
      <c r="Z215" s="1">
        <f t="shared" ref="Z215" si="5111">H217</f>
        <v>2.5000000000000001E-2</v>
      </c>
      <c r="AA215" s="1">
        <f t="shared" ref="AA215" si="5112">H218</f>
        <v>2.1000000000000001E-2</v>
      </c>
      <c r="AB215" s="1">
        <f t="shared" ref="AB215" si="5113">H219</f>
        <v>2.5000000000000001E-2</v>
      </c>
      <c r="AC215" s="1">
        <f t="shared" si="4641"/>
        <v>3855.1080212697489</v>
      </c>
      <c r="CQ215" s="20"/>
    </row>
    <row r="216" spans="3:160" x14ac:dyDescent="0.4">
      <c r="C216" s="1" t="s">
        <v>45</v>
      </c>
      <c r="D216" s="1" t="s">
        <v>7</v>
      </c>
      <c r="E216" s="1">
        <v>0.24199999999999999</v>
      </c>
      <c r="F216" s="1">
        <v>0.13400000000000001</v>
      </c>
      <c r="G216" s="1">
        <v>0.108</v>
      </c>
      <c r="H216" s="1">
        <v>5.6000000000000001E-2</v>
      </c>
      <c r="I216" s="1">
        <v>5417</v>
      </c>
      <c r="J216" s="1">
        <v>4669</v>
      </c>
      <c r="K216" s="1">
        <v>72</v>
      </c>
      <c r="L216" s="1">
        <v>6441</v>
      </c>
      <c r="M216" s="1">
        <v>6691</v>
      </c>
      <c r="N216" s="1">
        <v>75.5</v>
      </c>
      <c r="O216" s="1">
        <v>96.5</v>
      </c>
      <c r="P216" s="1">
        <v>90.5</v>
      </c>
      <c r="Q216" s="1">
        <v>97</v>
      </c>
      <c r="R216" s="1">
        <v>51</v>
      </c>
      <c r="S216" s="1">
        <v>96</v>
      </c>
      <c r="T216" s="4">
        <v>0</v>
      </c>
      <c r="U216" s="1">
        <v>1.1830000000000001</v>
      </c>
      <c r="V216" s="1">
        <v>6.3E-2</v>
      </c>
      <c r="W216" s="1">
        <v>4.0199999999999996</v>
      </c>
      <c r="X216" s="1">
        <f t="shared" ref="X216" si="5114">H215</f>
        <v>2.4E-2</v>
      </c>
      <c r="Y216" s="1">
        <f t="shared" ref="Y216" si="5115">H216</f>
        <v>5.6000000000000001E-2</v>
      </c>
      <c r="Z216" s="1">
        <f t="shared" ref="Z216" si="5116">H217</f>
        <v>2.5000000000000001E-2</v>
      </c>
      <c r="AA216" s="1">
        <f t="shared" ref="AA216" si="5117">H218</f>
        <v>2.1000000000000001E-2</v>
      </c>
      <c r="AB216" s="1">
        <f t="shared" ref="AB216" si="5118">H219</f>
        <v>2.5000000000000001E-2</v>
      </c>
      <c r="AC216" s="1">
        <f t="shared" si="4641"/>
        <v>3855.1080212697489</v>
      </c>
      <c r="AE216" s="1" t="s">
        <v>97</v>
      </c>
      <c r="AF216" s="1">
        <v>0</v>
      </c>
      <c r="AG216" s="1">
        <v>0.12</v>
      </c>
      <c r="AH216" s="1">
        <v>0.21</v>
      </c>
      <c r="AI216" s="1">
        <v>0.26</v>
      </c>
      <c r="AJ216" s="1">
        <v>0.28000000000000003</v>
      </c>
      <c r="AK216" s="1">
        <v>0.26</v>
      </c>
      <c r="AL216" s="1">
        <v>0.21</v>
      </c>
      <c r="AM216" s="20">
        <v>0.12</v>
      </c>
      <c r="AN216" s="1">
        <v>0</v>
      </c>
      <c r="AO216" s="1">
        <v>0.12</v>
      </c>
      <c r="AP216" s="1">
        <v>0.21</v>
      </c>
      <c r="AQ216" s="1">
        <v>0.26</v>
      </c>
      <c r="AR216" s="1">
        <v>0.28000000000000003</v>
      </c>
      <c r="AS216" s="1">
        <v>0.26</v>
      </c>
      <c r="AT216" s="1">
        <v>0.21</v>
      </c>
      <c r="AU216" s="20">
        <v>0.12</v>
      </c>
      <c r="AV216" s="1">
        <v>0</v>
      </c>
      <c r="AW216" s="1">
        <v>0.12</v>
      </c>
      <c r="AX216" s="1">
        <v>0.21</v>
      </c>
      <c r="AY216" s="1">
        <v>0.26</v>
      </c>
      <c r="AZ216" s="1">
        <v>0.28000000000000003</v>
      </c>
      <c r="BA216" s="1">
        <v>0.26</v>
      </c>
      <c r="BB216" s="1">
        <v>0.21</v>
      </c>
      <c r="BC216" s="20">
        <v>0.12</v>
      </c>
      <c r="BD216" s="1">
        <v>0</v>
      </c>
      <c r="BE216" s="1">
        <v>0.12</v>
      </c>
      <c r="BF216" s="1">
        <v>0.21</v>
      </c>
      <c r="BG216" s="1">
        <v>0.26</v>
      </c>
      <c r="BH216" s="1">
        <v>0.28000000000000003</v>
      </c>
      <c r="BI216" s="1">
        <v>0.26</v>
      </c>
      <c r="BJ216" s="1">
        <v>0.21</v>
      </c>
      <c r="BK216" s="20">
        <v>0.12</v>
      </c>
      <c r="BL216" s="1">
        <v>0</v>
      </c>
      <c r="BM216" s="1">
        <v>0.12</v>
      </c>
      <c r="BN216" s="1">
        <v>0.21</v>
      </c>
      <c r="BO216" s="1">
        <v>0.26</v>
      </c>
      <c r="BP216" s="1">
        <v>0.28000000000000003</v>
      </c>
      <c r="BQ216" s="1">
        <v>0.26</v>
      </c>
      <c r="BR216" s="1">
        <v>0.21</v>
      </c>
      <c r="BS216" s="20">
        <v>0.12</v>
      </c>
      <c r="BT216" s="1">
        <v>0</v>
      </c>
      <c r="BU216" s="1">
        <v>0.12</v>
      </c>
      <c r="BV216" s="1">
        <v>0.21</v>
      </c>
      <c r="BW216" s="1">
        <v>0.26</v>
      </c>
      <c r="BX216" s="1">
        <v>0.28000000000000003</v>
      </c>
      <c r="BY216" s="1">
        <v>0.26</v>
      </c>
      <c r="BZ216" s="1">
        <v>0.21</v>
      </c>
      <c r="CA216" s="20">
        <v>0.12</v>
      </c>
      <c r="CB216" s="1">
        <v>0</v>
      </c>
      <c r="CC216" s="1">
        <v>0.12</v>
      </c>
      <c r="CD216" s="1">
        <v>0.21</v>
      </c>
      <c r="CE216" s="1">
        <v>0.26</v>
      </c>
      <c r="CF216" s="1">
        <v>0.28000000000000003</v>
      </c>
      <c r="CG216" s="1">
        <v>0.26</v>
      </c>
      <c r="CH216" s="1">
        <v>0.21</v>
      </c>
      <c r="CI216" s="20">
        <v>0.12</v>
      </c>
      <c r="CJ216" s="1">
        <v>0</v>
      </c>
      <c r="CK216" s="1">
        <v>0.12</v>
      </c>
      <c r="CL216" s="1">
        <v>0.21</v>
      </c>
      <c r="CM216" s="1">
        <v>0.26</v>
      </c>
      <c r="CN216" s="1">
        <v>0.28000000000000003</v>
      </c>
      <c r="CO216" s="1">
        <v>0.26</v>
      </c>
      <c r="CP216" s="1">
        <v>0.21</v>
      </c>
      <c r="CQ216" s="20">
        <v>0.12</v>
      </c>
    </row>
    <row r="217" spans="3:160" x14ac:dyDescent="0.4">
      <c r="C217" s="1" t="s">
        <v>45</v>
      </c>
      <c r="D217" s="1" t="s">
        <v>8</v>
      </c>
      <c r="E217" s="1">
        <v>0.20300000000000001</v>
      </c>
      <c r="F217" s="1">
        <v>9.5000000000000001E-2</v>
      </c>
      <c r="G217" s="1">
        <v>0.108</v>
      </c>
      <c r="H217" s="1">
        <v>2.5000000000000001E-2</v>
      </c>
      <c r="I217" s="1">
        <v>5417</v>
      </c>
      <c r="J217" s="1">
        <v>4669</v>
      </c>
      <c r="K217" s="1">
        <v>72</v>
      </c>
      <c r="L217" s="1">
        <v>6441</v>
      </c>
      <c r="M217" s="1">
        <v>6691</v>
      </c>
      <c r="N217" s="1">
        <v>75.5</v>
      </c>
      <c r="O217" s="1">
        <v>96.5</v>
      </c>
      <c r="P217" s="1">
        <v>90.5</v>
      </c>
      <c r="Q217" s="1">
        <v>97</v>
      </c>
      <c r="R217" s="1">
        <v>51</v>
      </c>
      <c r="S217" s="1">
        <v>96</v>
      </c>
      <c r="T217" s="4">
        <v>0</v>
      </c>
      <c r="U217" s="1">
        <v>1.1830000000000001</v>
      </c>
      <c r="V217" s="1">
        <v>6.3E-2</v>
      </c>
      <c r="W217" s="1">
        <v>4.0199999999999996</v>
      </c>
      <c r="X217" s="1">
        <f t="shared" ref="X217" si="5119">H215</f>
        <v>2.4E-2</v>
      </c>
      <c r="Y217" s="1">
        <f t="shared" ref="Y217" si="5120">H216</f>
        <v>5.6000000000000001E-2</v>
      </c>
      <c r="Z217" s="1">
        <f t="shared" ref="Z217" si="5121">H217</f>
        <v>2.5000000000000001E-2</v>
      </c>
      <c r="AA217" s="1">
        <f t="shared" ref="AA217" si="5122">H218</f>
        <v>2.1000000000000001E-2</v>
      </c>
      <c r="AB217" s="1">
        <f t="shared" ref="AB217" si="5123">H219</f>
        <v>2.5000000000000001E-2</v>
      </c>
      <c r="AC217" s="1">
        <f t="shared" si="4641"/>
        <v>3855.1080212697489</v>
      </c>
      <c r="CQ217" s="20"/>
    </row>
    <row r="218" spans="3:160" x14ac:dyDescent="0.4">
      <c r="C218" s="1" t="s">
        <v>45</v>
      </c>
      <c r="D218" s="1" t="s">
        <v>9</v>
      </c>
      <c r="E218" s="1">
        <v>0.19800000000000001</v>
      </c>
      <c r="F218" s="1">
        <v>0.09</v>
      </c>
      <c r="G218" s="1">
        <v>0.108</v>
      </c>
      <c r="H218" s="1">
        <v>2.1000000000000001E-2</v>
      </c>
      <c r="I218" s="1">
        <v>5417</v>
      </c>
      <c r="J218" s="1">
        <v>4669</v>
      </c>
      <c r="K218" s="1">
        <v>72</v>
      </c>
      <c r="L218" s="1">
        <v>6441</v>
      </c>
      <c r="M218" s="1">
        <v>6691</v>
      </c>
      <c r="N218" s="1">
        <v>75.5</v>
      </c>
      <c r="O218" s="1">
        <v>96.5</v>
      </c>
      <c r="P218" s="1">
        <v>90.5</v>
      </c>
      <c r="Q218" s="1">
        <v>97</v>
      </c>
      <c r="R218" s="1">
        <v>51</v>
      </c>
      <c r="S218" s="1">
        <v>96</v>
      </c>
      <c r="T218" s="4">
        <v>0</v>
      </c>
      <c r="U218" s="1">
        <v>1.1830000000000001</v>
      </c>
      <c r="V218" s="1">
        <v>6.3E-2</v>
      </c>
      <c r="W218" s="1">
        <v>4.0199999999999996</v>
      </c>
      <c r="X218" s="1">
        <f t="shared" ref="X218" si="5124">H215</f>
        <v>2.4E-2</v>
      </c>
      <c r="Y218" s="1">
        <f t="shared" ref="Y218" si="5125">H216</f>
        <v>5.6000000000000001E-2</v>
      </c>
      <c r="Z218" s="1">
        <f t="shared" ref="Z218" si="5126">H217</f>
        <v>2.5000000000000001E-2</v>
      </c>
      <c r="AA218" s="1">
        <f t="shared" ref="AA218" si="5127">H218</f>
        <v>2.1000000000000001E-2</v>
      </c>
      <c r="AB218" s="1">
        <f t="shared" ref="AB218" si="5128">H219</f>
        <v>2.5000000000000001E-2</v>
      </c>
      <c r="AC218" s="1">
        <f t="shared" si="4641"/>
        <v>3855.1080212697489</v>
      </c>
      <c r="AE218" s="1" t="s">
        <v>98</v>
      </c>
      <c r="AF218" s="1">
        <v>0</v>
      </c>
      <c r="AG218" s="1">
        <v>6.5000000000000002E-2</v>
      </c>
      <c r="AH218" s="1">
        <v>0.14499999999999999</v>
      </c>
      <c r="AI218" s="1">
        <v>0.245</v>
      </c>
      <c r="AJ218" s="1">
        <v>0.36</v>
      </c>
      <c r="AK218" s="1">
        <v>0.39500000000000002</v>
      </c>
      <c r="AL218" s="1">
        <v>0.64500000000000002</v>
      </c>
      <c r="AM218" s="20">
        <v>0.81499999999999995</v>
      </c>
      <c r="AN218" s="1">
        <v>0</v>
      </c>
      <c r="AO218" s="1">
        <v>6.5000000000000002E-2</v>
      </c>
      <c r="AP218" s="1">
        <v>0.14499999999999999</v>
      </c>
      <c r="AQ218" s="1">
        <v>0.245</v>
      </c>
      <c r="AR218" s="1">
        <v>0.36</v>
      </c>
      <c r="AS218" s="1">
        <v>0.39500000000000002</v>
      </c>
      <c r="AT218" s="1">
        <v>0.64500000000000002</v>
      </c>
      <c r="AU218" s="20">
        <v>0.81499999999999995</v>
      </c>
      <c r="AV218" s="1">
        <v>0</v>
      </c>
      <c r="AW218" s="1">
        <v>6.5000000000000002E-2</v>
      </c>
      <c r="AX218" s="1">
        <v>0.14499999999999999</v>
      </c>
      <c r="AY218" s="1">
        <v>0.245</v>
      </c>
      <c r="AZ218" s="1">
        <v>0.36</v>
      </c>
      <c r="BA218" s="1">
        <v>0.39500000000000002</v>
      </c>
      <c r="BB218" s="1">
        <v>0.64500000000000002</v>
      </c>
      <c r="BC218" s="20">
        <v>0.81499999999999995</v>
      </c>
      <c r="BD218" s="1">
        <v>0</v>
      </c>
      <c r="BE218" s="1">
        <v>6.5000000000000002E-2</v>
      </c>
      <c r="BF218" s="1">
        <v>0.14499999999999999</v>
      </c>
      <c r="BG218" s="1">
        <v>0.245</v>
      </c>
      <c r="BH218" s="1">
        <v>0.36</v>
      </c>
      <c r="BI218" s="1">
        <v>0.39500000000000002</v>
      </c>
      <c r="BJ218" s="1">
        <v>0.64500000000000002</v>
      </c>
      <c r="BK218" s="20">
        <v>0.81499999999999995</v>
      </c>
      <c r="BL218" s="1">
        <v>0</v>
      </c>
      <c r="BM218" s="1">
        <v>6.5000000000000002E-2</v>
      </c>
      <c r="BN218" s="1">
        <v>0.14499999999999999</v>
      </c>
      <c r="BO218" s="1">
        <v>0.245</v>
      </c>
      <c r="BP218" s="1">
        <v>0.36</v>
      </c>
      <c r="BQ218" s="1">
        <v>0.39500000000000002</v>
      </c>
      <c r="BR218" s="1">
        <v>0.64500000000000002</v>
      </c>
      <c r="BS218" s="20">
        <v>0.81499999999999995</v>
      </c>
      <c r="BT218" s="1">
        <v>0</v>
      </c>
      <c r="BU218" s="1">
        <v>6.5000000000000002E-2</v>
      </c>
      <c r="BV218" s="1">
        <v>0.14499999999999999</v>
      </c>
      <c r="BW218" s="1">
        <v>0.245</v>
      </c>
      <c r="BX218" s="1">
        <v>0.36</v>
      </c>
      <c r="BY218" s="1">
        <v>0.39500000000000002</v>
      </c>
      <c r="BZ218" s="1">
        <v>0.64500000000000002</v>
      </c>
      <c r="CA218" s="20">
        <v>0.81499999999999995</v>
      </c>
      <c r="CB218" s="1">
        <v>0</v>
      </c>
      <c r="CC218" s="1">
        <v>6.5000000000000002E-2</v>
      </c>
      <c r="CD218" s="1">
        <v>0.14499999999999999</v>
      </c>
      <c r="CE218" s="1">
        <v>0.245</v>
      </c>
      <c r="CF218" s="1">
        <v>0.36</v>
      </c>
      <c r="CG218" s="1">
        <v>0.39500000000000002</v>
      </c>
      <c r="CH218" s="1">
        <v>0.64500000000000002</v>
      </c>
      <c r="CI218" s="20">
        <v>0.81499999999999995</v>
      </c>
      <c r="CJ218" s="1">
        <v>0</v>
      </c>
      <c r="CK218" s="1">
        <v>6.5000000000000002E-2</v>
      </c>
      <c r="CL218" s="1">
        <v>0.14499999999999999</v>
      </c>
      <c r="CM218" s="1">
        <v>0.245</v>
      </c>
      <c r="CN218" s="1">
        <v>0.36</v>
      </c>
      <c r="CO218" s="1">
        <v>0.39500000000000002</v>
      </c>
      <c r="CP218" s="1">
        <v>0.64500000000000002</v>
      </c>
      <c r="CQ218" s="20">
        <v>0.81499999999999995</v>
      </c>
    </row>
    <row r="219" spans="3:160" s="50" customFormat="1" ht="10.199999999999999" thickBot="1" x14ac:dyDescent="0.45">
      <c r="C219" s="50" t="s">
        <v>45</v>
      </c>
      <c r="D219" s="50" t="s">
        <v>10</v>
      </c>
      <c r="E219" s="50">
        <v>0.20300000000000001</v>
      </c>
      <c r="F219" s="50">
        <v>9.5000000000000001E-2</v>
      </c>
      <c r="G219" s="50">
        <v>0.108</v>
      </c>
      <c r="H219" s="50">
        <v>2.5000000000000001E-2</v>
      </c>
      <c r="I219" s="50">
        <v>5417</v>
      </c>
      <c r="J219" s="50">
        <v>4669</v>
      </c>
      <c r="K219" s="50">
        <v>72</v>
      </c>
      <c r="L219" s="50">
        <v>6441</v>
      </c>
      <c r="M219" s="50">
        <v>6691</v>
      </c>
      <c r="N219" s="50">
        <v>75.5</v>
      </c>
      <c r="O219" s="50">
        <v>96.5</v>
      </c>
      <c r="P219" s="50">
        <v>90.5</v>
      </c>
      <c r="Q219" s="50">
        <v>97</v>
      </c>
      <c r="R219" s="50">
        <v>51</v>
      </c>
      <c r="S219" s="50">
        <v>96</v>
      </c>
      <c r="T219" s="51">
        <f t="shared" si="4498"/>
        <v>6911.7474589171252</v>
      </c>
      <c r="U219" s="50">
        <v>1.1830000000000001</v>
      </c>
      <c r="V219" s="50">
        <v>6.3E-2</v>
      </c>
      <c r="W219" s="50">
        <v>4.0199999999999996</v>
      </c>
      <c r="X219" s="50">
        <f t="shared" ref="X219" si="5129">H215</f>
        <v>2.4E-2</v>
      </c>
      <c r="Y219" s="50">
        <f t="shared" ref="Y219" si="5130">H216</f>
        <v>5.6000000000000001E-2</v>
      </c>
      <c r="Z219" s="50">
        <f t="shared" ref="Z219" si="5131">H217</f>
        <v>2.5000000000000001E-2</v>
      </c>
      <c r="AA219" s="50">
        <f t="shared" ref="AA219" si="5132">H218</f>
        <v>2.1000000000000001E-2</v>
      </c>
      <c r="AB219" s="50">
        <f t="shared" ref="AB219" si="5133">H219</f>
        <v>2.5000000000000001E-2</v>
      </c>
      <c r="AC219" s="50">
        <f t="shared" si="4641"/>
        <v>3855.1080212697489</v>
      </c>
      <c r="AE219" s="50" t="s">
        <v>99</v>
      </c>
      <c r="AF219" s="52">
        <f>($O219*$Q219*$S219)^(1/3)/(AF214*((1-AF$2)*$H214+AF$2*$H215) + AF216*((1-AF$2)*$H216+AF$2*$H217) + AF218*((1-AF$2)*$H218+AF$2*$H219))</f>
        <v>1581.9530563018643</v>
      </c>
      <c r="AG219" s="52">
        <f t="shared" ref="AG219" si="5134">($O219*$Q219*$S219)^(1/3)/(AG214*((1-AG$2)*$H214+AG$2*$H215) + AG216*((1-AG$2)*$H216+AG$2*$H217) + AG218*((1-AG$2)*$H218+AG$2*$H219))</f>
        <v>1669.5352324293031</v>
      </c>
      <c r="AH219" s="52">
        <f t="shared" ref="AH219" si="5135">($O219*$Q219*$S219)^(1/3)/(AH214*((1-AH$2)*$H214+AH$2*$H215) + AH216*((1-AH$2)*$H216+AH$2*$H217) + AH218*((1-AH$2)*$H218+AH$2*$H219))</f>
        <v>1782.070848280955</v>
      </c>
      <c r="AI219" s="52">
        <f t="shared" ref="AI219" si="5136">($O219*$Q219*$S219)^(1/3)/(AI214*((1-AI$2)*$H214+AI$2*$H215) + AI216*((1-AI$2)*$H216+AI$2*$H217) + AI218*((1-AI$2)*$H218+AI$2*$H219))</f>
        <v>2203.1766309226873</v>
      </c>
      <c r="AJ219" s="52">
        <f t="shared" ref="AJ219" si="5137">($O219*$Q219*$S219)^(1/3)/(AJ214*((1-AJ$2)*$H214+AJ$2*$H215) + AJ216*((1-AJ$2)*$H216+AJ$2*$H217) + AJ218*((1-AJ$2)*$H218+AJ$2*$H219))</f>
        <v>2134.9366467790642</v>
      </c>
      <c r="AK219" s="52">
        <f t="shared" ref="AK219" si="5138">($O219*$Q219*$S219)^(1/3)/(AK214*((1-AK$2)*$H214+AK$2*$H215) + AK216*((1-AK$2)*$H216+AK$2*$H217) + AK218*((1-AK$2)*$H218+AK$2*$H219))</f>
        <v>2552.8872072596218</v>
      </c>
      <c r="AL219" s="52">
        <f t="shared" ref="AL219" si="5139">($O219*$Q219*$S219)^(1/3)/(AL214*((1-AL$2)*$H214+AL$2*$H215) + AL216*((1-AL$2)*$H216+AL$2*$H217) + AL218*((1-AL$2)*$H218+AL$2*$H219))</f>
        <v>2825.7433802170926</v>
      </c>
      <c r="AM219" s="52">
        <f t="shared" ref="AM219" si="5140">($O219*$Q219*$S219)^(1/3)/(AM214*((1-AM$2)*$H214+AM$2*$H215) + AM216*((1-AM$2)*$H216+AM$2*$H217) + AM218*((1-AM$2)*$H218+AM$2*$H219))</f>
        <v>3471.1919580724361</v>
      </c>
      <c r="AN219" s="52">
        <f t="shared" ref="AN219" si="5141">($O219*$Q219*$S219)^(1/3)/(AN214*((1-AN$2)*$H214+AN$2*$H215) + AN216*((1-AN$2)*$H216+AN$2*$H217) + AN218*((1-AN$2)*$H218+AN$2*$H219))</f>
        <v>1711.7363447346113</v>
      </c>
      <c r="AO219" s="52">
        <f t="shared" ref="AO219" si="5142">($O219*$Q219*$S219)^(1/3)/(AO214*((1-AO$2)*$H214+AO$2*$H215) + AO216*((1-AO$2)*$H216+AO$2*$H217) + AO218*((1-AO$2)*$H218+AO$2*$H219))</f>
        <v>1800.420004140326</v>
      </c>
      <c r="AP219" s="52">
        <f t="shared" ref="AP219" si="5143">($O219*$Q219*$S219)^(1/3)/(AP214*((1-AP$2)*$H214+AP$2*$H215) + AP216*((1-AP$2)*$H216+AP$2*$H217) + AP218*((1-AP$2)*$H218+AP$2*$H219))</f>
        <v>1913.6924219464547</v>
      </c>
      <c r="AQ219" s="52">
        <f t="shared" ref="AQ219" si="5144">($O219*$Q219*$S219)^(1/3)/(AQ214*((1-AQ$2)*$H214+AQ$2*$H215) + AQ216*((1-AQ$2)*$H216+AQ$2*$H217) + AQ218*((1-AQ$2)*$H218+AQ$2*$H219))</f>
        <v>2348.5894387834364</v>
      </c>
      <c r="AR219" s="52">
        <f t="shared" ref="AR219" si="5145">($O219*$Q219*$S219)^(1/3)/(AR214*((1-AR$2)*$H214+AR$2*$H215) + AR216*((1-AR$2)*$H216+AR$2*$H217) + AR218*((1-AR$2)*$H218+AR$2*$H219))</f>
        <v>2263.6438290972019</v>
      </c>
      <c r="AS219" s="52">
        <f t="shared" ref="AS219" si="5146">($O219*$Q219*$S219)^(1/3)/(AS214*((1-AS$2)*$H214+AS$2*$H215) + AS216*((1-AS$2)*$H216+AS$2*$H217) + AS218*((1-AS$2)*$H218+AS$2*$H219))</f>
        <v>2691.2310800763789</v>
      </c>
      <c r="AT219" s="52">
        <f t="shared" ref="AT219" si="5147">($O219*$Q219*$S219)^(1/3)/(AT214*((1-AT$2)*$H214+AT$2*$H215) + AT216*((1-AT$2)*$H216+AT$2*$H217) + AT218*((1-AT$2)*$H218+AT$2*$H219))</f>
        <v>2925.268909173034</v>
      </c>
      <c r="AU219" s="52">
        <f t="shared" ref="AU219" si="5148">($O219*$Q219*$S219)^(1/3)/(AU214*((1-AU$2)*$H214+AU$2*$H215) + AU216*((1-AU$2)*$H216+AU$2*$H217) + AU218*((1-AU$2)*$H218+AU$2*$H219))</f>
        <v>3516.4920922646033</v>
      </c>
      <c r="AV219" s="52">
        <f t="shared" ref="AV219" si="5149">($O219*$Q219*$S219)^(1/3)/(AV214*((1-AV$2)*$H214+AV$2*$H215) + AV216*((1-AV$2)*$H216+AV$2*$H217) + AV218*((1-AV$2)*$H218+AV$2*$H219))</f>
        <v>1864.7176122592023</v>
      </c>
      <c r="AW219" s="52">
        <f t="shared" ref="AW219" si="5150">($O219*$Q219*$S219)^(1/3)/(AW214*((1-AW$2)*$H214+AW$2*$H215) + AW216*((1-AW$2)*$H216+AW$2*$H217) + AW218*((1-AW$2)*$H218+AW$2*$H219))</f>
        <v>1953.5721119399491</v>
      </c>
      <c r="AX219" s="52">
        <f t="shared" ref="AX219" si="5151">($O219*$Q219*$S219)^(1/3)/(AX214*((1-AX$2)*$H214+AX$2*$H215) + AX216*((1-AX$2)*$H216+AX$2*$H217) + AX218*((1-AX$2)*$H218+AX$2*$H219))</f>
        <v>2066.3073565357181</v>
      </c>
      <c r="AY219" s="52">
        <f t="shared" ref="AY219" si="5152">($O219*$Q219*$S219)^(1/3)/(AY214*((1-AY$2)*$H214+AY$2*$H215) + AY216*((1-AY$2)*$H216+AY$2*$H217) + AY218*((1-AY$2)*$H218+AY$2*$H219))</f>
        <v>2514.5535698358676</v>
      </c>
      <c r="AZ219" s="52">
        <f t="shared" ref="AZ219" si="5153">($O219*$Q219*$S219)^(1/3)/(AZ214*((1-AZ$2)*$H214+AZ$2*$H215) + AZ216*((1-AZ$2)*$H216+AZ$2*$H217) + AZ218*((1-AZ$2)*$H218+AZ$2*$H219))</f>
        <v>2408.8651131905572</v>
      </c>
      <c r="BA219" s="52">
        <f t="shared" ref="BA219" si="5154">($O219*$Q219*$S219)^(1/3)/(BA214*((1-BA$2)*$H214+BA$2*$H215) + BA216*((1-BA$2)*$H216+BA$2*$H217) + BA218*((1-BA$2)*$H218+BA$2*$H219))</f>
        <v>2845.4280766477818</v>
      </c>
      <c r="BB219" s="52">
        <f t="shared" ref="BB219" si="5155">($O219*$Q219*$S219)^(1/3)/(BB214*((1-BB$2)*$H214+BB$2*$H215) + BB216*((1-BB$2)*$H216+BB$2*$H217) + BB218*((1-BB$2)*$H218+BB$2*$H219))</f>
        <v>3032.0611581450444</v>
      </c>
      <c r="BC219" s="52">
        <f t="shared" ref="BC219" si="5156">($O219*$Q219*$S219)^(1/3)/(BC214*((1-BC$2)*$H214+BC$2*$H215) + BC216*((1-BC$2)*$H216+BC$2*$H217) + BC218*((1-BC$2)*$H218+BC$2*$H219))</f>
        <v>3562.9902223441632</v>
      </c>
      <c r="BD219" s="52">
        <f t="shared" ref="BD219" si="5157">($O219*$Q219*$S219)^(1/3)/(BD214*((1-BD$2)*$H214+BD$2*$H215) + BD216*((1-BD$2)*$H216+BD$2*$H217) + BD218*((1-BD$2)*$H218+BD$2*$H219))</f>
        <v>2047.7270330910071</v>
      </c>
      <c r="BE219" s="52">
        <f t="shared" ref="BE219" si="5158">($O219*$Q219*$S219)^(1/3)/(BE214*((1-BE$2)*$H214+BE$2*$H215) + BE216*((1-BE$2)*$H216+BE$2*$H217) + BE218*((1-BE$2)*$H218+BE$2*$H219))</f>
        <v>2135.2023661000667</v>
      </c>
      <c r="BF219" s="52">
        <f t="shared" ref="BF219" si="5159">($O219*$Q219*$S219)^(1/3)/(BF214*((1-BF$2)*$H214+BF$2*$H215) + BF216*((1-BF$2)*$H216+BF$2*$H217) + BF218*((1-BF$2)*$H218+BF$2*$H219))</f>
        <v>2245.3735045745811</v>
      </c>
      <c r="BG219" s="52">
        <f t="shared" ref="BG219" si="5160">($O219*$Q219*$S219)^(1/3)/(BG214*((1-BG$2)*$H214+BG$2*$H215) + BG216*((1-BG$2)*$H216+BG$2*$H217) + BG218*((1-BG$2)*$H218+BG$2*$H219))</f>
        <v>2705.7571157328202</v>
      </c>
      <c r="BH219" s="52">
        <f t="shared" ref="BH219" si="5161">($O219*$Q219*$S219)^(1/3)/(BH214*((1-BH$2)*$H214+BH$2*$H215) + BH216*((1-BH$2)*$H216+BH$2*$H217) + BH218*((1-BH$2)*$H218+BH$2*$H219))</f>
        <v>2573.996704038776</v>
      </c>
      <c r="BI219" s="52">
        <f t="shared" ref="BI219" si="5162">($O219*$Q219*$S219)^(1/3)/(BI214*((1-BI$2)*$H214+BI$2*$H215) + BI216*((1-BI$2)*$H216+BI$2*$H217) + BI218*((1-BI$2)*$H218+BI$2*$H219))</f>
        <v>3018.36878179309</v>
      </c>
      <c r="BJ219" s="52">
        <f t="shared" ref="BJ219" si="5163">($O219*$Q219*$S219)^(1/3)/(BJ214*((1-BJ$2)*$H214+BJ$2*$H215) + BJ216*((1-BJ$2)*$H216+BJ$2*$H217) + BJ218*((1-BJ$2)*$H218+BJ$2*$H219))</f>
        <v>3146.9461364992344</v>
      </c>
      <c r="BK219" s="52">
        <f t="shared" ref="BK219" si="5164">($O219*$Q219*$S219)^(1/3)/(BK214*((1-BK$2)*$H214+BK$2*$H215) + BK216*((1-BK$2)*$H216+BK$2*$H217) + BK218*((1-BK$2)*$H218+BK$2*$H219))</f>
        <v>3610.7345079643114</v>
      </c>
      <c r="BL219" s="52">
        <f t="shared" ref="BL219" si="5165">($O219*$Q219*$S219)^(1/3)/(BL214*((1-BL$2)*$H214+BL$2*$H215) + BL216*((1-BL$2)*$H216+BL$2*$H217) + BL218*((1-BL$2)*$H218+BL$2*$H219))</f>
        <v>2270.5679161038524</v>
      </c>
      <c r="BM219" s="52">
        <f t="shared" ref="BM219" si="5166">($O219*$Q219*$S219)^(1/3)/(BM214*((1-BM$2)*$H214+BM$2*$H215) + BM216*((1-BM$2)*$H216+BM$2*$H217) + BM218*((1-BM$2)*$H218+BM$2*$H219))</f>
        <v>2354.0680962228148</v>
      </c>
      <c r="BN219" s="52">
        <f t="shared" ref="BN219" si="5167">($O219*$Q219*$S219)^(1/3)/(BN214*((1-BN$2)*$H214+BN$2*$H215) + BN216*((1-BN$2)*$H216+BN$2*$H217) + BN218*((1-BN$2)*$H218+BN$2*$H219))</f>
        <v>2458.4201371737781</v>
      </c>
      <c r="BO219" s="52">
        <f t="shared" ref="BO219" si="5168">($O219*$Q219*$S219)^(1/3)/(BO214*((1-BO$2)*$H214+BO$2*$H215) + BO216*((1-BO$2)*$H216+BO$2*$H217) + BO218*((1-BO$2)*$H218+BO$2*$H219))</f>
        <v>2928.4314220290935</v>
      </c>
      <c r="BP219" s="52">
        <f t="shared" ref="BP219" si="5169">($O219*$Q219*$S219)^(1/3)/(BP214*((1-BP$2)*$H214+BP$2*$H215) + BP216*((1-BP$2)*$H216+BP$2*$H217) + BP218*((1-BP$2)*$H218+BP$2*$H219))</f>
        <v>2763.4346057964985</v>
      </c>
      <c r="BQ219" s="52">
        <f t="shared" ref="BQ219" si="5170">($O219*$Q219*$S219)^(1/3)/(BQ214*((1-BQ$2)*$H214+BQ$2*$H215) + BQ216*((1-BQ$2)*$H216+BQ$2*$H217) + BQ218*((1-BQ$2)*$H218+BQ$2*$H219))</f>
        <v>3213.6919968167085</v>
      </c>
      <c r="BR219" s="52">
        <f t="shared" ref="BR219" si="5171">($O219*$Q219*$S219)^(1/3)/(BR214*((1-BR$2)*$H214+BR$2*$H215) + BR216*((1-BR$2)*$H216+BR$2*$H217) + BR218*((1-BR$2)*$H218+BR$2*$H219))</f>
        <v>3270.8799740501217</v>
      </c>
      <c r="BS219" s="52">
        <f t="shared" ref="BS219" si="5172">($O219*$Q219*$S219)^(1/3)/(BS214*((1-BS$2)*$H214+BS$2*$H215) + BS216*((1-BS$2)*$H216+BS$2*$H217) + BS218*((1-BS$2)*$H218+BS$2*$H219))</f>
        <v>3659.7757252076885</v>
      </c>
      <c r="BT219" s="52">
        <f t="shared" ref="BT219" si="5173">($O219*$Q219*$S219)^(1/3)/(BT214*((1-BT$2)*$H214+BT$2*$H215) + BT216*((1-BT$2)*$H216+BT$2*$H217) + BT218*((1-BT$2)*$H218+BT$2*$H219))</f>
        <v>2547.8319850670287</v>
      </c>
      <c r="BU219" s="52">
        <f t="shared" ref="BU219" si="5174">($O219*$Q219*$S219)^(1/3)/(BU214*((1-BU$2)*$H214+BU$2*$H215) + BU216*((1-BU$2)*$H216+BU$2*$H217) + BU218*((1-BU$2)*$H218+BU$2*$H219))</f>
        <v>2622.9273472362515</v>
      </c>
      <c r="BV219" s="52">
        <f t="shared" ref="BV219" si="5175">($O219*$Q219*$S219)^(1/3)/(BV214*((1-BV$2)*$H214+BV$2*$H215) + BV216*((1-BV$2)*$H216+BV$2*$H217) + BV218*((1-BV$2)*$H218+BV$2*$H219))</f>
        <v>2716.1336669023121</v>
      </c>
      <c r="BW219" s="52">
        <f t="shared" ref="BW219" si="5176">($O219*$Q219*$S219)^(1/3)/(BW214*((1-BW$2)*$H214+BW$2*$H215) + BW216*((1-BW$2)*$H216+BW$2*$H217) + BW218*((1-BW$2)*$H218+BW$2*$H219))</f>
        <v>3191.0430566304008</v>
      </c>
      <c r="BX219" s="52">
        <f t="shared" ref="BX219" si="5177">($O219*$Q219*$S219)^(1/3)/(BX214*((1-BX$2)*$H214+BX$2*$H215) + BX216*((1-BX$2)*$H216+BX$2*$H217) + BX218*((1-BX$2)*$H218+BX$2*$H219))</f>
        <v>2982.9717599509645</v>
      </c>
      <c r="BY219" s="52">
        <f t="shared" ref="BY219" si="5178">($O219*$Q219*$S219)^(1/3)/(BY214*((1-BY$2)*$H214+BY$2*$H215) + BY216*((1-BY$2)*$H216+BY$2*$H217) + BY218*((1-BY$2)*$H218+BY$2*$H219))</f>
        <v>3436.0435806178243</v>
      </c>
      <c r="BZ219" s="52">
        <f t="shared" ref="BZ219" si="5179">($O219*$Q219*$S219)^(1/3)/(BZ214*((1-BZ$2)*$H214+BZ$2*$H215) + BZ216*((1-BZ$2)*$H216+BZ$2*$H217) + BZ218*((1-BZ$2)*$H218+BZ$2*$H219))</f>
        <v>3404.9755936721122</v>
      </c>
      <c r="CA219" s="52">
        <f t="shared" ref="CA219" si="5180">($O219*$Q219*$S219)^(1/3)/(CA214*((1-CA$2)*$H214+CA$2*$H215) + CA216*((1-CA$2)*$H216+CA$2*$H217) + CA218*((1-CA$2)*$H218+CA$2*$H219))</f>
        <v>3710.1674467154135</v>
      </c>
      <c r="CB219" s="52">
        <f t="shared" ref="CB219" si="5181">($O219*$Q219*$S219)^(1/3)/(CB214*((1-CB$2)*$H214+CB$2*$H215) + CB216*((1-CB$2)*$H216+CB$2*$H217) + CB218*((1-CB$2)*$H218+CB$2*$H219))</f>
        <v>2902.2296672004122</v>
      </c>
      <c r="CC219" s="52">
        <f t="shared" ref="CC219" si="5182">($O219*$Q219*$S219)^(1/3)/(CC214*((1-CC$2)*$H214+CC$2*$H215) + CC216*((1-CC$2)*$H216+CC$2*$H217) + CC218*((1-CC$2)*$H218+CC$2*$H219))</f>
        <v>2961.1180678735363</v>
      </c>
      <c r="CD219" s="52">
        <f t="shared" ref="CD219" si="5183">($O219*$Q219*$S219)^(1/3)/(CD214*((1-CD$2)*$H214+CD$2*$H215) + CD216*((1-CD$2)*$H216+CD$2*$H217) + CD218*((1-CD$2)*$H218+CD$2*$H219))</f>
        <v>3034.206231479423</v>
      </c>
      <c r="CE219" s="52">
        <f t="shared" ref="CE219" si="5184">($O219*$Q219*$S219)^(1/3)/(CE214*((1-CE$2)*$H214+CE$2*$H215) + CE216*((1-CE$2)*$H216+CE$2*$H217) + CE218*((1-CE$2)*$H218+CE$2*$H219))</f>
        <v>3505.3947758039762</v>
      </c>
      <c r="CF219" s="52">
        <f t="shared" ref="CF219" si="5185">($O219*$Q219*$S219)^(1/3)/(CF214*((1-CF$2)*$H214+CF$2*$H215) + CF216*((1-CF$2)*$H216+CF$2*$H217) + CF218*((1-CF$2)*$H218+CF$2*$H219))</f>
        <v>3240.4008204974384</v>
      </c>
      <c r="CG219" s="52">
        <f t="shared" ref="CG219" si="5186">($O219*$Q219*$S219)^(1/3)/(CG214*((1-CG$2)*$H214+CG$2*$H215) + CG216*((1-CG$2)*$H216+CG$2*$H217) + CG218*((1-CG$2)*$H218+CG$2*$H219))</f>
        <v>3691.4507314842899</v>
      </c>
      <c r="CH219" s="52">
        <f t="shared" ref="CH219" si="5187">($O219*$Q219*$S219)^(1/3)/(CH214*((1-CH$2)*$H214+CH$2*$H215) + CH216*((1-CH$2)*$H216+CH$2*$H217) + CH218*((1-CH$2)*$H218+CH$2*$H219))</f>
        <v>3550.5362253383141</v>
      </c>
      <c r="CI219" s="52">
        <f t="shared" ref="CI219" si="5188">($O219*$Q219*$S219)^(1/3)/(CI214*((1-CI$2)*$H214+CI$2*$H215) + CI216*((1-CI$2)*$H216+CI$2*$H217) + CI218*((1-CI$2)*$H218+CI$2*$H219))</f>
        <v>3761.9662369051689</v>
      </c>
      <c r="CJ219" s="52">
        <f t="shared" ref="CJ219" si="5189">($O219*$Q219*$S219)^(1/3)/(CJ214*((1-CJ$2)*$H214+CJ$2*$H215) + CJ216*((1-CJ$2)*$H216+CJ$2*$H217) + CJ218*((1-CJ$2)*$H218+CJ$2*$H219))</f>
        <v>3371.1488710712215</v>
      </c>
      <c r="CK219" s="52">
        <f t="shared" ref="CK219" si="5190">($O219*$Q219*$S219)^(1/3)/(CK214*((1-CK$2)*$H214+CK$2*$H215) + CK216*((1-CK$2)*$H216+CK$2*$H217) + CK218*((1-CK$2)*$H218+CK$2*$H219))</f>
        <v>3399.4279551522918</v>
      </c>
      <c r="CL219" s="52">
        <f t="shared" ref="CL219" si="5191">($O219*$Q219*$S219)^(1/3)/(CL214*((1-CL$2)*$H214+CL$2*$H215) + CL216*((1-CL$2)*$H216+CL$2*$H217) + CL218*((1-CL$2)*$H218+CL$2*$H219))</f>
        <v>3436.6554253580684</v>
      </c>
      <c r="CM219" s="52">
        <f t="shared" ref="CM219" si="5192">($O219*$Q219*$S219)^(1/3)/(CM214*((1-CM$2)*$H214+CM$2*$H215) + CM216*((1-CM$2)*$H216+CM$2*$H217) + CM218*((1-CM$2)*$H218+CM$2*$H219))</f>
        <v>3888.4483414778738</v>
      </c>
      <c r="CN219" s="52">
        <f t="shared" ref="CN219" si="5193">($O219*$Q219*$S219)^(1/3)/(CN214*((1-CN$2)*$H214+CN$2*$H215) + CN216*((1-CN$2)*$H216+CN$2*$H217) + CN218*((1-CN$2)*$H218+CN$2*$H219))</f>
        <v>3546.4585238667291</v>
      </c>
      <c r="CO219" s="52">
        <f t="shared" ref="CO219" si="5194">($O219*$Q219*$S219)^(1/3)/(CO214*((1-CO$2)*$H214+CO$2*$H215) + CO216*((1-CO$2)*$H216+CO$2*$H217) + CO218*((1-CO$2)*$H218+CO$2*$H219))</f>
        <v>3987.8765992990661</v>
      </c>
      <c r="CP219" s="52">
        <f t="shared" ref="CP219" si="5195">($O219*$Q219*$S219)^(1/3)/(CP214*((1-CP$2)*$H214+CP$2*$H215) + CP216*((1-CP$2)*$H216+CP$2*$H217) + CP218*((1-CP$2)*$H218+CP$2*$H219))</f>
        <v>3709.0979002825552</v>
      </c>
      <c r="CQ219" s="52">
        <f t="shared" ref="CQ219" si="5196">($O219*$Q219*$S219)^(1/3)/(CQ214*((1-CQ$2)*$H214+CQ$2*$H215) + CQ216*((1-CQ$2)*$H216+CQ$2*$H217) + CQ218*((1-CQ$2)*$H218+CQ$2*$H219))</f>
        <v>3815.2318637738008</v>
      </c>
      <c r="CS219" s="50">
        <f t="shared" ref="CS219" si="5197">100*$AF219/AF219</f>
        <v>100</v>
      </c>
      <c r="CT219" s="50">
        <f t="shared" ref="CT219" si="5198">100*$AF219/AG219</f>
        <v>94.754098360655746</v>
      </c>
      <c r="CU219" s="50">
        <f t="shared" ref="CU219" si="5199">100*$AF219/AH219</f>
        <v>88.770491803278688</v>
      </c>
      <c r="CV219" s="50">
        <f t="shared" ref="CV219" si="5200">100*$AF219/AI219</f>
        <v>71.8032786885246</v>
      </c>
      <c r="CW219" s="50">
        <f t="shared" ref="CW219" si="5201">100*$AF219/AJ219</f>
        <v>74.098360655737721</v>
      </c>
      <c r="CX219" s="50">
        <f t="shared" ref="CX219" si="5202">100*$AF219/AK219</f>
        <v>61.967213114754109</v>
      </c>
      <c r="CY219" s="50">
        <f t="shared" ref="CY219" si="5203">100*$AF219/AL219</f>
        <v>55.983606557377051</v>
      </c>
      <c r="CZ219" s="50">
        <f t="shared" ref="CZ219" si="5204">100*$AF219/AM219</f>
        <v>45.573770491803273</v>
      </c>
      <c r="DA219" s="50">
        <f t="shared" ref="DA219" si="5205">100*$AF219/AN219</f>
        <v>92.418032786885249</v>
      </c>
      <c r="DB219" s="50">
        <f t="shared" ref="DB219" si="5206">100*$AF219/AO219</f>
        <v>87.8657786885246</v>
      </c>
      <c r="DC219" s="50">
        <f t="shared" ref="DC219" si="5207">100*$AF219/AP219</f>
        <v>82.664959016393468</v>
      </c>
      <c r="DD219" s="50">
        <f t="shared" ref="DD219" si="5208">100*$AF219/AQ219</f>
        <v>67.357581967213136</v>
      </c>
      <c r="DE219" s="50">
        <f t="shared" ref="DE219" si="5209">100*$AF219/AR219</f>
        <v>69.885245901639351</v>
      </c>
      <c r="DF219" s="50">
        <f t="shared" ref="DF219" si="5210">100*$AF219/AS219</f>
        <v>58.781762295081975</v>
      </c>
      <c r="DG219" s="50">
        <f t="shared" ref="DG219" si="5211">100*$AF219/AT219</f>
        <v>54.07889344262297</v>
      </c>
      <c r="DH219" s="50">
        <f t="shared" ref="DH219" si="5212">100*$AF219/AU219</f>
        <v>44.986680327868854</v>
      </c>
      <c r="DI219" s="50">
        <f t="shared" ref="DI219" si="5213">100*$AF219/AV219</f>
        <v>84.836065573770497</v>
      </c>
      <c r="DJ219" s="50">
        <f t="shared" ref="DJ219" si="5214">100*$AF219/AW219</f>
        <v>80.977459016393453</v>
      </c>
      <c r="DK219" s="50">
        <f t="shared" ref="DK219" si="5215">100*$AF219/AX219</f>
        <v>76.559426229508205</v>
      </c>
      <c r="DL219" s="50">
        <f t="shared" ref="DL219" si="5216">100*$AF219/AY219</f>
        <v>62.911885245901644</v>
      </c>
      <c r="DM219" s="50">
        <f t="shared" ref="DM219" si="5217">100*$AF219/AZ219</f>
        <v>65.672131147540981</v>
      </c>
      <c r="DN219" s="50">
        <f t="shared" ref="DN219" si="5218">100*$AF219/BA219</f>
        <v>55.596311475409841</v>
      </c>
      <c r="DO219" s="50">
        <f t="shared" ref="DO219" si="5219">100*$AF219/BB219</f>
        <v>52.174180327868854</v>
      </c>
      <c r="DP219" s="50">
        <f t="shared" ref="DP219" si="5220">100*$AF219/BC219</f>
        <v>44.39959016393442</v>
      </c>
      <c r="DQ219" s="50">
        <f t="shared" ref="DQ219" si="5221">100*$AF219/BD219</f>
        <v>77.254098360655746</v>
      </c>
      <c r="DR219" s="50">
        <f t="shared" ref="DR219" si="5222">100*$AF219/BE219</f>
        <v>74.089139344262307</v>
      </c>
      <c r="DS219" s="50">
        <f t="shared" ref="DS219" si="5223">100*$AF219/BF219</f>
        <v>70.45389344262297</v>
      </c>
      <c r="DT219" s="50">
        <f t="shared" ref="DT219" si="5224">100*$AF219/BG219</f>
        <v>58.466188524590173</v>
      </c>
      <c r="DU219" s="50">
        <f t="shared" ref="DU219" si="5225">100*$AF219/BH219</f>
        <v>61.459016393442631</v>
      </c>
      <c r="DV219" s="50">
        <f t="shared" ref="DV219" si="5226">100*$AF219/BI219</f>
        <v>52.410860655737714</v>
      </c>
      <c r="DW219" s="50">
        <f t="shared" ref="DW219" si="5227">100*$AF219/BJ219</f>
        <v>50.269467213114758</v>
      </c>
      <c r="DX219" s="50">
        <f t="shared" ref="DX219" si="5228">100*$AF219/BK219</f>
        <v>43.812500000000007</v>
      </c>
      <c r="DY219" s="50">
        <f t="shared" ref="DY219" si="5229">100*$AF219/BL219</f>
        <v>69.672131147540981</v>
      </c>
      <c r="DZ219" s="50">
        <f t="shared" ref="DZ219" si="5230">100*$AF219/BM219</f>
        <v>67.200819672131132</v>
      </c>
      <c r="EA219" s="50">
        <f t="shared" ref="EA219" si="5231">100*$AF219/BN219</f>
        <v>64.348360655737707</v>
      </c>
      <c r="EB219" s="50">
        <f t="shared" ref="EB219" si="5232">100*$AF219/BO219</f>
        <v>54.020491803278695</v>
      </c>
      <c r="EC219" s="50">
        <f t="shared" ref="EC219" si="5233">100*$AF219/BP219</f>
        <v>57.245901639344254</v>
      </c>
      <c r="ED219" s="50">
        <f t="shared" ref="ED219" si="5234">100*$AF219/BQ219</f>
        <v>49.225409836065573</v>
      </c>
      <c r="EE219" s="50">
        <f t="shared" ref="EE219" si="5235">100*$AF219/BR219</f>
        <v>48.364754098360656</v>
      </c>
      <c r="EF219" s="50">
        <f t="shared" ref="EF219" si="5236">100*$AF219/BS219</f>
        <v>43.225409836065573</v>
      </c>
      <c r="EG219" s="50">
        <f t="shared" ref="EG219" si="5237">100*$AF219/BT219</f>
        <v>62.090163934426236</v>
      </c>
      <c r="EH219" s="50">
        <f t="shared" ref="EH219" si="5238">100*$AF219/BU219</f>
        <v>60.3125</v>
      </c>
      <c r="EI219" s="50">
        <f t="shared" ref="EI219" si="5239">100*$AF219/BV219</f>
        <v>58.242827868852466</v>
      </c>
      <c r="EJ219" s="50">
        <f t="shared" ref="EJ219" si="5240">100*$AF219/BW219</f>
        <v>49.574795081967217</v>
      </c>
      <c r="EK219" s="50">
        <f t="shared" ref="EK219" si="5241">100*$AF219/BX219</f>
        <v>53.032786885245912</v>
      </c>
      <c r="EL219" s="50">
        <f t="shared" ref="EL219" si="5242">100*$AF219/BY219</f>
        <v>46.039959016393446</v>
      </c>
      <c r="EM219" s="50">
        <f t="shared" ref="EM219" si="5243">100*$AF219/BZ219</f>
        <v>46.460040983606568</v>
      </c>
      <c r="EN219" s="50">
        <f t="shared" ref="EN219" si="5244">100*$AF219/CA219</f>
        <v>42.638319672131153</v>
      </c>
      <c r="EO219" s="50">
        <f t="shared" ref="EO219" si="5245">100*$AF219/CB219</f>
        <v>54.508196721311485</v>
      </c>
      <c r="EP219" s="50">
        <f t="shared" ref="EP219" si="5246">100*$AF219/CC219</f>
        <v>53.424180327868861</v>
      </c>
      <c r="EQ219" s="50">
        <f t="shared" ref="EQ219" si="5247">100*$AF219/CD219</f>
        <v>52.137295081967224</v>
      </c>
      <c r="ER219" s="50">
        <f t="shared" ref="ER219" si="5248">100*$AF219/CE219</f>
        <v>45.129098360655739</v>
      </c>
      <c r="ES219" s="50">
        <f t="shared" ref="ES219" si="5249">100*$AF219/CF219</f>
        <v>48.819672131147541</v>
      </c>
      <c r="ET219" s="50">
        <f t="shared" ref="ET219" si="5250">100*$AF219/CG219</f>
        <v>42.854508196721326</v>
      </c>
      <c r="EU219" s="50">
        <f t="shared" ref="EU219" si="5251">100*$AF219/CH219</f>
        <v>44.555327868852466</v>
      </c>
      <c r="EV219" s="50">
        <f t="shared" ref="EV219" si="5252">100*$AF219/CI219</f>
        <v>42.051229508196727</v>
      </c>
      <c r="EW219" s="50">
        <f t="shared" ref="EW219" si="5253">100*$AF219/CJ219</f>
        <v>46.926229508196727</v>
      </c>
      <c r="EX219" s="50">
        <f t="shared" ref="EX219" si="5254">100*$AF219/CK219</f>
        <v>46.535860655737707</v>
      </c>
      <c r="EY219" s="50">
        <f t="shared" ref="EY219" si="5255">100*$AF219/CL219</f>
        <v>46.031762295081968</v>
      </c>
      <c r="EZ219" s="50">
        <f t="shared" ref="EZ219" si="5256">100*$AF219/CM219</f>
        <v>40.683401639344268</v>
      </c>
      <c r="FA219" s="50">
        <f t="shared" ref="FA219" si="5257">100*$AF219/CN219</f>
        <v>44.606557377049192</v>
      </c>
      <c r="FB219" s="50">
        <f t="shared" ref="FB219" si="5258">100*$AF219/CO219</f>
        <v>39.669057377049185</v>
      </c>
      <c r="FC219" s="50">
        <f t="shared" ref="FC219" si="5259">100*$AF219/CP219</f>
        <v>42.65061475409837</v>
      </c>
      <c r="FD219" s="50">
        <f t="shared" ref="FD219" si="5260">100*$AF219/CQ219</f>
        <v>41.4641393442623</v>
      </c>
    </row>
    <row r="220" spans="3:160" x14ac:dyDescent="0.4">
      <c r="C220" s="1" t="s">
        <v>46</v>
      </c>
      <c r="D220" s="1" t="s">
        <v>5</v>
      </c>
      <c r="E220" s="1">
        <v>0.253</v>
      </c>
      <c r="F220" s="1">
        <v>0.14499999999999999</v>
      </c>
      <c r="G220" s="1">
        <v>0.109</v>
      </c>
      <c r="H220" s="1">
        <v>6.7000000000000004E-2</v>
      </c>
      <c r="I220" s="1">
        <v>5299</v>
      </c>
      <c r="J220" s="1">
        <v>4493</v>
      </c>
      <c r="K220" s="1">
        <v>72</v>
      </c>
      <c r="L220" s="1">
        <v>6292</v>
      </c>
      <c r="M220" s="1">
        <v>6515</v>
      </c>
      <c r="N220" s="1">
        <v>76</v>
      </c>
      <c r="O220" s="1">
        <v>98</v>
      </c>
      <c r="P220" s="1">
        <v>91</v>
      </c>
      <c r="Q220" s="1">
        <v>98</v>
      </c>
      <c r="R220" s="1">
        <v>52</v>
      </c>
      <c r="S220" s="1">
        <v>98.5</v>
      </c>
      <c r="T220" s="4">
        <v>0</v>
      </c>
      <c r="U220" s="1">
        <v>1.6559999999999999</v>
      </c>
      <c r="V220" s="1">
        <v>6.7000000000000004E-2</v>
      </c>
      <c r="W220" s="1">
        <v>4.0199999999999996</v>
      </c>
      <c r="X220" s="1">
        <f t="shared" ref="X220" si="5261">H221</f>
        <v>2.9000000000000001E-2</v>
      </c>
      <c r="Y220" s="1">
        <f t="shared" ref="Y220" si="5262">H222</f>
        <v>6.7000000000000004E-2</v>
      </c>
      <c r="Z220" s="1">
        <f t="shared" ref="Z220" si="5263">H223</f>
        <v>2.9000000000000001E-2</v>
      </c>
      <c r="AA220" s="1">
        <f t="shared" ref="AA220" si="5264">H224</f>
        <v>2.1999999999999999E-2</v>
      </c>
      <c r="AB220" s="1">
        <f t="shared" ref="AB220" si="5265">H225</f>
        <v>2.9000000000000001E-2</v>
      </c>
      <c r="AC220" s="1">
        <f t="shared" si="4641"/>
        <v>3954.2560681820087</v>
      </c>
      <c r="AE220" s="1" t="s">
        <v>96</v>
      </c>
      <c r="AF220" s="1">
        <v>1</v>
      </c>
      <c r="AG220" s="1">
        <v>0.81499999999999995</v>
      </c>
      <c r="AH220" s="1">
        <v>0.64500000000000002</v>
      </c>
      <c r="AI220" s="1">
        <v>0.39500000000000002</v>
      </c>
      <c r="AJ220" s="1">
        <v>0.36</v>
      </c>
      <c r="AK220" s="1">
        <v>0.245</v>
      </c>
      <c r="AL220" s="1">
        <v>0.14499999999999999</v>
      </c>
      <c r="AM220" s="20">
        <v>6.5000000000000002E-2</v>
      </c>
      <c r="AN220" s="1">
        <v>1</v>
      </c>
      <c r="AO220" s="1">
        <v>0.81499999999999995</v>
      </c>
      <c r="AP220" s="1">
        <v>0.64500000000000002</v>
      </c>
      <c r="AQ220" s="1">
        <v>0.39500000000000002</v>
      </c>
      <c r="AR220" s="1">
        <v>0.36</v>
      </c>
      <c r="AS220" s="1">
        <v>0.245</v>
      </c>
      <c r="AT220" s="1">
        <v>0.14499999999999999</v>
      </c>
      <c r="AU220" s="20">
        <v>6.5000000000000002E-2</v>
      </c>
      <c r="AV220" s="1">
        <v>1</v>
      </c>
      <c r="AW220" s="1">
        <v>0.81499999999999995</v>
      </c>
      <c r="AX220" s="1">
        <v>0.64500000000000002</v>
      </c>
      <c r="AY220" s="1">
        <v>0.39500000000000002</v>
      </c>
      <c r="AZ220" s="1">
        <v>0.36</v>
      </c>
      <c r="BA220" s="1">
        <v>0.245</v>
      </c>
      <c r="BB220" s="1">
        <v>0.14499999999999999</v>
      </c>
      <c r="BC220" s="20">
        <v>6.5000000000000002E-2</v>
      </c>
      <c r="BD220" s="1">
        <v>1</v>
      </c>
      <c r="BE220" s="1">
        <v>0.81499999999999995</v>
      </c>
      <c r="BF220" s="1">
        <v>0.64500000000000002</v>
      </c>
      <c r="BG220" s="1">
        <v>0.39500000000000002</v>
      </c>
      <c r="BH220" s="1">
        <v>0.36</v>
      </c>
      <c r="BI220" s="1">
        <v>0.245</v>
      </c>
      <c r="BJ220" s="1">
        <v>0.14499999999999999</v>
      </c>
      <c r="BK220" s="20">
        <v>6.5000000000000002E-2</v>
      </c>
      <c r="BL220" s="1">
        <v>1</v>
      </c>
      <c r="BM220" s="1">
        <v>0.81499999999999995</v>
      </c>
      <c r="BN220" s="1">
        <v>0.64500000000000002</v>
      </c>
      <c r="BO220" s="1">
        <v>0.39500000000000002</v>
      </c>
      <c r="BP220" s="1">
        <v>0.36</v>
      </c>
      <c r="BQ220" s="1">
        <v>0.245</v>
      </c>
      <c r="BR220" s="1">
        <v>0.14499999999999999</v>
      </c>
      <c r="BS220" s="20">
        <v>6.5000000000000002E-2</v>
      </c>
      <c r="BT220" s="1">
        <v>1</v>
      </c>
      <c r="BU220" s="1">
        <v>0.81499999999999995</v>
      </c>
      <c r="BV220" s="1">
        <v>0.64500000000000002</v>
      </c>
      <c r="BW220" s="1">
        <v>0.39500000000000002</v>
      </c>
      <c r="BX220" s="1">
        <v>0.36</v>
      </c>
      <c r="BY220" s="1">
        <v>0.245</v>
      </c>
      <c r="BZ220" s="1">
        <v>0.14499999999999999</v>
      </c>
      <c r="CA220" s="20">
        <v>6.5000000000000002E-2</v>
      </c>
      <c r="CB220" s="1">
        <v>1</v>
      </c>
      <c r="CC220" s="1">
        <v>0.81499999999999995</v>
      </c>
      <c r="CD220" s="1">
        <v>0.64500000000000002</v>
      </c>
      <c r="CE220" s="1">
        <v>0.39500000000000002</v>
      </c>
      <c r="CF220" s="1">
        <v>0.36</v>
      </c>
      <c r="CG220" s="1">
        <v>0.245</v>
      </c>
      <c r="CH220" s="1">
        <v>0.14499999999999999</v>
      </c>
      <c r="CI220" s="20">
        <v>6.5000000000000002E-2</v>
      </c>
      <c r="CJ220" s="1">
        <v>1</v>
      </c>
      <c r="CK220" s="1">
        <v>0.81499999999999995</v>
      </c>
      <c r="CL220" s="1">
        <v>0.64500000000000002</v>
      </c>
      <c r="CM220" s="1">
        <v>0.39500000000000002</v>
      </c>
      <c r="CN220" s="1">
        <v>0.36</v>
      </c>
      <c r="CO220" s="1">
        <v>0.245</v>
      </c>
      <c r="CP220" s="1">
        <v>0.14499999999999999</v>
      </c>
      <c r="CQ220" s="20">
        <v>6.5000000000000002E-2</v>
      </c>
    </row>
    <row r="221" spans="3:160" x14ac:dyDescent="0.4">
      <c r="C221" s="1" t="s">
        <v>46</v>
      </c>
      <c r="D221" s="1" t="s">
        <v>6</v>
      </c>
      <c r="E221" s="1">
        <v>0.20699999999999999</v>
      </c>
      <c r="F221" s="1">
        <v>0.1</v>
      </c>
      <c r="G221" s="1">
        <v>0.108</v>
      </c>
      <c r="H221" s="1">
        <v>2.9000000000000001E-2</v>
      </c>
      <c r="I221" s="1">
        <v>5299</v>
      </c>
      <c r="J221" s="1">
        <v>4493</v>
      </c>
      <c r="K221" s="1">
        <v>72</v>
      </c>
      <c r="L221" s="1">
        <v>6292</v>
      </c>
      <c r="M221" s="1">
        <v>6515</v>
      </c>
      <c r="N221" s="1">
        <v>76</v>
      </c>
      <c r="O221" s="1">
        <v>98</v>
      </c>
      <c r="P221" s="1">
        <v>91</v>
      </c>
      <c r="Q221" s="1">
        <v>98</v>
      </c>
      <c r="R221" s="1">
        <v>52</v>
      </c>
      <c r="S221" s="1">
        <v>98.5</v>
      </c>
      <c r="T221" s="4">
        <v>0</v>
      </c>
      <c r="U221" s="1">
        <v>1.6559999999999999</v>
      </c>
      <c r="V221" s="1">
        <v>6.7000000000000004E-2</v>
      </c>
      <c r="W221" s="1">
        <v>4.0199999999999996</v>
      </c>
      <c r="X221" s="1">
        <f t="shared" ref="X221" si="5266">H221</f>
        <v>2.9000000000000001E-2</v>
      </c>
      <c r="Y221" s="1">
        <f t="shared" ref="Y221" si="5267">H222</f>
        <v>6.7000000000000004E-2</v>
      </c>
      <c r="Z221" s="1">
        <f t="shared" ref="Z221" si="5268">H223</f>
        <v>2.9000000000000001E-2</v>
      </c>
      <c r="AA221" s="1">
        <f t="shared" ref="AA221" si="5269">H224</f>
        <v>2.1999999999999999E-2</v>
      </c>
      <c r="AB221" s="1">
        <f t="shared" ref="AB221" si="5270">H225</f>
        <v>2.9000000000000001E-2</v>
      </c>
      <c r="AC221" s="1">
        <f t="shared" si="4641"/>
        <v>3954.2560681820087</v>
      </c>
      <c r="CQ221" s="20"/>
    </row>
    <row r="222" spans="3:160" x14ac:dyDescent="0.4">
      <c r="C222" s="1" t="s">
        <v>46</v>
      </c>
      <c r="D222" s="1" t="s">
        <v>7</v>
      </c>
      <c r="E222" s="1">
        <v>0.253</v>
      </c>
      <c r="F222" s="1">
        <v>0.14499999999999999</v>
      </c>
      <c r="G222" s="1">
        <v>0.109</v>
      </c>
      <c r="H222" s="1">
        <v>6.7000000000000004E-2</v>
      </c>
      <c r="I222" s="1">
        <v>5299</v>
      </c>
      <c r="J222" s="1">
        <v>4493</v>
      </c>
      <c r="K222" s="1">
        <v>72</v>
      </c>
      <c r="L222" s="1">
        <v>6292</v>
      </c>
      <c r="M222" s="1">
        <v>6515</v>
      </c>
      <c r="N222" s="1">
        <v>76</v>
      </c>
      <c r="O222" s="1">
        <v>98</v>
      </c>
      <c r="P222" s="1">
        <v>91</v>
      </c>
      <c r="Q222" s="1">
        <v>98</v>
      </c>
      <c r="R222" s="1">
        <v>52</v>
      </c>
      <c r="S222" s="1">
        <v>98.5</v>
      </c>
      <c r="T222" s="4">
        <v>0</v>
      </c>
      <c r="U222" s="1">
        <v>1.6559999999999999</v>
      </c>
      <c r="V222" s="1">
        <v>6.7000000000000004E-2</v>
      </c>
      <c r="W222" s="1">
        <v>4.0199999999999996</v>
      </c>
      <c r="X222" s="1">
        <f t="shared" ref="X222" si="5271">H221</f>
        <v>2.9000000000000001E-2</v>
      </c>
      <c r="Y222" s="1">
        <f t="shared" ref="Y222" si="5272">H222</f>
        <v>6.7000000000000004E-2</v>
      </c>
      <c r="Z222" s="1">
        <f t="shared" ref="Z222" si="5273">H223</f>
        <v>2.9000000000000001E-2</v>
      </c>
      <c r="AA222" s="1">
        <f t="shared" ref="AA222" si="5274">H224</f>
        <v>2.1999999999999999E-2</v>
      </c>
      <c r="AB222" s="1">
        <f t="shared" ref="AB222" si="5275">H225</f>
        <v>2.9000000000000001E-2</v>
      </c>
      <c r="AC222" s="1">
        <f t="shared" si="4641"/>
        <v>3954.2560681820087</v>
      </c>
      <c r="AE222" s="1" t="s">
        <v>97</v>
      </c>
      <c r="AF222" s="1">
        <v>0</v>
      </c>
      <c r="AG222" s="1">
        <v>0.12</v>
      </c>
      <c r="AH222" s="1">
        <v>0.21</v>
      </c>
      <c r="AI222" s="1">
        <v>0.26</v>
      </c>
      <c r="AJ222" s="1">
        <v>0.28000000000000003</v>
      </c>
      <c r="AK222" s="1">
        <v>0.26</v>
      </c>
      <c r="AL222" s="1">
        <v>0.21</v>
      </c>
      <c r="AM222" s="20">
        <v>0.12</v>
      </c>
      <c r="AN222" s="1">
        <v>0</v>
      </c>
      <c r="AO222" s="1">
        <v>0.12</v>
      </c>
      <c r="AP222" s="1">
        <v>0.21</v>
      </c>
      <c r="AQ222" s="1">
        <v>0.26</v>
      </c>
      <c r="AR222" s="1">
        <v>0.28000000000000003</v>
      </c>
      <c r="AS222" s="1">
        <v>0.26</v>
      </c>
      <c r="AT222" s="1">
        <v>0.21</v>
      </c>
      <c r="AU222" s="20">
        <v>0.12</v>
      </c>
      <c r="AV222" s="1">
        <v>0</v>
      </c>
      <c r="AW222" s="1">
        <v>0.12</v>
      </c>
      <c r="AX222" s="1">
        <v>0.21</v>
      </c>
      <c r="AY222" s="1">
        <v>0.26</v>
      </c>
      <c r="AZ222" s="1">
        <v>0.28000000000000003</v>
      </c>
      <c r="BA222" s="1">
        <v>0.26</v>
      </c>
      <c r="BB222" s="1">
        <v>0.21</v>
      </c>
      <c r="BC222" s="20">
        <v>0.12</v>
      </c>
      <c r="BD222" s="1">
        <v>0</v>
      </c>
      <c r="BE222" s="1">
        <v>0.12</v>
      </c>
      <c r="BF222" s="1">
        <v>0.21</v>
      </c>
      <c r="BG222" s="1">
        <v>0.26</v>
      </c>
      <c r="BH222" s="1">
        <v>0.28000000000000003</v>
      </c>
      <c r="BI222" s="1">
        <v>0.26</v>
      </c>
      <c r="BJ222" s="1">
        <v>0.21</v>
      </c>
      <c r="BK222" s="20">
        <v>0.12</v>
      </c>
      <c r="BL222" s="1">
        <v>0</v>
      </c>
      <c r="BM222" s="1">
        <v>0.12</v>
      </c>
      <c r="BN222" s="1">
        <v>0.21</v>
      </c>
      <c r="BO222" s="1">
        <v>0.26</v>
      </c>
      <c r="BP222" s="1">
        <v>0.28000000000000003</v>
      </c>
      <c r="BQ222" s="1">
        <v>0.26</v>
      </c>
      <c r="BR222" s="1">
        <v>0.21</v>
      </c>
      <c r="BS222" s="20">
        <v>0.12</v>
      </c>
      <c r="BT222" s="1">
        <v>0</v>
      </c>
      <c r="BU222" s="1">
        <v>0.12</v>
      </c>
      <c r="BV222" s="1">
        <v>0.21</v>
      </c>
      <c r="BW222" s="1">
        <v>0.26</v>
      </c>
      <c r="BX222" s="1">
        <v>0.28000000000000003</v>
      </c>
      <c r="BY222" s="1">
        <v>0.26</v>
      </c>
      <c r="BZ222" s="1">
        <v>0.21</v>
      </c>
      <c r="CA222" s="20">
        <v>0.12</v>
      </c>
      <c r="CB222" s="1">
        <v>0</v>
      </c>
      <c r="CC222" s="1">
        <v>0.12</v>
      </c>
      <c r="CD222" s="1">
        <v>0.21</v>
      </c>
      <c r="CE222" s="1">
        <v>0.26</v>
      </c>
      <c r="CF222" s="1">
        <v>0.28000000000000003</v>
      </c>
      <c r="CG222" s="1">
        <v>0.26</v>
      </c>
      <c r="CH222" s="1">
        <v>0.21</v>
      </c>
      <c r="CI222" s="20">
        <v>0.12</v>
      </c>
      <c r="CJ222" s="1">
        <v>0</v>
      </c>
      <c r="CK222" s="1">
        <v>0.12</v>
      </c>
      <c r="CL222" s="1">
        <v>0.21</v>
      </c>
      <c r="CM222" s="1">
        <v>0.26</v>
      </c>
      <c r="CN222" s="1">
        <v>0.28000000000000003</v>
      </c>
      <c r="CO222" s="1">
        <v>0.26</v>
      </c>
      <c r="CP222" s="1">
        <v>0.21</v>
      </c>
      <c r="CQ222" s="20">
        <v>0.12</v>
      </c>
    </row>
    <row r="223" spans="3:160" x14ac:dyDescent="0.4">
      <c r="C223" s="1" t="s">
        <v>46</v>
      </c>
      <c r="D223" s="1" t="s">
        <v>8</v>
      </c>
      <c r="E223" s="1">
        <v>0.20799999999999999</v>
      </c>
      <c r="F223" s="1">
        <v>0.1</v>
      </c>
      <c r="G223" s="1">
        <v>0.108</v>
      </c>
      <c r="H223" s="1">
        <v>2.9000000000000001E-2</v>
      </c>
      <c r="I223" s="1">
        <v>5299</v>
      </c>
      <c r="J223" s="1">
        <v>4493</v>
      </c>
      <c r="K223" s="1">
        <v>72</v>
      </c>
      <c r="L223" s="1">
        <v>6292</v>
      </c>
      <c r="M223" s="1">
        <v>6515</v>
      </c>
      <c r="N223" s="1">
        <v>76</v>
      </c>
      <c r="O223" s="1">
        <v>98</v>
      </c>
      <c r="P223" s="1">
        <v>91</v>
      </c>
      <c r="Q223" s="1">
        <v>98</v>
      </c>
      <c r="R223" s="1">
        <v>52</v>
      </c>
      <c r="S223" s="1">
        <v>98.5</v>
      </c>
      <c r="T223" s="4">
        <v>0</v>
      </c>
      <c r="U223" s="1">
        <v>1.6559999999999999</v>
      </c>
      <c r="V223" s="1">
        <v>6.7000000000000004E-2</v>
      </c>
      <c r="W223" s="1">
        <v>4.0199999999999996</v>
      </c>
      <c r="X223" s="1">
        <f t="shared" ref="X223" si="5276">H221</f>
        <v>2.9000000000000001E-2</v>
      </c>
      <c r="Y223" s="1">
        <f t="shared" ref="Y223" si="5277">H222</f>
        <v>6.7000000000000004E-2</v>
      </c>
      <c r="Z223" s="1">
        <f t="shared" ref="Z223" si="5278">H223</f>
        <v>2.9000000000000001E-2</v>
      </c>
      <c r="AA223" s="1">
        <f t="shared" ref="AA223" si="5279">H224</f>
        <v>2.1999999999999999E-2</v>
      </c>
      <c r="AB223" s="1">
        <f t="shared" ref="AB223" si="5280">H225</f>
        <v>2.9000000000000001E-2</v>
      </c>
      <c r="AC223" s="1">
        <f t="shared" si="4641"/>
        <v>3954.2560681820087</v>
      </c>
      <c r="CQ223" s="20"/>
    </row>
    <row r="224" spans="3:160" x14ac:dyDescent="0.4">
      <c r="C224" s="1" t="s">
        <v>46</v>
      </c>
      <c r="D224" s="1" t="s">
        <v>9</v>
      </c>
      <c r="E224" s="1">
        <v>0.19900000000000001</v>
      </c>
      <c r="F224" s="1">
        <v>9.1999999999999998E-2</v>
      </c>
      <c r="G224" s="1">
        <v>0.108</v>
      </c>
      <c r="H224" s="1">
        <v>2.1999999999999999E-2</v>
      </c>
      <c r="I224" s="1">
        <v>5299</v>
      </c>
      <c r="J224" s="1">
        <v>4493</v>
      </c>
      <c r="K224" s="1">
        <v>72</v>
      </c>
      <c r="L224" s="1">
        <v>6292</v>
      </c>
      <c r="M224" s="1">
        <v>6515</v>
      </c>
      <c r="N224" s="1">
        <v>76</v>
      </c>
      <c r="O224" s="1">
        <v>98</v>
      </c>
      <c r="P224" s="1">
        <v>91</v>
      </c>
      <c r="Q224" s="1">
        <v>98</v>
      </c>
      <c r="R224" s="1">
        <v>52</v>
      </c>
      <c r="S224" s="1">
        <v>98.5</v>
      </c>
      <c r="T224" s="4">
        <v>0</v>
      </c>
      <c r="U224" s="1">
        <v>1.6559999999999999</v>
      </c>
      <c r="V224" s="1">
        <v>6.7000000000000004E-2</v>
      </c>
      <c r="W224" s="1">
        <v>4.0199999999999996</v>
      </c>
      <c r="X224" s="1">
        <f t="shared" ref="X224" si="5281">H221</f>
        <v>2.9000000000000001E-2</v>
      </c>
      <c r="Y224" s="1">
        <f t="shared" ref="Y224" si="5282">H222</f>
        <v>6.7000000000000004E-2</v>
      </c>
      <c r="Z224" s="1">
        <f t="shared" ref="Z224" si="5283">H223</f>
        <v>2.9000000000000001E-2</v>
      </c>
      <c r="AA224" s="1">
        <f t="shared" ref="AA224" si="5284">H224</f>
        <v>2.1999999999999999E-2</v>
      </c>
      <c r="AB224" s="1">
        <f t="shared" ref="AB224" si="5285">H225</f>
        <v>2.9000000000000001E-2</v>
      </c>
      <c r="AC224" s="1">
        <f t="shared" si="4641"/>
        <v>3954.2560681820087</v>
      </c>
      <c r="AE224" s="1" t="s">
        <v>98</v>
      </c>
      <c r="AF224" s="1">
        <v>0</v>
      </c>
      <c r="AG224" s="1">
        <v>6.5000000000000002E-2</v>
      </c>
      <c r="AH224" s="1">
        <v>0.14499999999999999</v>
      </c>
      <c r="AI224" s="1">
        <v>0.245</v>
      </c>
      <c r="AJ224" s="1">
        <v>0.36</v>
      </c>
      <c r="AK224" s="1">
        <v>0.39500000000000002</v>
      </c>
      <c r="AL224" s="1">
        <v>0.64500000000000002</v>
      </c>
      <c r="AM224" s="20">
        <v>0.81499999999999995</v>
      </c>
      <c r="AN224" s="1">
        <v>0</v>
      </c>
      <c r="AO224" s="1">
        <v>6.5000000000000002E-2</v>
      </c>
      <c r="AP224" s="1">
        <v>0.14499999999999999</v>
      </c>
      <c r="AQ224" s="1">
        <v>0.245</v>
      </c>
      <c r="AR224" s="1">
        <v>0.36</v>
      </c>
      <c r="AS224" s="1">
        <v>0.39500000000000002</v>
      </c>
      <c r="AT224" s="1">
        <v>0.64500000000000002</v>
      </c>
      <c r="AU224" s="20">
        <v>0.81499999999999995</v>
      </c>
      <c r="AV224" s="1">
        <v>0</v>
      </c>
      <c r="AW224" s="1">
        <v>6.5000000000000002E-2</v>
      </c>
      <c r="AX224" s="1">
        <v>0.14499999999999999</v>
      </c>
      <c r="AY224" s="1">
        <v>0.245</v>
      </c>
      <c r="AZ224" s="1">
        <v>0.36</v>
      </c>
      <c r="BA224" s="1">
        <v>0.39500000000000002</v>
      </c>
      <c r="BB224" s="1">
        <v>0.64500000000000002</v>
      </c>
      <c r="BC224" s="20">
        <v>0.81499999999999995</v>
      </c>
      <c r="BD224" s="1">
        <v>0</v>
      </c>
      <c r="BE224" s="1">
        <v>6.5000000000000002E-2</v>
      </c>
      <c r="BF224" s="1">
        <v>0.14499999999999999</v>
      </c>
      <c r="BG224" s="1">
        <v>0.245</v>
      </c>
      <c r="BH224" s="1">
        <v>0.36</v>
      </c>
      <c r="BI224" s="1">
        <v>0.39500000000000002</v>
      </c>
      <c r="BJ224" s="1">
        <v>0.64500000000000002</v>
      </c>
      <c r="BK224" s="20">
        <v>0.81499999999999995</v>
      </c>
      <c r="BL224" s="1">
        <v>0</v>
      </c>
      <c r="BM224" s="1">
        <v>6.5000000000000002E-2</v>
      </c>
      <c r="BN224" s="1">
        <v>0.14499999999999999</v>
      </c>
      <c r="BO224" s="1">
        <v>0.245</v>
      </c>
      <c r="BP224" s="1">
        <v>0.36</v>
      </c>
      <c r="BQ224" s="1">
        <v>0.39500000000000002</v>
      </c>
      <c r="BR224" s="1">
        <v>0.64500000000000002</v>
      </c>
      <c r="BS224" s="20">
        <v>0.81499999999999995</v>
      </c>
      <c r="BT224" s="1">
        <v>0</v>
      </c>
      <c r="BU224" s="1">
        <v>6.5000000000000002E-2</v>
      </c>
      <c r="BV224" s="1">
        <v>0.14499999999999999</v>
      </c>
      <c r="BW224" s="1">
        <v>0.245</v>
      </c>
      <c r="BX224" s="1">
        <v>0.36</v>
      </c>
      <c r="BY224" s="1">
        <v>0.39500000000000002</v>
      </c>
      <c r="BZ224" s="1">
        <v>0.64500000000000002</v>
      </c>
      <c r="CA224" s="20">
        <v>0.81499999999999995</v>
      </c>
      <c r="CB224" s="1">
        <v>0</v>
      </c>
      <c r="CC224" s="1">
        <v>6.5000000000000002E-2</v>
      </c>
      <c r="CD224" s="1">
        <v>0.14499999999999999</v>
      </c>
      <c r="CE224" s="1">
        <v>0.245</v>
      </c>
      <c r="CF224" s="1">
        <v>0.36</v>
      </c>
      <c r="CG224" s="1">
        <v>0.39500000000000002</v>
      </c>
      <c r="CH224" s="1">
        <v>0.64500000000000002</v>
      </c>
      <c r="CI224" s="20">
        <v>0.81499999999999995</v>
      </c>
      <c r="CJ224" s="1">
        <v>0</v>
      </c>
      <c r="CK224" s="1">
        <v>6.5000000000000002E-2</v>
      </c>
      <c r="CL224" s="1">
        <v>0.14499999999999999</v>
      </c>
      <c r="CM224" s="1">
        <v>0.245</v>
      </c>
      <c r="CN224" s="1">
        <v>0.36</v>
      </c>
      <c r="CO224" s="1">
        <v>0.39500000000000002</v>
      </c>
      <c r="CP224" s="1">
        <v>0.64500000000000002</v>
      </c>
      <c r="CQ224" s="20">
        <v>0.81499999999999995</v>
      </c>
    </row>
    <row r="225" spans="3:160" s="2" customFormat="1" x14ac:dyDescent="0.4">
      <c r="C225" s="2" t="s">
        <v>46</v>
      </c>
      <c r="D225" s="2" t="s">
        <v>10</v>
      </c>
      <c r="E225" s="2">
        <v>0.20799999999999999</v>
      </c>
      <c r="F225" s="2">
        <v>0.1</v>
      </c>
      <c r="G225" s="2">
        <v>0.108</v>
      </c>
      <c r="H225" s="2">
        <v>2.9000000000000001E-2</v>
      </c>
      <c r="I225" s="2">
        <v>5299</v>
      </c>
      <c r="J225" s="2">
        <v>4493</v>
      </c>
      <c r="K225" s="2">
        <v>72</v>
      </c>
      <c r="L225" s="2">
        <v>6292</v>
      </c>
      <c r="M225" s="2">
        <v>6515</v>
      </c>
      <c r="N225" s="2">
        <v>76</v>
      </c>
      <c r="O225" s="2">
        <v>98</v>
      </c>
      <c r="P225" s="2">
        <v>91</v>
      </c>
      <c r="Q225" s="2">
        <v>98</v>
      </c>
      <c r="R225" s="2">
        <v>52</v>
      </c>
      <c r="S225" s="2">
        <v>98.5</v>
      </c>
      <c r="T225" s="6">
        <f t="shared" ref="T225" si="5286">(N220*O220*P220*Q220*R220*S220)/(I220*J220*K220*(F220*H220 + F221*H221 + F222*H222 + F223*H223 + F224*H224 + F225*H225))</f>
        <v>6581.7130669061853</v>
      </c>
      <c r="U225" s="2">
        <v>1.6559999999999999</v>
      </c>
      <c r="V225" s="2">
        <v>6.7000000000000004E-2</v>
      </c>
      <c r="W225" s="2">
        <v>4.0199999999999996</v>
      </c>
      <c r="X225" s="2">
        <f t="shared" ref="X225" si="5287">H221</f>
        <v>2.9000000000000001E-2</v>
      </c>
      <c r="Y225" s="2">
        <f t="shared" ref="Y225" si="5288">H222</f>
        <v>6.7000000000000004E-2</v>
      </c>
      <c r="Z225" s="2">
        <f t="shared" ref="Z225" si="5289">H223</f>
        <v>2.9000000000000001E-2</v>
      </c>
      <c r="AA225" s="2">
        <f t="shared" ref="AA225" si="5290">H224</f>
        <v>2.1999999999999999E-2</v>
      </c>
      <c r="AB225" s="2">
        <f t="shared" ref="AB225" si="5291">H225</f>
        <v>2.9000000000000001E-2</v>
      </c>
      <c r="AC225" s="1">
        <f t="shared" si="4641"/>
        <v>3954.2560681820087</v>
      </c>
      <c r="AE225" s="2" t="s">
        <v>99</v>
      </c>
      <c r="AF225" s="23">
        <f>($O225*$Q225*$S225)^(1/3)/(AF220*((1-AF$2)*$H220+AF$2*$H221) + AF222*((1-AF$2)*$H222+AF$2*$H223) + AF224*((1-AF$2)*$H224+AF$2*$H225))</f>
        <v>1465.1699107560069</v>
      </c>
      <c r="AG225" s="23">
        <f t="shared" ref="AG225" si="5292">($O225*$Q225*$S225)^(1/3)/(AG220*((1-AG$2)*$H220+AG$2*$H221) + AG222*((1-AG$2)*$H222+AG$2*$H223) + AG224*((1-AG$2)*$H224+AG$2*$H225))</f>
        <v>1532.0543741030424</v>
      </c>
      <c r="AH225" s="23">
        <f t="shared" ref="AH225" si="5293">($O225*$Q225*$S225)^(1/3)/(AH220*((1-AH$2)*$H220+AH$2*$H221) + AH222*((1-AH$2)*$H222+AH$2*$H223) + AH224*((1-AH$2)*$H224+AH$2*$H225))</f>
        <v>1623.2556266333602</v>
      </c>
      <c r="AI225" s="23">
        <f t="shared" ref="AI225" si="5294">($O225*$Q225*$S225)^(1/3)/(AI220*((1-AI$2)*$H220+AI$2*$H221) + AI222*((1-AI$2)*$H222+AI$2*$H223) + AI224*((1-AI$2)*$H224+AI$2*$H225))</f>
        <v>1992.2147949396742</v>
      </c>
      <c r="AJ225" s="23">
        <f t="shared" ref="AJ225" si="5295">($O225*$Q225*$S225)^(1/3)/(AJ220*((1-AJ$2)*$H220+AJ$2*$H221) + AJ222*((1-AJ$2)*$H222+AJ$2*$H223) + AJ224*((1-AJ$2)*$H224+AJ$2*$H225))</f>
        <v>1932.4091342648123</v>
      </c>
      <c r="AK225" s="23">
        <f t="shared" ref="AK225" si="5296">($O225*$Q225*$S225)^(1/3)/(AK220*((1-AK$2)*$H220+AK$2*$H221) + AK222*((1-AK$2)*$H222+AK$2*$H223) + AK224*((1-AK$2)*$H224+AK$2*$H225))</f>
        <v>2308.4393655650192</v>
      </c>
      <c r="AL225" s="23">
        <f t="shared" ref="AL225" si="5297">($O225*$Q225*$S225)^(1/3)/(AL220*((1-AL$2)*$H220+AL$2*$H221) + AL222*((1-AL$2)*$H222+AL$2*$H223) + AL224*((1-AL$2)*$H224+AL$2*$H225))</f>
        <v>2585.0265706557593</v>
      </c>
      <c r="AM225" s="23">
        <f t="shared" ref="AM225" si="5298">($O225*$Q225*$S225)^(1/3)/(AM220*((1-AM$2)*$H220+AM$2*$H221) + AM222*((1-AM$2)*$H222+AM$2*$H223) + AM224*((1-AM$2)*$H224+AM$2*$H225))</f>
        <v>3237.1437434675172</v>
      </c>
      <c r="AN225" s="23">
        <f t="shared" ref="AN225" si="5299">($O225*$Q225*$S225)^(1/3)/(AN220*((1-AN$2)*$H220+AN$2*$H221) + AN222*((1-AN$2)*$H222+AN$2*$H223) + AN224*((1-AN$2)*$H224+AN$2*$H225))</f>
        <v>1576.9700244281519</v>
      </c>
      <c r="AO225" s="23">
        <f t="shared" ref="AO225" si="5300">($O225*$Q225*$S225)^(1/3)/(AO220*((1-AO$2)*$H220+AO$2*$H221) + AO222*((1-AO$2)*$H222+AO$2*$H223) + AO224*((1-AO$2)*$H224+AO$2*$H225))</f>
        <v>1644.5862984455678</v>
      </c>
      <c r="AP225" s="23">
        <f t="shared" ref="AP225" si="5301">($O225*$Q225*$S225)^(1/3)/(AP220*((1-AP$2)*$H220+AP$2*$H221) + AP222*((1-AP$2)*$H222+AP$2*$H223) + AP224*((1-AP$2)*$H224+AP$2*$H225))</f>
        <v>1736.2097433597958</v>
      </c>
      <c r="AQ225" s="23">
        <f t="shared" ref="AQ225" si="5302">($O225*$Q225*$S225)^(1/3)/(AQ220*((1-AQ$2)*$H220+AQ$2*$H221) + AQ222*((1-AQ$2)*$H222+AQ$2*$H223) + AQ224*((1-AQ$2)*$H224+AQ$2*$H225))</f>
        <v>2116.6527111790838</v>
      </c>
      <c r="AR225" s="23">
        <f t="shared" ref="AR225" si="5303">($O225*$Q225*$S225)^(1/3)/(AR220*((1-AR$2)*$H220+AR$2*$H221) + AR222*((1-AR$2)*$H222+AR$2*$H223) + AR224*((1-AR$2)*$H224+AR$2*$H225))</f>
        <v>2041.942465328184</v>
      </c>
      <c r="AS225" s="23">
        <f t="shared" ref="AS225" si="5304">($O225*$Q225*$S225)^(1/3)/(AS220*((1-AS$2)*$H220+AS$2*$H221) + AS222*((1-AS$2)*$H222+AS$2*$H223) + AS224*((1-AS$2)*$H224+AS$2*$H225))</f>
        <v>2425.5457406075816</v>
      </c>
      <c r="AT225" s="23">
        <f t="shared" ref="AT225" si="5305">($O225*$Q225*$S225)^(1/3)/(AT220*((1-AT$2)*$H220+AT$2*$H221) + AT222*((1-AT$2)*$H222+AT$2*$H223) + AT224*((1-AT$2)*$H224+AT$2*$H225))</f>
        <v>2663.7194002042556</v>
      </c>
      <c r="AU225" s="23">
        <f t="shared" ref="AU225" si="5306">($O225*$Q225*$S225)^(1/3)/(AU220*((1-AU$2)*$H220+AU$2*$H221) + AU222*((1-AU$2)*$H222+AU$2*$H223) + AU224*((1-AU$2)*$H224+AU$2*$H225))</f>
        <v>3254.9210327021847</v>
      </c>
      <c r="AV225" s="23">
        <f t="shared" ref="AV225" si="5307">($O225*$Q225*$S225)^(1/3)/(AV220*((1-AV$2)*$H220+AV$2*$H221) + AV222*((1-AV$2)*$H222+AV$2*$H223) + AV224*((1-AV$2)*$H224+AV$2*$H225))</f>
        <v>1707.2414612287384</v>
      </c>
      <c r="AW225" s="23">
        <f t="shared" ref="AW225" si="5308">($O225*$Q225*$S225)^(1/3)/(AW220*((1-AW$2)*$H220+AW$2*$H221) + AW222*((1-AW$2)*$H222+AW$2*$H223) + AW224*((1-AW$2)*$H224+AW$2*$H225))</f>
        <v>1774.9600455762677</v>
      </c>
      <c r="AX225" s="23">
        <f t="shared" ref="AX225" si="5309">($O225*$Q225*$S225)^(1/3)/(AX220*((1-AX$2)*$H220+AX$2*$H221) + AX222*((1-AX$2)*$H222+AX$2*$H223) + AX224*((1-AX$2)*$H224+AX$2*$H225))</f>
        <v>1866.0593374485436</v>
      </c>
      <c r="AY225" s="23">
        <f t="shared" ref="AY225" si="5310">($O225*$Q225*$S225)^(1/3)/(AY220*((1-AY$2)*$H220+AY$2*$H221) + AY222*((1-AY$2)*$H222+AY$2*$H223) + AY224*((1-AY$2)*$H224+AY$2*$H225))</f>
        <v>2257.6716175512997</v>
      </c>
      <c r="AZ225" s="23">
        <f t="shared" ref="AZ225" si="5311">($O225*$Q225*$S225)^(1/3)/(AZ220*((1-AZ$2)*$H220+AZ$2*$H221) + AZ222*((1-AZ$2)*$H222+AZ$2*$H223) + AZ224*((1-AZ$2)*$H224+AZ$2*$H225))</f>
        <v>2164.6391184267354</v>
      </c>
      <c r="BA225" s="23">
        <f t="shared" ref="BA225" si="5312">($O225*$Q225*$S225)^(1/3)/(BA220*((1-BA$2)*$H220+BA$2*$H221) + BA222*((1-BA$2)*$H222+BA$2*$H223) + BA224*((1-BA$2)*$H224+BA$2*$H225))</f>
        <v>2555.1686096151607</v>
      </c>
      <c r="BB225" s="23">
        <f t="shared" ref="BB225" si="5313">($O225*$Q225*$S225)^(1/3)/(BB220*((1-BB$2)*$H220+BB$2*$H221) + BB222*((1-BB$2)*$H222+BB$2*$H223) + BB224*((1-BB$2)*$H224+BB$2*$H225))</f>
        <v>2747.3537595424864</v>
      </c>
      <c r="BC225" s="23">
        <f t="shared" ref="BC225" si="5314">($O225*$Q225*$S225)^(1/3)/(BC220*((1-BC$2)*$H220+BC$2*$H221) + BC222*((1-BC$2)*$H222+BC$2*$H223) + BC224*((1-BC$2)*$H224+BC$2*$H225))</f>
        <v>3272.894653741278</v>
      </c>
      <c r="BD225" s="23">
        <f t="shared" ref="BD225" si="5315">($O225*$Q225*$S225)^(1/3)/(BD220*((1-BD$2)*$H220+BD$2*$H221) + BD222*((1-BD$2)*$H222+BD$2*$H223) + BD224*((1-BD$2)*$H224+BD$2*$H225))</f>
        <v>1860.9741046569184</v>
      </c>
      <c r="BE225" s="23">
        <f t="shared" ref="BE225" si="5316">($O225*$Q225*$S225)^(1/3)/(BE220*((1-BE$2)*$H220+BE$2*$H221) + BE222*((1-BE$2)*$H222+BE$2*$H223) + BE224*((1-BE$2)*$H224+BE$2*$H225))</f>
        <v>1927.7841599637179</v>
      </c>
      <c r="BF225" s="23">
        <f t="shared" ref="BF225" si="5317">($O225*$Q225*$S225)^(1/3)/(BF220*((1-BF$2)*$H220+BF$2*$H221) + BF222*((1-BF$2)*$H222+BF$2*$H223) + BF224*((1-BF$2)*$H224+BF$2*$H225))</f>
        <v>2016.9016299588302</v>
      </c>
      <c r="BG225" s="23">
        <f t="shared" ref="BG225" si="5318">($O225*$Q225*$S225)^(1/3)/(BG220*((1-BG$2)*$H220+BG$2*$H221) + BG222*((1-BG$2)*$H222+BG$2*$H223) + BG224*((1-BG$2)*$H224+BG$2*$H225))</f>
        <v>2418.8221210909974</v>
      </c>
      <c r="BH225" s="23">
        <f t="shared" ref="BH225" si="5319">($O225*$Q225*$S225)^(1/3)/(BH220*((1-BH$2)*$H220+BH$2*$H221) + BH222*((1-BH$2)*$H222+BH$2*$H223) + BH224*((1-BH$2)*$H224+BH$2*$H225))</f>
        <v>2303.023672038767</v>
      </c>
      <c r="BI225" s="23">
        <f t="shared" ref="BI225" si="5320">($O225*$Q225*$S225)^(1/3)/(BI220*((1-BI$2)*$H220+BI$2*$H221) + BI222*((1-BI$2)*$H222+BI$2*$H223) + BI224*((1-BI$2)*$H224+BI$2*$H225))</f>
        <v>2699.4279356027141</v>
      </c>
      <c r="BJ225" s="23">
        <f t="shared" ref="BJ225" si="5321">($O225*$Q225*$S225)^(1/3)/(BJ220*((1-BJ$2)*$H220+BJ$2*$H221) + BJ222*((1-BJ$2)*$H222+BJ$2*$H223) + BJ224*((1-BJ$2)*$H224+BJ$2*$H225))</f>
        <v>2836.4101929217868</v>
      </c>
      <c r="BK225" s="23">
        <f t="shared" ref="BK225" si="5322">($O225*$Q225*$S225)^(1/3)/(BK220*((1-BK$2)*$H220+BK$2*$H221) + BK222*((1-BK$2)*$H222+BK$2*$H223) + BK224*((1-BK$2)*$H224+BK$2*$H225))</f>
        <v>3291.0678770674476</v>
      </c>
      <c r="BL225" s="23">
        <f t="shared" ref="BL225" si="5323">($O225*$Q225*$S225)^(1/3)/(BL220*((1-BL$2)*$H220+BL$2*$H221) + BL222*((1-BL$2)*$H222+BL$2*$H223) + BL224*((1-BL$2)*$H224+BL$2*$H225))</f>
        <v>2045.1330004302595</v>
      </c>
      <c r="BM225" s="23">
        <f t="shared" ref="BM225" si="5324">($O225*$Q225*$S225)^(1/3)/(BM220*((1-BM$2)*$H220+BM$2*$H221) + BM222*((1-BM$2)*$H222+BM$2*$H223) + BM224*((1-BM$2)*$H224+BM$2*$H225))</f>
        <v>2109.4039005243612</v>
      </c>
      <c r="BN225" s="23">
        <f t="shared" ref="BN225" si="5325">($O225*$Q225*$S225)^(1/3)/(BN220*((1-BN$2)*$H220+BN$2*$H221) + BN222*((1-BN$2)*$H222+BN$2*$H223) + BN224*((1-BN$2)*$H224+BN$2*$H225))</f>
        <v>2194.2751387684261</v>
      </c>
      <c r="BO225" s="23">
        <f t="shared" ref="BO225" si="5326">($O225*$Q225*$S225)^(1/3)/(BO220*((1-BO$2)*$H220+BO$2*$H221) + BO222*((1-BO$2)*$H222+BO$2*$H223) + BO224*((1-BO$2)*$H224+BO$2*$H225))</f>
        <v>2604.7465080106786</v>
      </c>
      <c r="BP225" s="23">
        <f t="shared" ref="BP225" si="5327">($O225*$Q225*$S225)^(1/3)/(BP220*((1-BP$2)*$H220+BP$2*$H221) + BP222*((1-BP$2)*$H222+BP$2*$H223) + BP224*((1-BP$2)*$H224+BP$2*$H225))</f>
        <v>2460.3103764574548</v>
      </c>
      <c r="BQ225" s="23">
        <f t="shared" ref="BQ225" si="5328">($O225*$Q225*$S225)^(1/3)/(BQ220*((1-BQ$2)*$H220+BQ$2*$H221) + BQ222*((1-BQ$2)*$H222+BQ$2*$H223) + BQ224*((1-BQ$2)*$H224+BQ$2*$H225))</f>
        <v>2860.9510825691059</v>
      </c>
      <c r="BR225" s="23">
        <f t="shared" ref="BR225" si="5329">($O225*$Q225*$S225)^(1/3)/(BR220*((1-BR$2)*$H220+BR$2*$H221) + BR222*((1-BR$2)*$H222+BR$2*$H223) + BR224*((1-BR$2)*$H224+BR$2*$H225))</f>
        <v>2931.4336400344141</v>
      </c>
      <c r="BS225" s="23">
        <f t="shared" ref="BS225" si="5330">($O225*$Q225*$S225)^(1/3)/(BS220*((1-BS$2)*$H220+BS$2*$H221) + BS222*((1-BS$2)*$H222+BS$2*$H223) + BS224*((1-BS$2)*$H224+BS$2*$H225))</f>
        <v>3309.4440462082584</v>
      </c>
      <c r="BT225" s="23">
        <f t="shared" ref="BT225" si="5331">($O225*$Q225*$S225)^(1/3)/(BT220*((1-BT$2)*$H220+BT$2*$H221) + BT222*((1-BT$2)*$H222+BT$2*$H223) + BT224*((1-BT$2)*$H224+BT$2*$H225))</f>
        <v>2269.742983136473</v>
      </c>
      <c r="BU225" s="23">
        <f t="shared" ref="BU225" si="5332">($O225*$Q225*$S225)^(1/3)/(BU220*((1-BU$2)*$H220+BU$2*$H221) + BU222*((1-BU$2)*$H222+BU$2*$H223) + BU224*((1-BU$2)*$H224+BU$2*$H225))</f>
        <v>2328.8044248357023</v>
      </c>
      <c r="BV225" s="23">
        <f t="shared" ref="BV225" si="5333">($O225*$Q225*$S225)^(1/3)/(BV220*((1-BV$2)*$H220+BV$2*$H221) + BV222*((1-BV$2)*$H222+BV$2*$H223) + BV224*((1-BV$2)*$H224+BV$2*$H225))</f>
        <v>2405.854552087676</v>
      </c>
      <c r="BW225" s="23">
        <f t="shared" ref="BW225" si="5334">($O225*$Q225*$S225)^(1/3)/(BW220*((1-BW$2)*$H220+BW$2*$H221) + BW222*((1-BW$2)*$H222+BW$2*$H223) + BW224*((1-BW$2)*$H224+BW$2*$H225))</f>
        <v>2821.6332423074446</v>
      </c>
      <c r="BX225" s="23">
        <f t="shared" ref="BX225" si="5335">($O225*$Q225*$S225)^(1/3)/(BX220*((1-BX$2)*$H220+BX$2*$H221) + BX222*((1-BX$2)*$H222+BX$2*$H223) + BX224*((1-BX$2)*$H224+BX$2*$H225))</f>
        <v>2640.6559252361117</v>
      </c>
      <c r="BY225" s="23">
        <f t="shared" ref="BY225" si="5336">($O225*$Q225*$S225)^(1/3)/(BY220*((1-BY$2)*$H220+BY$2*$H221) + BY222*((1-BY$2)*$H222+BY$2*$H223) + BY224*((1-BY$2)*$H224+BY$2*$H225))</f>
        <v>3043.0342813725447</v>
      </c>
      <c r="BZ225" s="23">
        <f t="shared" ref="BZ225" si="5337">($O225*$Q225*$S225)^(1/3)/(BZ220*((1-BZ$2)*$H220+BZ$2*$H221) + BZ222*((1-BZ$2)*$H222+BZ$2*$H223) + BZ224*((1-BZ$2)*$H224+BZ$2*$H225))</f>
        <v>3033.0445965635595</v>
      </c>
      <c r="CA225" s="23">
        <f t="shared" ref="CA225" si="5338">($O225*$Q225*$S225)^(1/3)/(CA220*((1-CA$2)*$H220+CA$2*$H221) + CA222*((1-CA$2)*$H222+CA$2*$H223) + CA224*((1-CA$2)*$H224+CA$2*$H225))</f>
        <v>3328.0265797869247</v>
      </c>
      <c r="CB225" s="23">
        <f t="shared" ref="CB225" si="5339">($O225*$Q225*$S225)^(1/3)/(CB220*((1-CB$2)*$H220+CB$2*$H221) + CB222*((1-CB$2)*$H222+CB$2*$H223) + CB224*((1-CB$2)*$H224+CB$2*$H225))</f>
        <v>2549.7762083286348</v>
      </c>
      <c r="CC225" s="23">
        <f t="shared" ref="CC225" si="5340">($O225*$Q225*$S225)^(1/3)/(CC220*((1-CC$2)*$H220+CC$2*$H221) + CC222*((1-CC$2)*$H222+CC$2*$H223) + CC224*((1-CC$2)*$H224+CC$2*$H225))</f>
        <v>2599.1430487017033</v>
      </c>
      <c r="CD225" s="23">
        <f t="shared" ref="CD225" si="5341">($O225*$Q225*$S225)^(1/3)/(CD220*((1-CD$2)*$H220+CD$2*$H221) + CD222*((1-CD$2)*$H222+CD$2*$H223) + CD224*((1-CD$2)*$H224+CD$2*$H225))</f>
        <v>2662.5905142065421</v>
      </c>
      <c r="CE225" s="23">
        <f t="shared" ref="CE225" si="5342">($O225*$Q225*$S225)^(1/3)/(CE220*((1-CE$2)*$H220+CE$2*$H221) + CE222*((1-CE$2)*$H222+CE$2*$H223) + CE224*((1-CE$2)*$H224+CE$2*$H225))</f>
        <v>3077.9191540866923</v>
      </c>
      <c r="CF225" s="23">
        <f t="shared" ref="CF225" si="5343">($O225*$Q225*$S225)^(1/3)/(CF220*((1-CF$2)*$H220+CF$2*$H221) + CF222*((1-CF$2)*$H222+CF$2*$H223) + CF224*((1-CF$2)*$H224+CF$2*$H225))</f>
        <v>2849.532192181493</v>
      </c>
      <c r="CG225" s="23">
        <f t="shared" ref="CG225" si="5344">($O225*$Q225*$S225)^(1/3)/(CG220*((1-CG$2)*$H220+CG$2*$H221) + CG222*((1-CG$2)*$H222+CG$2*$H223) + CG224*((1-CG$2)*$H224+CG$2*$H225))</f>
        <v>3249.8699448177927</v>
      </c>
      <c r="CH225" s="23">
        <f t="shared" ref="CH225" si="5345">($O225*$Q225*$S225)^(1/3)/(CH220*((1-CH$2)*$H220+CH$2*$H221) + CH222*((1-CH$2)*$H222+CH$2*$H223) + CH224*((1-CH$2)*$H224+CH$2*$H225))</f>
        <v>3141.9526791967178</v>
      </c>
      <c r="CI225" s="23">
        <f t="shared" ref="CI225" si="5346">($O225*$Q225*$S225)^(1/3)/(CI220*((1-CI$2)*$H220+CI$2*$H221) + CI222*((1-CI$2)*$H222+CI$2*$H223) + CI224*((1-CI$2)*$H224+CI$2*$H225))</f>
        <v>3346.8189736425297</v>
      </c>
      <c r="CJ225" s="23">
        <f t="shared" ref="CJ225" si="5347">($O225*$Q225*$S225)^(1/3)/(CJ220*((1-CJ$2)*$H220+CJ$2*$H221) + CJ222*((1-CJ$2)*$H222+CJ$2*$H223) + CJ224*((1-CJ$2)*$H224+CJ$2*$H225))</f>
        <v>2908.6336006119245</v>
      </c>
      <c r="CK225" s="23">
        <f t="shared" ref="CK225" si="5348">($O225*$Q225*$S225)^(1/3)/(CK220*((1-CK$2)*$H220+CK$2*$H221) + CK222*((1-CK$2)*$H222+CK$2*$H223) + CK224*((1-CK$2)*$H224+CK$2*$H225))</f>
        <v>2940.4888969960484</v>
      </c>
      <c r="CL225" s="23">
        <f t="shared" ref="CL225" si="5349">($O225*$Q225*$S225)^(1/3)/(CL220*((1-CL$2)*$H220+CL$2*$H221) + CL222*((1-CL$2)*$H222+CL$2*$H223) + CL224*((1-CL$2)*$H224+CL$2*$H225))</f>
        <v>2980.6663712504778</v>
      </c>
      <c r="CM225" s="23">
        <f t="shared" ref="CM225" si="5350">($O225*$Q225*$S225)^(1/3)/(CM220*((1-CM$2)*$H220+CM$2*$H221) + CM222*((1-CM$2)*$H222+CM$2*$H223) + CM224*((1-CM$2)*$H224+CM$2*$H225))</f>
        <v>3385.4125322350237</v>
      </c>
      <c r="CN225" s="23">
        <f t="shared" ref="CN225" si="5351">($O225*$Q225*$S225)^(1/3)/(CN220*((1-CN$2)*$H220+CN$2*$H221) + CN222*((1-CN$2)*$H222+CN$2*$H223) + CN224*((1-CN$2)*$H224+CN$2*$H225))</f>
        <v>3094.2910644807707</v>
      </c>
      <c r="CO225" s="23">
        <f t="shared" ref="CO225" si="5352">($O225*$Q225*$S225)^(1/3)/(CO220*((1-CO$2)*$H220+CO$2*$H221) + CO222*((1-CO$2)*$H222+CO$2*$H223) + CO224*((1-CO$2)*$H224+CO$2*$H225))</f>
        <v>3486.8734472870219</v>
      </c>
      <c r="CP225" s="23">
        <f t="shared" ref="CP225" si="5353">($O225*$Q225*$S225)^(1/3)/(CP220*((1-CP$2)*$H220+CP$2*$H221) + CP222*((1-CP$2)*$H222+CP$2*$H223) + CP224*((1-CP$2)*$H224+CP$2*$H225))</f>
        <v>3258.9732219741454</v>
      </c>
      <c r="CQ225" s="23">
        <f t="shared" ref="CQ225" si="5354">($O225*$Q225*$S225)^(1/3)/(CQ220*((1-CQ$2)*$H220+CQ$2*$H221) + CQ222*((1-CQ$2)*$H222+CQ$2*$H223) + CQ224*((1-CQ$2)*$H224+CQ$2*$H225))</f>
        <v>3365.8248030224781</v>
      </c>
      <c r="CS225" s="2">
        <f t="shared" ref="CS225" si="5355">100*$AF225/AF225</f>
        <v>99.999999999999986</v>
      </c>
      <c r="CT225" s="2">
        <f t="shared" ref="CT225" si="5356">100*$AF225/AG225</f>
        <v>95.634328358208961</v>
      </c>
      <c r="CU225" s="2">
        <f t="shared" ref="CU225" si="5357">100*$AF225/AH225</f>
        <v>90.261194029850742</v>
      </c>
      <c r="CV225" s="2">
        <f t="shared" ref="CV225" si="5358">100*$AF225/AI225</f>
        <v>73.544776119402982</v>
      </c>
      <c r="CW225" s="2">
        <f t="shared" ref="CW225" si="5359">100*$AF225/AJ225</f>
        <v>75.820895522388042</v>
      </c>
      <c r="CX225" s="2">
        <f t="shared" ref="CX225" si="5360">100*$AF225/AK225</f>
        <v>63.47014925373135</v>
      </c>
      <c r="CY225" s="2">
        <f t="shared" ref="CY225" si="5361">100*$AF225/AL225</f>
        <v>56.679104477611936</v>
      </c>
      <c r="CZ225" s="2">
        <f t="shared" ref="CZ225" si="5362">100*$AF225/AM225</f>
        <v>45.261194029850742</v>
      </c>
      <c r="DA225" s="2">
        <f t="shared" ref="DA225" si="5363">100*$AF225/AN225</f>
        <v>92.910447761194021</v>
      </c>
      <c r="DB225" s="2">
        <f t="shared" ref="DB225" si="5364">100*$AF225/AO225</f>
        <v>89.090485074626855</v>
      </c>
      <c r="DC225" s="2">
        <f t="shared" ref="DC225" si="5365">100*$AF225/AP225</f>
        <v>84.388992537313428</v>
      </c>
      <c r="DD225" s="2">
        <f t="shared" ref="DD225" si="5366">100*$AF225/AQ225</f>
        <v>69.22108208955224</v>
      </c>
      <c r="DE225" s="2">
        <f t="shared" ref="DE225" si="5367">100*$AF225/AR225</f>
        <v>71.75373134328359</v>
      </c>
      <c r="DF225" s="2">
        <f t="shared" ref="DF225" si="5368">100*$AF225/AS225</f>
        <v>60.405783582089541</v>
      </c>
      <c r="DG225" s="2">
        <f t="shared" ref="DG225" si="5369">100*$AF225/AT225</f>
        <v>55.004664179104473</v>
      </c>
      <c r="DH225" s="2">
        <f t="shared" ref="DH225" si="5370">100*$AF225/AU225</f>
        <v>45.013992537313435</v>
      </c>
      <c r="DI225" s="2">
        <f t="shared" ref="DI225" si="5371">100*$AF225/AV225</f>
        <v>85.820895522388057</v>
      </c>
      <c r="DJ225" s="2">
        <f t="shared" ref="DJ225" si="5372">100*$AF225/AW225</f>
        <v>82.546641791044777</v>
      </c>
      <c r="DK225" s="2">
        <f t="shared" ref="DK225" si="5373">100*$AF225/AX225</f>
        <v>78.516791044776127</v>
      </c>
      <c r="DL225" s="2">
        <f t="shared" ref="DL225" si="5374">100*$AF225/AY225</f>
        <v>64.897388059701498</v>
      </c>
      <c r="DM225" s="2">
        <f t="shared" ref="DM225" si="5375">100*$AF225/AZ225</f>
        <v>67.68656716417911</v>
      </c>
      <c r="DN225" s="2">
        <f t="shared" ref="DN225" si="5376">100*$AF225/BA225</f>
        <v>57.34141791044776</v>
      </c>
      <c r="DO225" s="2">
        <f t="shared" ref="DO225" si="5377">100*$AF225/BB225</f>
        <v>53.330223880597003</v>
      </c>
      <c r="DP225" s="2">
        <f t="shared" ref="DP225" si="5378">100*$AF225/BC225</f>
        <v>44.766791044776113</v>
      </c>
      <c r="DQ225" s="2">
        <f t="shared" ref="DQ225" si="5379">100*$AF225/BD225</f>
        <v>78.731343283582092</v>
      </c>
      <c r="DR225" s="2">
        <f t="shared" ref="DR225" si="5380">100*$AF225/BE225</f>
        <v>76.002798507462686</v>
      </c>
      <c r="DS225" s="2">
        <f t="shared" ref="DS225" si="5381">100*$AF225/BF225</f>
        <v>72.644589552238813</v>
      </c>
      <c r="DT225" s="2">
        <f t="shared" ref="DT225" si="5382">100*$AF225/BG225</f>
        <v>60.573694029850749</v>
      </c>
      <c r="DU225" s="2">
        <f t="shared" ref="DU225" si="5383">100*$AF225/BH225</f>
        <v>63.619402985074629</v>
      </c>
      <c r="DV225" s="2">
        <f t="shared" ref="DV225" si="5384">100*$AF225/BI225</f>
        <v>54.277052238805972</v>
      </c>
      <c r="DW225" s="2">
        <f t="shared" ref="DW225" si="5385">100*$AF225/BJ225</f>
        <v>51.655783582089548</v>
      </c>
      <c r="DX225" s="2">
        <f t="shared" ref="DX225" si="5386">100*$AF225/BK225</f>
        <v>44.519589552238799</v>
      </c>
      <c r="DY225" s="2">
        <f t="shared" ref="DY225" si="5387">100*$AF225/BL225</f>
        <v>71.641791044776113</v>
      </c>
      <c r="DZ225" s="2">
        <f t="shared" ref="DZ225" si="5388">100*$AF225/BM225</f>
        <v>69.458955223880594</v>
      </c>
      <c r="EA225" s="2">
        <f t="shared" ref="EA225" si="5389">100*$AF225/BN225</f>
        <v>66.772388059701484</v>
      </c>
      <c r="EB225" s="2">
        <f t="shared" ref="EB225" si="5390">100*$AF225/BO225</f>
        <v>56.25</v>
      </c>
      <c r="EC225" s="2">
        <f t="shared" ref="EC225" si="5391">100*$AF225/BP225</f>
        <v>59.552238805970148</v>
      </c>
      <c r="ED225" s="2">
        <f t="shared" ref="ED225" si="5392">100*$AF225/BQ225</f>
        <v>51.212686567164184</v>
      </c>
      <c r="EE225" s="2">
        <f t="shared" ref="EE225" si="5393">100*$AF225/BR225</f>
        <v>49.981343283582092</v>
      </c>
      <c r="EF225" s="2">
        <f t="shared" ref="EF225" si="5394">100*$AF225/BS225</f>
        <v>44.272388059701484</v>
      </c>
      <c r="EG225" s="2">
        <f t="shared" ref="EG225" si="5395">100*$AF225/BT225</f>
        <v>64.552238805970148</v>
      </c>
      <c r="EH225" s="2">
        <f t="shared" ref="EH225" si="5396">100*$AF225/BU225</f>
        <v>62.915111940298502</v>
      </c>
      <c r="EI225" s="2">
        <f t="shared" ref="EI225" si="5397">100*$AF225/BV225</f>
        <v>60.900186567164177</v>
      </c>
      <c r="EJ225" s="2">
        <f t="shared" ref="EJ225" si="5398">100*$AF225/BW225</f>
        <v>51.926305970149258</v>
      </c>
      <c r="EK225" s="2">
        <f t="shared" ref="EK225" si="5399">100*$AF225/BX225</f>
        <v>55.485074626865668</v>
      </c>
      <c r="EL225" s="2">
        <f t="shared" ref="EL225" si="5400">100*$AF225/BY225</f>
        <v>48.148320895522396</v>
      </c>
      <c r="EM225" s="2">
        <f t="shared" ref="EM225" si="5401">100*$AF225/BZ225</f>
        <v>48.306902985074622</v>
      </c>
      <c r="EN225" s="2">
        <f t="shared" ref="EN225" si="5402">100*$AF225/CA225</f>
        <v>44.025186567164184</v>
      </c>
      <c r="EO225" s="2">
        <f t="shared" ref="EO225" si="5403">100*$AF225/CB225</f>
        <v>57.462686567164184</v>
      </c>
      <c r="EP225" s="2">
        <f t="shared" ref="EP225" si="5404">100*$AF225/CC225</f>
        <v>56.371268656716417</v>
      </c>
      <c r="EQ225" s="2">
        <f t="shared" ref="EQ225" si="5405">100*$AF225/CD225</f>
        <v>55.027985074626862</v>
      </c>
      <c r="ER225" s="2">
        <f t="shared" ref="ER225" si="5406">100*$AF225/CE225</f>
        <v>47.602611940298509</v>
      </c>
      <c r="ES225" s="2">
        <f t="shared" ref="ES225" si="5407">100*$AF225/CF225</f>
        <v>51.417910447761201</v>
      </c>
      <c r="ET225" s="2">
        <f t="shared" ref="ET225" si="5408">100*$AF225/CG225</f>
        <v>45.083955223880601</v>
      </c>
      <c r="EU225" s="2">
        <f t="shared" ref="EU225" si="5409">100*$AF225/CH225</f>
        <v>46.632462686567166</v>
      </c>
      <c r="EV225" s="2">
        <f t="shared" ref="EV225" si="5410">100*$AF225/CI225</f>
        <v>43.777985074626869</v>
      </c>
      <c r="EW225" s="2">
        <f t="shared" ref="EW225" si="5411">100*$AF225/CJ225</f>
        <v>50.373134328358205</v>
      </c>
      <c r="EX225" s="2">
        <f t="shared" ref="EX225" si="5412">100*$AF225/CK225</f>
        <v>49.827425373134325</v>
      </c>
      <c r="EY225" s="2">
        <f t="shared" ref="EY225" si="5413">100*$AF225/CL225</f>
        <v>49.155783582089548</v>
      </c>
      <c r="EZ225" s="2">
        <f t="shared" ref="EZ225" si="5414">100*$AF225/CM225</f>
        <v>43.27891791044776</v>
      </c>
      <c r="FA225" s="2">
        <f t="shared" ref="FA225" si="5415">100*$AF225/CN225</f>
        <v>47.350746268656714</v>
      </c>
      <c r="FB225" s="2">
        <f t="shared" ref="FB225" si="5416">100*$AF225/CO225</f>
        <v>42.019589552238813</v>
      </c>
      <c r="FC225" s="2">
        <f t="shared" ref="FC225" si="5417">100*$AF225/CP225</f>
        <v>44.958022388059696</v>
      </c>
      <c r="FD225" s="2">
        <f t="shared" ref="FD225" si="5418">100*$AF225/CQ225</f>
        <v>43.530783582089548</v>
      </c>
    </row>
    <row r="226" spans="3:160" x14ac:dyDescent="0.4">
      <c r="C226" s="1" t="s">
        <v>47</v>
      </c>
      <c r="D226" s="1" t="s">
        <v>5</v>
      </c>
      <c r="E226" s="1">
        <v>0.25900000000000001</v>
      </c>
      <c r="F226" s="1">
        <v>0.15</v>
      </c>
      <c r="G226" s="1">
        <v>0.109</v>
      </c>
      <c r="H226" s="1">
        <v>7.0999999999999994E-2</v>
      </c>
      <c r="I226" s="1">
        <v>5907</v>
      </c>
      <c r="J226" s="1">
        <v>4557</v>
      </c>
      <c r="K226" s="1">
        <v>72</v>
      </c>
      <c r="L226" s="1">
        <v>6923</v>
      </c>
      <c r="M226" s="1">
        <v>6579</v>
      </c>
      <c r="N226" s="1">
        <v>76</v>
      </c>
      <c r="O226" s="1">
        <v>98</v>
      </c>
      <c r="P226" s="1">
        <v>91</v>
      </c>
      <c r="Q226" s="1">
        <v>98</v>
      </c>
      <c r="R226" s="1">
        <v>52</v>
      </c>
      <c r="S226" s="1">
        <v>98.5</v>
      </c>
      <c r="T226" s="4">
        <v>0</v>
      </c>
      <c r="U226" s="1">
        <v>1.7769999999999999</v>
      </c>
      <c r="V226" s="1">
        <v>6.7000000000000004E-2</v>
      </c>
      <c r="W226" s="1">
        <v>4.0199999999999996</v>
      </c>
      <c r="X226" s="1">
        <f t="shared" ref="X226" si="5419">H227</f>
        <v>2.5999999999999999E-2</v>
      </c>
      <c r="Y226" s="1">
        <f t="shared" ref="Y226" si="5420">H228</f>
        <v>7.0999999999999994E-2</v>
      </c>
      <c r="Z226" s="1">
        <f t="shared" ref="Z226" si="5421">H229</f>
        <v>2.7E-2</v>
      </c>
      <c r="AA226" s="1">
        <f t="shared" ref="AA226" si="5422">H230</f>
        <v>2.5000000000000001E-2</v>
      </c>
      <c r="AB226" s="1">
        <f t="shared" ref="AB226" si="5423">H231</f>
        <v>2.7E-2</v>
      </c>
      <c r="AC226" s="1">
        <f t="shared" si="4641"/>
        <v>3854.8775410124467</v>
      </c>
      <c r="AE226" s="1" t="s">
        <v>96</v>
      </c>
      <c r="AF226" s="1">
        <v>1</v>
      </c>
      <c r="AG226" s="1">
        <v>0.81499999999999995</v>
      </c>
      <c r="AH226" s="1">
        <v>0.64500000000000002</v>
      </c>
      <c r="AI226" s="1">
        <v>0.39500000000000002</v>
      </c>
      <c r="AJ226" s="1">
        <v>0.36</v>
      </c>
      <c r="AK226" s="1">
        <v>0.245</v>
      </c>
      <c r="AL226" s="1">
        <v>0.14499999999999999</v>
      </c>
      <c r="AM226" s="20">
        <v>6.5000000000000002E-2</v>
      </c>
      <c r="AN226" s="1">
        <v>1</v>
      </c>
      <c r="AO226" s="1">
        <v>0.81499999999999995</v>
      </c>
      <c r="AP226" s="1">
        <v>0.64500000000000002</v>
      </c>
      <c r="AQ226" s="1">
        <v>0.39500000000000002</v>
      </c>
      <c r="AR226" s="1">
        <v>0.36</v>
      </c>
      <c r="AS226" s="1">
        <v>0.245</v>
      </c>
      <c r="AT226" s="1">
        <v>0.14499999999999999</v>
      </c>
      <c r="AU226" s="20">
        <v>6.5000000000000002E-2</v>
      </c>
      <c r="AV226" s="1">
        <v>1</v>
      </c>
      <c r="AW226" s="1">
        <v>0.81499999999999995</v>
      </c>
      <c r="AX226" s="1">
        <v>0.64500000000000002</v>
      </c>
      <c r="AY226" s="1">
        <v>0.39500000000000002</v>
      </c>
      <c r="AZ226" s="1">
        <v>0.36</v>
      </c>
      <c r="BA226" s="1">
        <v>0.245</v>
      </c>
      <c r="BB226" s="1">
        <v>0.14499999999999999</v>
      </c>
      <c r="BC226" s="20">
        <v>6.5000000000000002E-2</v>
      </c>
      <c r="BD226" s="1">
        <v>1</v>
      </c>
      <c r="BE226" s="1">
        <v>0.81499999999999995</v>
      </c>
      <c r="BF226" s="1">
        <v>0.64500000000000002</v>
      </c>
      <c r="BG226" s="1">
        <v>0.39500000000000002</v>
      </c>
      <c r="BH226" s="1">
        <v>0.36</v>
      </c>
      <c r="BI226" s="1">
        <v>0.245</v>
      </c>
      <c r="BJ226" s="1">
        <v>0.14499999999999999</v>
      </c>
      <c r="BK226" s="20">
        <v>6.5000000000000002E-2</v>
      </c>
      <c r="BL226" s="1">
        <v>1</v>
      </c>
      <c r="BM226" s="1">
        <v>0.81499999999999995</v>
      </c>
      <c r="BN226" s="1">
        <v>0.64500000000000002</v>
      </c>
      <c r="BO226" s="1">
        <v>0.39500000000000002</v>
      </c>
      <c r="BP226" s="1">
        <v>0.36</v>
      </c>
      <c r="BQ226" s="1">
        <v>0.245</v>
      </c>
      <c r="BR226" s="1">
        <v>0.14499999999999999</v>
      </c>
      <c r="BS226" s="20">
        <v>6.5000000000000002E-2</v>
      </c>
      <c r="BT226" s="1">
        <v>1</v>
      </c>
      <c r="BU226" s="1">
        <v>0.81499999999999995</v>
      </c>
      <c r="BV226" s="1">
        <v>0.64500000000000002</v>
      </c>
      <c r="BW226" s="1">
        <v>0.39500000000000002</v>
      </c>
      <c r="BX226" s="1">
        <v>0.36</v>
      </c>
      <c r="BY226" s="1">
        <v>0.245</v>
      </c>
      <c r="BZ226" s="1">
        <v>0.14499999999999999</v>
      </c>
      <c r="CA226" s="20">
        <v>6.5000000000000002E-2</v>
      </c>
      <c r="CB226" s="1">
        <v>1</v>
      </c>
      <c r="CC226" s="1">
        <v>0.81499999999999995</v>
      </c>
      <c r="CD226" s="1">
        <v>0.64500000000000002</v>
      </c>
      <c r="CE226" s="1">
        <v>0.39500000000000002</v>
      </c>
      <c r="CF226" s="1">
        <v>0.36</v>
      </c>
      <c r="CG226" s="1">
        <v>0.245</v>
      </c>
      <c r="CH226" s="1">
        <v>0.14499999999999999</v>
      </c>
      <c r="CI226" s="20">
        <v>6.5000000000000002E-2</v>
      </c>
      <c r="CJ226" s="1">
        <v>1</v>
      </c>
      <c r="CK226" s="1">
        <v>0.81499999999999995</v>
      </c>
      <c r="CL226" s="1">
        <v>0.64500000000000002</v>
      </c>
      <c r="CM226" s="1">
        <v>0.39500000000000002</v>
      </c>
      <c r="CN226" s="1">
        <v>0.36</v>
      </c>
      <c r="CO226" s="1">
        <v>0.245</v>
      </c>
      <c r="CP226" s="1">
        <v>0.14499999999999999</v>
      </c>
      <c r="CQ226" s="20">
        <v>6.5000000000000002E-2</v>
      </c>
    </row>
    <row r="227" spans="3:160" x14ac:dyDescent="0.4">
      <c r="C227" s="1" t="s">
        <v>47</v>
      </c>
      <c r="D227" s="1" t="s">
        <v>6</v>
      </c>
      <c r="E227" s="1">
        <v>0.20499999999999999</v>
      </c>
      <c r="F227" s="1">
        <v>9.7000000000000003E-2</v>
      </c>
      <c r="G227" s="1">
        <v>0.108</v>
      </c>
      <c r="H227" s="1">
        <v>2.5999999999999999E-2</v>
      </c>
      <c r="I227" s="1">
        <v>5907</v>
      </c>
      <c r="J227" s="1">
        <v>4557</v>
      </c>
      <c r="K227" s="1">
        <v>72</v>
      </c>
      <c r="L227" s="1">
        <v>6923</v>
      </c>
      <c r="M227" s="1">
        <v>6579</v>
      </c>
      <c r="N227" s="1">
        <v>76</v>
      </c>
      <c r="O227" s="1">
        <v>98</v>
      </c>
      <c r="P227" s="1">
        <v>91</v>
      </c>
      <c r="Q227" s="1">
        <v>98</v>
      </c>
      <c r="R227" s="1">
        <v>52</v>
      </c>
      <c r="S227" s="1">
        <v>98.5</v>
      </c>
      <c r="T227" s="4">
        <v>0</v>
      </c>
      <c r="U227" s="1">
        <v>1.7769999999999999</v>
      </c>
      <c r="V227" s="1">
        <v>6.7000000000000004E-2</v>
      </c>
      <c r="W227" s="1">
        <v>4.0199999999999996</v>
      </c>
      <c r="X227" s="1">
        <f t="shared" ref="X227" si="5424">H227</f>
        <v>2.5999999999999999E-2</v>
      </c>
      <c r="Y227" s="1">
        <f t="shared" ref="Y227" si="5425">H228</f>
        <v>7.0999999999999994E-2</v>
      </c>
      <c r="Z227" s="1">
        <f t="shared" ref="Z227" si="5426">H229</f>
        <v>2.7E-2</v>
      </c>
      <c r="AA227" s="1">
        <f t="shared" ref="AA227" si="5427">H230</f>
        <v>2.5000000000000001E-2</v>
      </c>
      <c r="AB227" s="1">
        <f t="shared" ref="AB227" si="5428">H231</f>
        <v>2.7E-2</v>
      </c>
      <c r="AC227" s="1">
        <f t="shared" si="4641"/>
        <v>3854.8775410124467</v>
      </c>
      <c r="CQ227" s="20"/>
    </row>
    <row r="228" spans="3:160" x14ac:dyDescent="0.4">
      <c r="C228" s="1" t="s">
        <v>47</v>
      </c>
      <c r="D228" s="1" t="s">
        <v>7</v>
      </c>
      <c r="E228" s="1">
        <v>0.25900000000000001</v>
      </c>
      <c r="F228" s="1">
        <v>0.15</v>
      </c>
      <c r="G228" s="1">
        <v>0.109</v>
      </c>
      <c r="H228" s="1">
        <v>7.0999999999999994E-2</v>
      </c>
      <c r="I228" s="1">
        <v>5907</v>
      </c>
      <c r="J228" s="1">
        <v>4557</v>
      </c>
      <c r="K228" s="1">
        <v>72</v>
      </c>
      <c r="L228" s="1">
        <v>6923</v>
      </c>
      <c r="M228" s="1">
        <v>6579</v>
      </c>
      <c r="N228" s="1">
        <v>76</v>
      </c>
      <c r="O228" s="1">
        <v>98</v>
      </c>
      <c r="P228" s="1">
        <v>91</v>
      </c>
      <c r="Q228" s="1">
        <v>98</v>
      </c>
      <c r="R228" s="1">
        <v>52</v>
      </c>
      <c r="S228" s="1">
        <v>98.5</v>
      </c>
      <c r="T228" s="4">
        <v>0</v>
      </c>
      <c r="U228" s="1">
        <v>1.7769999999999999</v>
      </c>
      <c r="V228" s="1">
        <v>6.7000000000000004E-2</v>
      </c>
      <c r="W228" s="1">
        <v>4.0199999999999996</v>
      </c>
      <c r="X228" s="1">
        <f t="shared" ref="X228" si="5429">H227</f>
        <v>2.5999999999999999E-2</v>
      </c>
      <c r="Y228" s="1">
        <f t="shared" ref="Y228" si="5430">H228</f>
        <v>7.0999999999999994E-2</v>
      </c>
      <c r="Z228" s="1">
        <f t="shared" ref="Z228" si="5431">H229</f>
        <v>2.7E-2</v>
      </c>
      <c r="AA228" s="1">
        <f t="shared" ref="AA228" si="5432">H230</f>
        <v>2.5000000000000001E-2</v>
      </c>
      <c r="AB228" s="1">
        <f t="shared" ref="AB228" si="5433">H231</f>
        <v>2.7E-2</v>
      </c>
      <c r="AC228" s="1">
        <f t="shared" si="4641"/>
        <v>3854.8775410124467</v>
      </c>
      <c r="AE228" s="1" t="s">
        <v>97</v>
      </c>
      <c r="AF228" s="1">
        <v>0</v>
      </c>
      <c r="AG228" s="1">
        <v>0.12</v>
      </c>
      <c r="AH228" s="1">
        <v>0.21</v>
      </c>
      <c r="AI228" s="1">
        <v>0.26</v>
      </c>
      <c r="AJ228" s="1">
        <v>0.28000000000000003</v>
      </c>
      <c r="AK228" s="1">
        <v>0.26</v>
      </c>
      <c r="AL228" s="1">
        <v>0.21</v>
      </c>
      <c r="AM228" s="20">
        <v>0.12</v>
      </c>
      <c r="AN228" s="1">
        <v>0</v>
      </c>
      <c r="AO228" s="1">
        <v>0.12</v>
      </c>
      <c r="AP228" s="1">
        <v>0.21</v>
      </c>
      <c r="AQ228" s="1">
        <v>0.26</v>
      </c>
      <c r="AR228" s="1">
        <v>0.28000000000000003</v>
      </c>
      <c r="AS228" s="1">
        <v>0.26</v>
      </c>
      <c r="AT228" s="1">
        <v>0.21</v>
      </c>
      <c r="AU228" s="20">
        <v>0.12</v>
      </c>
      <c r="AV228" s="1">
        <v>0</v>
      </c>
      <c r="AW228" s="1">
        <v>0.12</v>
      </c>
      <c r="AX228" s="1">
        <v>0.21</v>
      </c>
      <c r="AY228" s="1">
        <v>0.26</v>
      </c>
      <c r="AZ228" s="1">
        <v>0.28000000000000003</v>
      </c>
      <c r="BA228" s="1">
        <v>0.26</v>
      </c>
      <c r="BB228" s="1">
        <v>0.21</v>
      </c>
      <c r="BC228" s="20">
        <v>0.12</v>
      </c>
      <c r="BD228" s="1">
        <v>0</v>
      </c>
      <c r="BE228" s="1">
        <v>0.12</v>
      </c>
      <c r="BF228" s="1">
        <v>0.21</v>
      </c>
      <c r="BG228" s="1">
        <v>0.26</v>
      </c>
      <c r="BH228" s="1">
        <v>0.28000000000000003</v>
      </c>
      <c r="BI228" s="1">
        <v>0.26</v>
      </c>
      <c r="BJ228" s="1">
        <v>0.21</v>
      </c>
      <c r="BK228" s="20">
        <v>0.12</v>
      </c>
      <c r="BL228" s="1">
        <v>0</v>
      </c>
      <c r="BM228" s="1">
        <v>0.12</v>
      </c>
      <c r="BN228" s="1">
        <v>0.21</v>
      </c>
      <c r="BO228" s="1">
        <v>0.26</v>
      </c>
      <c r="BP228" s="1">
        <v>0.28000000000000003</v>
      </c>
      <c r="BQ228" s="1">
        <v>0.26</v>
      </c>
      <c r="BR228" s="1">
        <v>0.21</v>
      </c>
      <c r="BS228" s="20">
        <v>0.12</v>
      </c>
      <c r="BT228" s="1">
        <v>0</v>
      </c>
      <c r="BU228" s="1">
        <v>0.12</v>
      </c>
      <c r="BV228" s="1">
        <v>0.21</v>
      </c>
      <c r="BW228" s="1">
        <v>0.26</v>
      </c>
      <c r="BX228" s="1">
        <v>0.28000000000000003</v>
      </c>
      <c r="BY228" s="1">
        <v>0.26</v>
      </c>
      <c r="BZ228" s="1">
        <v>0.21</v>
      </c>
      <c r="CA228" s="20">
        <v>0.12</v>
      </c>
      <c r="CB228" s="1">
        <v>0</v>
      </c>
      <c r="CC228" s="1">
        <v>0.12</v>
      </c>
      <c r="CD228" s="1">
        <v>0.21</v>
      </c>
      <c r="CE228" s="1">
        <v>0.26</v>
      </c>
      <c r="CF228" s="1">
        <v>0.28000000000000003</v>
      </c>
      <c r="CG228" s="1">
        <v>0.26</v>
      </c>
      <c r="CH228" s="1">
        <v>0.21</v>
      </c>
      <c r="CI228" s="20">
        <v>0.12</v>
      </c>
      <c r="CJ228" s="1">
        <v>0</v>
      </c>
      <c r="CK228" s="1">
        <v>0.12</v>
      </c>
      <c r="CL228" s="1">
        <v>0.21</v>
      </c>
      <c r="CM228" s="1">
        <v>0.26</v>
      </c>
      <c r="CN228" s="1">
        <v>0.28000000000000003</v>
      </c>
      <c r="CO228" s="1">
        <v>0.26</v>
      </c>
      <c r="CP228" s="1">
        <v>0.21</v>
      </c>
      <c r="CQ228" s="20">
        <v>0.12</v>
      </c>
    </row>
    <row r="229" spans="3:160" x14ac:dyDescent="0.4">
      <c r="C229" s="1" t="s">
        <v>47</v>
      </c>
      <c r="D229" s="1" t="s">
        <v>8</v>
      </c>
      <c r="E229" s="1">
        <v>0.20499999999999999</v>
      </c>
      <c r="F229" s="1">
        <v>9.7000000000000003E-2</v>
      </c>
      <c r="G229" s="1">
        <v>0.108</v>
      </c>
      <c r="H229" s="1">
        <v>2.7E-2</v>
      </c>
      <c r="I229" s="1">
        <v>5907</v>
      </c>
      <c r="J229" s="1">
        <v>4557</v>
      </c>
      <c r="K229" s="1">
        <v>72</v>
      </c>
      <c r="L229" s="1">
        <v>6923</v>
      </c>
      <c r="M229" s="1">
        <v>6579</v>
      </c>
      <c r="N229" s="1">
        <v>76</v>
      </c>
      <c r="O229" s="1">
        <v>98</v>
      </c>
      <c r="P229" s="1">
        <v>91</v>
      </c>
      <c r="Q229" s="1">
        <v>98</v>
      </c>
      <c r="R229" s="1">
        <v>52</v>
      </c>
      <c r="S229" s="1">
        <v>98.5</v>
      </c>
      <c r="T229" s="4">
        <v>0</v>
      </c>
      <c r="U229" s="1">
        <v>1.7769999999999999</v>
      </c>
      <c r="V229" s="1">
        <v>6.7000000000000004E-2</v>
      </c>
      <c r="W229" s="1">
        <v>4.0199999999999996</v>
      </c>
      <c r="X229" s="1">
        <f t="shared" ref="X229" si="5434">H227</f>
        <v>2.5999999999999999E-2</v>
      </c>
      <c r="Y229" s="1">
        <f t="shared" ref="Y229" si="5435">H228</f>
        <v>7.0999999999999994E-2</v>
      </c>
      <c r="Z229" s="1">
        <f t="shared" ref="Z229" si="5436">H229</f>
        <v>2.7E-2</v>
      </c>
      <c r="AA229" s="1">
        <f t="shared" ref="AA229" si="5437">H230</f>
        <v>2.5000000000000001E-2</v>
      </c>
      <c r="AB229" s="1">
        <f t="shared" ref="AB229" si="5438">H231</f>
        <v>2.7E-2</v>
      </c>
      <c r="AC229" s="1">
        <f t="shared" si="4641"/>
        <v>3854.8775410124467</v>
      </c>
      <c r="CQ229" s="20"/>
    </row>
    <row r="230" spans="3:160" x14ac:dyDescent="0.4">
      <c r="C230" s="1" t="s">
        <v>47</v>
      </c>
      <c r="D230" s="1" t="s">
        <v>9</v>
      </c>
      <c r="E230" s="1">
        <v>0.20300000000000001</v>
      </c>
      <c r="F230" s="1">
        <v>9.5000000000000001E-2</v>
      </c>
      <c r="G230" s="1">
        <v>0.108</v>
      </c>
      <c r="H230" s="1">
        <v>2.5000000000000001E-2</v>
      </c>
      <c r="I230" s="1">
        <v>5907</v>
      </c>
      <c r="J230" s="1">
        <v>4557</v>
      </c>
      <c r="K230" s="1">
        <v>72</v>
      </c>
      <c r="L230" s="1">
        <v>6923</v>
      </c>
      <c r="M230" s="1">
        <v>6579</v>
      </c>
      <c r="N230" s="1">
        <v>76</v>
      </c>
      <c r="O230" s="1">
        <v>98</v>
      </c>
      <c r="P230" s="1">
        <v>91</v>
      </c>
      <c r="Q230" s="1">
        <v>98</v>
      </c>
      <c r="R230" s="1">
        <v>52</v>
      </c>
      <c r="S230" s="1">
        <v>98.5</v>
      </c>
      <c r="T230" s="4">
        <v>0</v>
      </c>
      <c r="U230" s="1">
        <v>1.7769999999999999</v>
      </c>
      <c r="V230" s="1">
        <v>6.7000000000000004E-2</v>
      </c>
      <c r="W230" s="1">
        <v>4.0199999999999996</v>
      </c>
      <c r="X230" s="1">
        <f t="shared" ref="X230" si="5439">H227</f>
        <v>2.5999999999999999E-2</v>
      </c>
      <c r="Y230" s="1">
        <f t="shared" ref="Y230" si="5440">H228</f>
        <v>7.0999999999999994E-2</v>
      </c>
      <c r="Z230" s="1">
        <f t="shared" ref="Z230" si="5441">H229</f>
        <v>2.7E-2</v>
      </c>
      <c r="AA230" s="1">
        <f t="shared" ref="AA230" si="5442">H230</f>
        <v>2.5000000000000001E-2</v>
      </c>
      <c r="AB230" s="1">
        <f t="shared" ref="AB230" si="5443">H231</f>
        <v>2.7E-2</v>
      </c>
      <c r="AC230" s="1">
        <f t="shared" si="4641"/>
        <v>3854.8775410124467</v>
      </c>
      <c r="AE230" s="1" t="s">
        <v>98</v>
      </c>
      <c r="AF230" s="1">
        <v>0</v>
      </c>
      <c r="AG230" s="1">
        <v>6.5000000000000002E-2</v>
      </c>
      <c r="AH230" s="1">
        <v>0.14499999999999999</v>
      </c>
      <c r="AI230" s="1">
        <v>0.245</v>
      </c>
      <c r="AJ230" s="1">
        <v>0.36</v>
      </c>
      <c r="AK230" s="1">
        <v>0.39500000000000002</v>
      </c>
      <c r="AL230" s="1">
        <v>0.64500000000000002</v>
      </c>
      <c r="AM230" s="20">
        <v>0.81499999999999995</v>
      </c>
      <c r="AN230" s="1">
        <v>0</v>
      </c>
      <c r="AO230" s="1">
        <v>6.5000000000000002E-2</v>
      </c>
      <c r="AP230" s="1">
        <v>0.14499999999999999</v>
      </c>
      <c r="AQ230" s="1">
        <v>0.245</v>
      </c>
      <c r="AR230" s="1">
        <v>0.36</v>
      </c>
      <c r="AS230" s="1">
        <v>0.39500000000000002</v>
      </c>
      <c r="AT230" s="1">
        <v>0.64500000000000002</v>
      </c>
      <c r="AU230" s="20">
        <v>0.81499999999999995</v>
      </c>
      <c r="AV230" s="1">
        <v>0</v>
      </c>
      <c r="AW230" s="1">
        <v>6.5000000000000002E-2</v>
      </c>
      <c r="AX230" s="1">
        <v>0.14499999999999999</v>
      </c>
      <c r="AY230" s="1">
        <v>0.245</v>
      </c>
      <c r="AZ230" s="1">
        <v>0.36</v>
      </c>
      <c r="BA230" s="1">
        <v>0.39500000000000002</v>
      </c>
      <c r="BB230" s="1">
        <v>0.64500000000000002</v>
      </c>
      <c r="BC230" s="20">
        <v>0.81499999999999995</v>
      </c>
      <c r="BD230" s="1">
        <v>0</v>
      </c>
      <c r="BE230" s="1">
        <v>6.5000000000000002E-2</v>
      </c>
      <c r="BF230" s="1">
        <v>0.14499999999999999</v>
      </c>
      <c r="BG230" s="1">
        <v>0.245</v>
      </c>
      <c r="BH230" s="1">
        <v>0.36</v>
      </c>
      <c r="BI230" s="1">
        <v>0.39500000000000002</v>
      </c>
      <c r="BJ230" s="1">
        <v>0.64500000000000002</v>
      </c>
      <c r="BK230" s="20">
        <v>0.81499999999999995</v>
      </c>
      <c r="BL230" s="1">
        <v>0</v>
      </c>
      <c r="BM230" s="1">
        <v>6.5000000000000002E-2</v>
      </c>
      <c r="BN230" s="1">
        <v>0.14499999999999999</v>
      </c>
      <c r="BO230" s="1">
        <v>0.245</v>
      </c>
      <c r="BP230" s="1">
        <v>0.36</v>
      </c>
      <c r="BQ230" s="1">
        <v>0.39500000000000002</v>
      </c>
      <c r="BR230" s="1">
        <v>0.64500000000000002</v>
      </c>
      <c r="BS230" s="20">
        <v>0.81499999999999995</v>
      </c>
      <c r="BT230" s="1">
        <v>0</v>
      </c>
      <c r="BU230" s="1">
        <v>6.5000000000000002E-2</v>
      </c>
      <c r="BV230" s="1">
        <v>0.14499999999999999</v>
      </c>
      <c r="BW230" s="1">
        <v>0.245</v>
      </c>
      <c r="BX230" s="1">
        <v>0.36</v>
      </c>
      <c r="BY230" s="1">
        <v>0.39500000000000002</v>
      </c>
      <c r="BZ230" s="1">
        <v>0.64500000000000002</v>
      </c>
      <c r="CA230" s="20">
        <v>0.81499999999999995</v>
      </c>
      <c r="CB230" s="1">
        <v>0</v>
      </c>
      <c r="CC230" s="1">
        <v>6.5000000000000002E-2</v>
      </c>
      <c r="CD230" s="1">
        <v>0.14499999999999999</v>
      </c>
      <c r="CE230" s="1">
        <v>0.245</v>
      </c>
      <c r="CF230" s="1">
        <v>0.36</v>
      </c>
      <c r="CG230" s="1">
        <v>0.39500000000000002</v>
      </c>
      <c r="CH230" s="1">
        <v>0.64500000000000002</v>
      </c>
      <c r="CI230" s="20">
        <v>0.81499999999999995</v>
      </c>
      <c r="CJ230" s="1">
        <v>0</v>
      </c>
      <c r="CK230" s="1">
        <v>6.5000000000000002E-2</v>
      </c>
      <c r="CL230" s="1">
        <v>0.14499999999999999</v>
      </c>
      <c r="CM230" s="1">
        <v>0.245</v>
      </c>
      <c r="CN230" s="1">
        <v>0.36</v>
      </c>
      <c r="CO230" s="1">
        <v>0.39500000000000002</v>
      </c>
      <c r="CP230" s="1">
        <v>0.64500000000000002</v>
      </c>
      <c r="CQ230" s="20">
        <v>0.81499999999999995</v>
      </c>
    </row>
    <row r="231" spans="3:160" s="2" customFormat="1" x14ac:dyDescent="0.4">
      <c r="C231" s="2" t="s">
        <v>47</v>
      </c>
      <c r="D231" s="2" t="s">
        <v>10</v>
      </c>
      <c r="E231" s="2">
        <v>0.20499999999999999</v>
      </c>
      <c r="F231" s="2">
        <v>9.7000000000000003E-2</v>
      </c>
      <c r="G231" s="2">
        <v>0.108</v>
      </c>
      <c r="H231" s="2">
        <v>2.7E-2</v>
      </c>
      <c r="I231" s="2">
        <v>5907</v>
      </c>
      <c r="J231" s="2">
        <v>4557</v>
      </c>
      <c r="K231" s="2">
        <v>72</v>
      </c>
      <c r="L231" s="2">
        <v>6923</v>
      </c>
      <c r="M231" s="2">
        <v>6579</v>
      </c>
      <c r="N231" s="2">
        <v>76</v>
      </c>
      <c r="O231" s="2">
        <v>98</v>
      </c>
      <c r="P231" s="2">
        <v>91</v>
      </c>
      <c r="Q231" s="2">
        <v>98</v>
      </c>
      <c r="R231" s="2">
        <v>52</v>
      </c>
      <c r="S231" s="2">
        <v>98.5</v>
      </c>
      <c r="T231" s="6">
        <f t="shared" si="4182"/>
        <v>5584.1200909155395</v>
      </c>
      <c r="U231" s="2">
        <v>1.7769999999999999</v>
      </c>
      <c r="V231" s="2">
        <v>6.7000000000000004E-2</v>
      </c>
      <c r="W231" s="2">
        <v>4.0199999999999996</v>
      </c>
      <c r="X231" s="2">
        <f t="shared" ref="X231" si="5444">H227</f>
        <v>2.5999999999999999E-2</v>
      </c>
      <c r="Y231" s="2">
        <f t="shared" ref="Y231" si="5445">H228</f>
        <v>7.0999999999999994E-2</v>
      </c>
      <c r="Z231" s="2">
        <f t="shared" ref="Z231" si="5446">H229</f>
        <v>2.7E-2</v>
      </c>
      <c r="AA231" s="2">
        <f t="shared" ref="AA231" si="5447">H230</f>
        <v>2.5000000000000001E-2</v>
      </c>
      <c r="AB231" s="2">
        <f t="shared" ref="AB231" si="5448">H231</f>
        <v>2.7E-2</v>
      </c>
      <c r="AC231" s="1">
        <f t="shared" si="4641"/>
        <v>3854.8775410124467</v>
      </c>
      <c r="AE231" s="2" t="s">
        <v>99</v>
      </c>
      <c r="AF231" s="23">
        <f>($O231*$Q231*$S231)^(1/3)/(AF226*((1-AF$2)*$H226+AF$2*$H227) + AF228*((1-AF$2)*$H228+AF$2*$H229) + AF230*((1-AF$2)*$H230+AF$2*$H231))</f>
        <v>1382.6251270514431</v>
      </c>
      <c r="AG231" s="23">
        <f t="shared" ref="AG231" si="5449">($O231*$Q231*$S231)^(1/3)/(AG226*((1-AG$2)*$H226+AG$2*$H227) + AG228*((1-AG$2)*$H228+AG$2*$H229) + AG230*((1-AG$2)*$H230+AG$2*$H231))</f>
        <v>1443.4110280936991</v>
      </c>
      <c r="AH231" s="23">
        <f t="shared" ref="AH231" si="5450">($O231*$Q231*$S231)^(1/3)/(AH226*((1-AH$2)*$H226+AH$2*$H227) + AH228*((1-AH$2)*$H228+AH$2*$H229) + AH230*((1-AH$2)*$H230+AH$2*$H231))</f>
        <v>1525.981408684167</v>
      </c>
      <c r="AI231" s="23">
        <f t="shared" ref="AI231" si="5451">($O231*$Q231*$S231)^(1/3)/(AI226*((1-AI$2)*$H226+AI$2*$H227) + AI228*((1-AI$2)*$H228+AI$2*$H229) + AI230*((1-AI$2)*$H230+AI$2*$H231))</f>
        <v>1865.2172529099839</v>
      </c>
      <c r="AJ231" s="23">
        <f t="shared" ref="AJ231" si="5452">($O231*$Q231*$S231)^(1/3)/(AJ226*((1-AJ$2)*$H226+AJ$2*$H227) + AJ228*((1-AJ$2)*$H228+AJ$2*$H229) + AJ230*((1-AJ$2)*$H230+AJ$2*$H231))</f>
        <v>1803.2032332963347</v>
      </c>
      <c r="AK231" s="23">
        <f t="shared" ref="AK231" si="5453">($O231*$Q231*$S231)^(1/3)/(AK226*((1-AK$2)*$H226+AK$2*$H227) + AK228*((1-AK$2)*$H228+AK$2*$H229) + AK230*((1-AK$2)*$H230+AK$2*$H231))</f>
        <v>2146.6517389165201</v>
      </c>
      <c r="AL231" s="23">
        <f t="shared" ref="AL231" si="5454">($O231*$Q231*$S231)^(1/3)/(AL226*((1-AL$2)*$H226+AL$2*$H227) + AL228*((1-AL$2)*$H228+AL$2*$H229) + AL230*((1-AL$2)*$H230+AL$2*$H231))</f>
        <v>2375.1847089439261</v>
      </c>
      <c r="AM231" s="23">
        <f t="shared" ref="AM231" si="5455">($O231*$Q231*$S231)^(1/3)/(AM226*((1-AM$2)*$H226+AM$2*$H227) + AM228*((1-AM$2)*$H228+AM$2*$H229) + AM230*((1-AM$2)*$H230+AM$2*$H231))</f>
        <v>2929.4653542420911</v>
      </c>
      <c r="AN231" s="23">
        <f t="shared" ref="AN231" si="5456">($O231*$Q231*$S231)^(1/3)/(AN226*((1-AN$2)*$H226+AN$2*$H227) + AN228*((1-AN$2)*$H228+AN$2*$H229) + AN230*((1-AN$2)*$H230+AN$2*$H231))</f>
        <v>1501.589048117055</v>
      </c>
      <c r="AO231" s="23">
        <f t="shared" ref="AO231" si="5457">($O231*$Q231*$S231)^(1/3)/(AO226*((1-AO$2)*$H226+AO$2*$H227) + AO228*((1-AO$2)*$H228+AO$2*$H229) + AO230*((1-AO$2)*$H230+AO$2*$H231))</f>
        <v>1563.6102620486004</v>
      </c>
      <c r="AP231" s="23">
        <f t="shared" ref="AP231" si="5458">($O231*$Q231*$S231)^(1/3)/(AP226*((1-AP$2)*$H226+AP$2*$H227) + AP228*((1-AP$2)*$H228+AP$2*$H229) + AP230*((1-AP$2)*$H230+AP$2*$H231))</f>
        <v>1647.553464519568</v>
      </c>
      <c r="AQ231" s="23">
        <f t="shared" ref="AQ231" si="5459">($O231*$Q231*$S231)^(1/3)/(AQ226*((1-AQ$2)*$H226+AQ$2*$H227) + AQ228*((1-AQ$2)*$H228+AQ$2*$H229) + AQ230*((1-AQ$2)*$H230+AQ$2*$H231))</f>
        <v>2001.7870134081538</v>
      </c>
      <c r="AR231" s="23">
        <f t="shared" ref="AR231" si="5460">($O231*$Q231*$S231)^(1/3)/(AR226*((1-AR$2)*$H226+AR$2*$H227) + AR228*((1-AR$2)*$H228+AR$2*$H229) + AR230*((1-AR$2)*$H230+AR$2*$H231))</f>
        <v>1926.1529288855581</v>
      </c>
      <c r="AS231" s="23">
        <f t="shared" ref="AS231" si="5461">($O231*$Q231*$S231)^(1/3)/(AS226*((1-AS$2)*$H226+AS$2*$H227) + AS228*((1-AS$2)*$H228+AS$2*$H229) + AS230*((1-AS$2)*$H230+AS$2*$H231))</f>
        <v>2281.8446738198822</v>
      </c>
      <c r="AT231" s="23">
        <f t="shared" ref="AT231" si="5462">($O231*$Q231*$S231)^(1/3)/(AT226*((1-AT$2)*$H226+AT$2*$H227) + AT228*((1-AT$2)*$H228+AT$2*$H229) + AT230*((1-AT$2)*$H230+AT$2*$H231))</f>
        <v>2483.927924233295</v>
      </c>
      <c r="AU231" s="23">
        <f t="shared" ref="AU231" si="5463">($O231*$Q231*$S231)^(1/3)/(AU226*((1-AU$2)*$H226+AU$2*$H227) + AU228*((1-AU$2)*$H228+AU$2*$H229) + AU230*((1-AU$2)*$H230+AU$2*$H231))</f>
        <v>3003.1206751886953</v>
      </c>
      <c r="AV231" s="23">
        <f t="shared" ref="AV231" si="5464">($O231*$Q231*$S231)^(1/3)/(AV226*((1-AV$2)*$H226+AV$2*$H227) + AV228*((1-AV$2)*$H228+AV$2*$H229) + AV230*((1-AV$2)*$H230+AV$2*$H231))</f>
        <v>1642.9520338184514</v>
      </c>
      <c r="AW231" s="23">
        <f t="shared" ref="AW231" si="5465">($O231*$Q231*$S231)^(1/3)/(AW226*((1-AW$2)*$H226+AW$2*$H227) + AW228*((1-AW$2)*$H228+AW$2*$H229) + AW230*((1-AW$2)*$H230+AW$2*$H231))</f>
        <v>1705.6470520279302</v>
      </c>
      <c r="AX231" s="23">
        <f t="shared" ref="AX231" si="5466">($O231*$Q231*$S231)^(1/3)/(AX226*((1-AX$2)*$H226+AX$2*$H227) + AX228*((1-AX$2)*$H228+AX$2*$H229) + AX230*((1-AX$2)*$H230+AX$2*$H231))</f>
        <v>1790.1731796148072</v>
      </c>
      <c r="AY231" s="23">
        <f t="shared" ref="AY231" si="5467">($O231*$Q231*$S231)^(1/3)/(AY226*((1-AY$2)*$H226+AY$2*$H227) + AY228*((1-AY$2)*$H228+AY$2*$H229) + AY230*((1-AY$2)*$H230+AY$2*$H231))</f>
        <v>2159.935840273989</v>
      </c>
      <c r="AZ231" s="23">
        <f t="shared" ref="AZ231" si="5468">($O231*$Q231*$S231)^(1/3)/(AZ226*((1-AZ$2)*$H226+AZ$2*$H227) + AZ228*((1-AZ$2)*$H228+AZ$2*$H229) + AZ230*((1-AZ$2)*$H230+AZ$2*$H231))</f>
        <v>2067.0958943072746</v>
      </c>
      <c r="BA231" s="23">
        <f t="shared" ref="BA231" si="5469">($O231*$Q231*$S231)^(1/3)/(BA226*((1-BA$2)*$H226+BA$2*$H227) + BA228*((1-BA$2)*$H228+BA$2*$H229) + BA230*((1-BA$2)*$H230+BA$2*$H231))</f>
        <v>2435.2106178958102</v>
      </c>
      <c r="BB231" s="23">
        <f t="shared" ref="BB231" si="5470">($O231*$Q231*$S231)^(1/3)/(BB226*((1-BB$2)*$H226+BB$2*$H227) + BB228*((1-BB$2)*$H228+BB$2*$H229) + BB230*((1-BB$2)*$H230+BB$2*$H231))</f>
        <v>2603.1060763207915</v>
      </c>
      <c r="BC231" s="23">
        <f t="shared" ref="BC231" si="5471">($O231*$Q231*$S231)^(1/3)/(BC226*((1-BC$2)*$H226+BC$2*$H227) + BC228*((1-BC$2)*$H228+BC$2*$H229) + BC230*((1-BC$2)*$H230+BC$2*$H231))</f>
        <v>3080.5753428989124</v>
      </c>
      <c r="BD231" s="23">
        <f t="shared" ref="BD231" si="5472">($O231*$Q231*$S231)^(1/3)/(BD226*((1-BD$2)*$H226+BD$2*$H227) + BD228*((1-BD$2)*$H228+BD$2*$H229) + BD230*((1-BD$2)*$H230+BD$2*$H231))</f>
        <v>1813.6976262476205</v>
      </c>
      <c r="BE231" s="23">
        <f t="shared" ref="BE231" si="5473">($O231*$Q231*$S231)^(1/3)/(BE226*((1-BE$2)*$H226+BE$2*$H227) + BE228*((1-BE$2)*$H228+BE$2*$H229) + BE230*((1-BE$2)*$H230+BE$2*$H231))</f>
        <v>1876.0671090054341</v>
      </c>
      <c r="BF231" s="23">
        <f t="shared" ref="BF231" si="5474">($O231*$Q231*$S231)^(1/3)/(BF226*((1-BF$2)*$H226+BF$2*$H227) + BF228*((1-BF$2)*$H228+BF$2*$H229) + BF230*((1-BF$2)*$H230+BF$2*$H231))</f>
        <v>1959.8244941297921</v>
      </c>
      <c r="BG231" s="23">
        <f t="shared" ref="BG231" si="5475">($O231*$Q231*$S231)^(1/3)/(BG226*((1-BG$2)*$H226+BG$2*$H227) + BG228*((1-BG$2)*$H228+BG$2*$H229) + BG230*((1-BG$2)*$H230+BG$2*$H231))</f>
        <v>2345.2169446350608</v>
      </c>
      <c r="BH231" s="23">
        <f t="shared" ref="BH231" si="5476">($O231*$Q231*$S231)^(1/3)/(BH226*((1-BH$2)*$H226+BH$2*$H227) + BH228*((1-BH$2)*$H228+BH$2*$H229) + BH230*((1-BH$2)*$H230+BH$2*$H231))</f>
        <v>2230.2938548370435</v>
      </c>
      <c r="BI231" s="23">
        <f t="shared" ref="BI231" si="5477">($O231*$Q231*$S231)^(1/3)/(BI226*((1-BI$2)*$H226+BI$2*$H227) + BI228*((1-BI$2)*$H228+BI$2*$H229) + BI230*((1-BI$2)*$H230+BI$2*$H231))</f>
        <v>2610.6778989253185</v>
      </c>
      <c r="BJ231" s="23">
        <f t="shared" ref="BJ231" si="5478">($O231*$Q231*$S231)^(1/3)/(BJ226*((1-BJ$2)*$H226+BJ$2*$H227) + BJ228*((1-BJ$2)*$H228+BJ$2*$H229) + BJ230*((1-BJ$2)*$H230+BJ$2*$H231))</f>
        <v>2734.2968583298912</v>
      </c>
      <c r="BK231" s="23">
        <f t="shared" ref="BK231" si="5479">($O231*$Q231*$S231)^(1/3)/(BK226*((1-BK$2)*$H226+BK$2*$H227) + BK228*((1-BK$2)*$H228+BK$2*$H229) + BK230*((1-BK$2)*$H230+BK$2*$H231))</f>
        <v>3162.1311113737179</v>
      </c>
      <c r="BL231" s="23">
        <f t="shared" ref="BL231" si="5480">($O231*$Q231*$S231)^(1/3)/(BL226*((1-BL$2)*$H226+BL$2*$H227) + BL228*((1-BL$2)*$H228+BL$2*$H229) + BL230*((1-BL$2)*$H230+BL$2*$H231))</f>
        <v>2024.0491550649995</v>
      </c>
      <c r="BM231" s="23">
        <f t="shared" ref="BM231" si="5481">($O231*$Q231*$S231)^(1/3)/(BM226*((1-BM$2)*$H226+BM$2*$H227) + BM228*((1-BM$2)*$H228+BM$2*$H229) + BM230*((1-BM$2)*$H230+BM$2*$H231))</f>
        <v>2084.3226077955833</v>
      </c>
      <c r="BN231" s="23">
        <f t="shared" ref="BN231" si="5482">($O231*$Q231*$S231)^(1/3)/(BN226*((1-BN$2)*$H226+BN$2*$H227) + BN228*((1-BN$2)*$H228+BN$2*$H229) + BN230*((1-BN$2)*$H230+BN$2*$H231))</f>
        <v>2164.9971664697018</v>
      </c>
      <c r="BO231" s="23">
        <f t="shared" ref="BO231" si="5483">($O231*$Q231*$S231)^(1/3)/(BO226*((1-BO$2)*$H226+BO$2*$H227) + BO228*((1-BO$2)*$H228+BO$2*$H229) + BO230*((1-BO$2)*$H230+BO$2*$H231))</f>
        <v>2565.267760388122</v>
      </c>
      <c r="BP231" s="23">
        <f t="shared" ref="BP231" si="5484">($O231*$Q231*$S231)^(1/3)/(BP226*((1-BP$2)*$H226+BP$2*$H227) + BP228*((1-BP$2)*$H228+BP$2*$H229) + BP230*((1-BP$2)*$H230+BP$2*$H231))</f>
        <v>2421.4697587728779</v>
      </c>
      <c r="BQ231" s="23">
        <f t="shared" ref="BQ231" si="5485">($O231*$Q231*$S231)^(1/3)/(BQ226*((1-BQ$2)*$H226+BQ$2*$H227) + BQ228*((1-BQ$2)*$H228+BQ$2*$H229) + BQ230*((1-BQ$2)*$H230+BQ$2*$H231))</f>
        <v>2813.3949708577047</v>
      </c>
      <c r="BR231" s="23">
        <f t="shared" ref="BR231" si="5486">($O231*$Q231*$S231)^(1/3)/(BR226*((1-BR$2)*$H226+BR$2*$H227) + BR228*((1-BR$2)*$H228+BR$2*$H229) + BR230*((1-BR$2)*$H230+BR$2*$H231))</f>
        <v>2879.412892004179</v>
      </c>
      <c r="BS231" s="23">
        <f t="shared" ref="BS231" si="5487">($O231*$Q231*$S231)^(1/3)/(BS226*((1-BS$2)*$H226+BS$2*$H227) + BS228*((1-BS$2)*$H228+BS$2*$H229) + BS230*((1-BS$2)*$H230+BS$2*$H231))</f>
        <v>3248.1225583804271</v>
      </c>
      <c r="BT231" s="23">
        <f t="shared" ref="BT231" si="5488">($O231*$Q231*$S231)^(1/3)/(BT226*((1-BT$2)*$H226+BT$2*$H227) + BT228*((1-BT$2)*$H228+BT$2*$H229) + BT230*((1-BT$2)*$H230+BT$2*$H231))</f>
        <v>2289.5949625808157</v>
      </c>
      <c r="BU231" s="23">
        <f t="shared" ref="BU231" si="5489">($O231*$Q231*$S231)^(1/3)/(BU226*((1-BU$2)*$H226+BU$2*$H227) + BU228*((1-BU$2)*$H228+BU$2*$H229) + BU230*((1-BU$2)*$H230+BU$2*$H231))</f>
        <v>2344.5868017053626</v>
      </c>
      <c r="BV231" s="23">
        <f t="shared" ref="BV231" si="5490">($O231*$Q231*$S231)^(1/3)/(BV226*((1-BV$2)*$H226+BV$2*$H227) + BV228*((1-BV$2)*$H228+BV$2*$H229) + BV230*((1-BV$2)*$H230+BV$2*$H231))</f>
        <v>2418.1518087393029</v>
      </c>
      <c r="BW231" s="23">
        <f t="shared" ref="BW231" si="5491">($O231*$Q231*$S231)^(1/3)/(BW226*((1-BW$2)*$H226+BW$2*$H227) + BW228*((1-BW$2)*$H228+BW$2*$H229) + BW230*((1-BW$2)*$H230+BW$2*$H231))</f>
        <v>2830.8890008298749</v>
      </c>
      <c r="BX231" s="23">
        <f t="shared" ref="BX231" si="5492">($O231*$Q231*$S231)^(1/3)/(BX226*((1-BX$2)*$H226+BX$2*$H227) + BX228*((1-BX$2)*$H228+BX$2*$H229) + BX230*((1-BX$2)*$H230+BX$2*$H231))</f>
        <v>2648.4927565264388</v>
      </c>
      <c r="BY231" s="23">
        <f t="shared" ref="BY231" si="5493">($O231*$Q231*$S231)^(1/3)/(BY226*((1-BY$2)*$H226+BY$2*$H227) + BY228*((1-BY$2)*$H228+BY$2*$H229) + BY230*((1-BY$2)*$H230+BY$2*$H231))</f>
        <v>3050.2440027390894</v>
      </c>
      <c r="BZ231" s="23">
        <f t="shared" ref="BZ231" si="5494">($O231*$Q231*$S231)^(1/3)/(BZ226*((1-BZ$2)*$H226+BZ$2*$H227) + BZ228*((1-BZ$2)*$H228+BZ$2*$H229) + BZ230*((1-BZ$2)*$H230+BZ$2*$H231))</f>
        <v>3040.7955865689109</v>
      </c>
      <c r="CA231" s="23">
        <f t="shared" ref="CA231" si="5495">($O231*$Q231*$S231)^(1/3)/(CA226*((1-CA$2)*$H226+CA$2*$H227) + CA228*((1-CA$2)*$H228+CA$2*$H229) + CA230*((1-CA$2)*$H230+CA$2*$H231))</f>
        <v>3338.9216732859409</v>
      </c>
      <c r="CB231" s="23">
        <f t="shared" ref="CB231" si="5496">($O231*$Q231*$S231)^(1/3)/(CB226*((1-CB$2)*$H226+CB$2*$H227) + CB228*((1-CB$2)*$H228+CB$2*$H229) + CB230*((1-CB$2)*$H230+CB$2*$H231))</f>
        <v>2635.3391683396635</v>
      </c>
      <c r="CC231" s="23">
        <f t="shared" ref="CC231" si="5497">($O231*$Q231*$S231)^(1/3)/(CC226*((1-CC$2)*$H226+CC$2*$H227) + CC228*((1-CC$2)*$H228+CC$2*$H229) + CC230*((1-CC$2)*$H230+CC$2*$H231))</f>
        <v>2679.1221374994702</v>
      </c>
      <c r="CD231" s="23">
        <f t="shared" ref="CD231" si="5498">($O231*$Q231*$S231)^(1/3)/(CD226*((1-CD$2)*$H226+CD$2*$H227) + CD228*((1-CD$2)*$H228+CD$2*$H229) + CD230*((1-CD$2)*$H230+CD$2*$H231))</f>
        <v>2738.3488690861595</v>
      </c>
      <c r="CE231" s="23">
        <f t="shared" ref="CE231" si="5499">($O231*$Q231*$S231)^(1/3)/(CE226*((1-CE$2)*$H226+CE$2*$H227) + CE228*((1-CE$2)*$H228+CE$2*$H229) + CE230*((1-CE$2)*$H230+CE$2*$H231))</f>
        <v>3157.8715355069353</v>
      </c>
      <c r="CF231" s="23">
        <f t="shared" ref="CF231" si="5500">($O231*$Q231*$S231)^(1/3)/(CF226*((1-CF$2)*$H226+CF$2*$H227) + CF228*((1-CF$2)*$H228+CF$2*$H229) + CF230*((1-CF$2)*$H230+CF$2*$H231))</f>
        <v>2922.4883602456825</v>
      </c>
      <c r="CG231" s="23">
        <f t="shared" ref="CG231" si="5501">($O231*$Q231*$S231)^(1/3)/(CG226*((1-CG$2)*$H226+CG$2*$H227) + CG228*((1-CG$2)*$H228+CG$2*$H229) + CG230*((1-CG$2)*$H230+CG$2*$H231))</f>
        <v>3330.6377376700439</v>
      </c>
      <c r="CH231" s="23">
        <f t="shared" ref="CH231" si="5502">($O231*$Q231*$S231)^(1/3)/(CH226*((1-CH$2)*$H226+CH$2*$H227) + CH228*((1-CH$2)*$H228+CH$2*$H229) + CH230*((1-CH$2)*$H230+CH$2*$H231))</f>
        <v>3221.3424347398154</v>
      </c>
      <c r="CI231" s="23">
        <f t="shared" ref="CI231" si="5503">($O231*$Q231*$S231)^(1/3)/(CI226*((1-CI$2)*$H226+CI$2*$H227) + CI228*((1-CI$2)*$H228+CI$2*$H229) + CI230*((1-CI$2)*$H230+CI$2*$H231))</f>
        <v>3434.943236518478</v>
      </c>
      <c r="CJ231" s="23">
        <f t="shared" ref="CJ231" si="5504">($O231*$Q231*$S231)^(1/3)/(CJ226*((1-CJ$2)*$H226+CJ$2*$H227) + CJ228*((1-CJ$2)*$H228+CJ$2*$H229) + CJ230*((1-CJ$2)*$H230+CJ$2*$H231))</f>
        <v>3104.0753840522516</v>
      </c>
      <c r="CK231" s="23">
        <f t="shared" ref="CK231" si="5505">($O231*$Q231*$S231)^(1/3)/(CK226*((1-CK$2)*$H226+CK$2*$H227) + CK228*((1-CK$2)*$H228+CK$2*$H229) + CK230*((1-CK$2)*$H230+CK$2*$H231))</f>
        <v>3125.0117274436229</v>
      </c>
      <c r="CL231" s="23">
        <f t="shared" ref="CL231" si="5506">($O231*$Q231*$S231)^(1/3)/(CL226*((1-CL$2)*$H226+CL$2*$H227) + CL228*((1-CL$2)*$H228+CL$2*$H229) + CL230*((1-CL$2)*$H230+CL$2*$H231))</f>
        <v>3156.2850799397934</v>
      </c>
      <c r="CM231" s="23">
        <f t="shared" ref="CM231" si="5507">($O231*$Q231*$S231)^(1/3)/(CM226*((1-CM$2)*$H226+CM$2*$H227) + CM228*((1-CM$2)*$H228+CM$2*$H229) + CM230*((1-CM$2)*$H230+CM$2*$H231))</f>
        <v>3570.2546867238862</v>
      </c>
      <c r="CN231" s="23">
        <f t="shared" ref="CN231" si="5508">($O231*$Q231*$S231)^(1/3)/(CN226*((1-CN$2)*$H226+CN$2*$H227) + CN228*((1-CN$2)*$H228+CN$2*$H229) + CN230*((1-CN$2)*$H230+CN$2*$H231))</f>
        <v>3259.7172180193411</v>
      </c>
      <c r="CO231" s="23">
        <f t="shared" ref="CO231" si="5509">($O231*$Q231*$S231)^(1/3)/(CO226*((1-CO$2)*$H226+CO$2*$H227) + CO228*((1-CO$2)*$H228+CO$2*$H229) + CO230*((1-CO$2)*$H230+CO$2*$H231))</f>
        <v>3667.8003510506956</v>
      </c>
      <c r="CP231" s="23">
        <f t="shared" ref="CP231" si="5510">($O231*$Q231*$S231)^(1/3)/(CP226*((1-CP$2)*$H226+CP$2*$H227) + CP228*((1-CP$2)*$H228+CP$2*$H229) + CP230*((1-CP$2)*$H230+CP$2*$H231))</f>
        <v>3424.6825203986637</v>
      </c>
      <c r="CQ231" s="23">
        <f t="shared" ref="CQ231" si="5511">($O231*$Q231*$S231)^(1/3)/(CQ226*((1-CQ$2)*$H226+CQ$2*$H227) + CQ228*((1-CQ$2)*$H228+CQ$2*$H229) + CQ230*((1-CQ$2)*$H230+CQ$2*$H231))</f>
        <v>3536.6511547374289</v>
      </c>
      <c r="CS231" s="2">
        <f t="shared" ref="CS231" si="5512">100*$AF231/AF231</f>
        <v>99.999999999999986</v>
      </c>
      <c r="CT231" s="2">
        <f t="shared" ref="CT231" si="5513">100*$AF231/AG231</f>
        <v>95.788732394366178</v>
      </c>
      <c r="CU231" s="2">
        <f t="shared" ref="CU231" si="5514">100*$AF231/AH231</f>
        <v>90.605633802816882</v>
      </c>
      <c r="CV231" s="2">
        <f t="shared" ref="CV231" si="5515">100*$AF231/AI231</f>
        <v>74.126760563380273</v>
      </c>
      <c r="CW231" s="2">
        <f t="shared" ref="CW231" si="5516">100*$AF231/AJ231</f>
        <v>76.676056338028161</v>
      </c>
      <c r="CX231" s="2">
        <f t="shared" ref="CX231" si="5517">100*$AF231/AK231</f>
        <v>64.408450704225345</v>
      </c>
      <c r="CY231" s="2">
        <f t="shared" ref="CY231" si="5518">100*$AF231/AL231</f>
        <v>58.211267605633793</v>
      </c>
      <c r="CZ231" s="2">
        <f t="shared" ref="CZ231" si="5519">100*$AF231/AM231</f>
        <v>47.197183098591537</v>
      </c>
      <c r="DA231" s="2">
        <f t="shared" ref="DA231" si="5520">100*$AF231/AN231</f>
        <v>92.077464788732385</v>
      </c>
      <c r="DB231" s="2">
        <f t="shared" ref="DB231" si="5521">100*$AF231/AO231</f>
        <v>88.425176056338003</v>
      </c>
      <c r="DC231" s="2">
        <f t="shared" ref="DC231" si="5522">100*$AF231/AP231</f>
        <v>83.919894366197155</v>
      </c>
      <c r="DD231" s="2">
        <f t="shared" ref="DD231" si="5523">100*$AF231/AQ231</f>
        <v>69.069542253521107</v>
      </c>
      <c r="DE231" s="2">
        <f t="shared" ref="DE231" si="5524">100*$AF231/AR231</f>
        <v>71.781690140845058</v>
      </c>
      <c r="DF231" s="2">
        <f t="shared" ref="DF231" si="5525">100*$AF231/AS231</f>
        <v>60.592429577464777</v>
      </c>
      <c r="DG231" s="2">
        <f t="shared" ref="DG231" si="5526">100*$AF231/AT231</f>
        <v>55.662852112676049</v>
      </c>
      <c r="DH231" s="2">
        <f t="shared" ref="DH231" si="5527">100*$AF231/AU231</f>
        <v>46.039612676056329</v>
      </c>
      <c r="DI231" s="2">
        <f t="shared" ref="DI231" si="5528">100*$AF231/AV231</f>
        <v>84.15492957746477</v>
      </c>
      <c r="DJ231" s="2">
        <f t="shared" ref="DJ231" si="5529">100*$AF231/AW231</f>
        <v>81.061619718309828</v>
      </c>
      <c r="DK231" s="2">
        <f t="shared" ref="DK231" si="5530">100*$AF231/AX231</f>
        <v>77.234154929577457</v>
      </c>
      <c r="DL231" s="2">
        <f t="shared" ref="DL231" si="5531">100*$AF231/AY231</f>
        <v>64.012323943661968</v>
      </c>
      <c r="DM231" s="2">
        <f t="shared" ref="DM231" si="5532">100*$AF231/AZ231</f>
        <v>66.887323943661954</v>
      </c>
      <c r="DN231" s="2">
        <f t="shared" ref="DN231" si="5533">100*$AF231/BA231</f>
        <v>56.77640845070421</v>
      </c>
      <c r="DO231" s="2">
        <f t="shared" ref="DO231" si="5534">100*$AF231/BB231</f>
        <v>53.114436619718312</v>
      </c>
      <c r="DP231" s="2">
        <f t="shared" ref="DP231" si="5535">100*$AF231/BC231</f>
        <v>44.882042253521121</v>
      </c>
      <c r="DQ231" s="2">
        <f t="shared" ref="DQ231" si="5536">100*$AF231/BD231</f>
        <v>76.23239436619717</v>
      </c>
      <c r="DR231" s="2">
        <f t="shared" ref="DR231" si="5537">100*$AF231/BE231</f>
        <v>73.698063380281681</v>
      </c>
      <c r="DS231" s="2">
        <f t="shared" ref="DS231" si="5538">100*$AF231/BF231</f>
        <v>70.548415492957744</v>
      </c>
      <c r="DT231" s="2">
        <f t="shared" ref="DT231" si="5539">100*$AF231/BG231</f>
        <v>58.955105633802816</v>
      </c>
      <c r="DU231" s="2">
        <f t="shared" ref="DU231" si="5540">100*$AF231/BH231</f>
        <v>61.992957746478865</v>
      </c>
      <c r="DV231" s="2">
        <f t="shared" ref="DV231" si="5541">100*$AF231/BI231</f>
        <v>52.960387323943657</v>
      </c>
      <c r="DW231" s="2">
        <f t="shared" ref="DW231" si="5542">100*$AF231/BJ231</f>
        <v>50.56602112676056</v>
      </c>
      <c r="DX231" s="2">
        <f t="shared" ref="DX231" si="5543">100*$AF231/BK231</f>
        <v>43.724471830985912</v>
      </c>
      <c r="DY231" s="2">
        <f t="shared" ref="DY231" si="5544">100*$AF231/BL231</f>
        <v>68.309859154929555</v>
      </c>
      <c r="DZ231" s="2">
        <f t="shared" ref="DZ231" si="5545">100*$AF231/BM231</f>
        <v>66.334507042253506</v>
      </c>
      <c r="EA231" s="2">
        <f t="shared" ref="EA231" si="5546">100*$AF231/BN231</f>
        <v>63.862676056338024</v>
      </c>
      <c r="EB231" s="2">
        <f t="shared" ref="EB231" si="5547">100*$AF231/BO231</f>
        <v>53.897887323943657</v>
      </c>
      <c r="EC231" s="2">
        <f t="shared" ref="EC231" si="5548">100*$AF231/BP231</f>
        <v>57.098591549295762</v>
      </c>
      <c r="ED231" s="2">
        <f t="shared" ref="ED231" si="5549">100*$AF231/BQ231</f>
        <v>49.144366197183096</v>
      </c>
      <c r="EE231" s="2">
        <f t="shared" ref="EE231" si="5550">100*$AF231/BR231</f>
        <v>48.017605633802809</v>
      </c>
      <c r="EF231" s="2">
        <f t="shared" ref="EF231" si="5551">100*$AF231/BS231</f>
        <v>42.566901408450704</v>
      </c>
      <c r="EG231" s="2">
        <f t="shared" ref="EG231" si="5552">100*$AF231/BT231</f>
        <v>60.387323943661961</v>
      </c>
      <c r="EH231" s="2">
        <f t="shared" ref="EH231" si="5553">100*$AF231/BU231</f>
        <v>58.970950704225345</v>
      </c>
      <c r="EI231" s="2">
        <f t="shared" ref="EI231" si="5554">100*$AF231/BV231</f>
        <v>57.176936619718305</v>
      </c>
      <c r="EJ231" s="2">
        <f t="shared" ref="EJ231" si="5555">100*$AF231/BW231</f>
        <v>48.840669014084497</v>
      </c>
      <c r="EK231" s="2">
        <f t="shared" ref="EK231" si="5556">100*$AF231/BX231</f>
        <v>52.204225352112672</v>
      </c>
      <c r="EL231" s="2">
        <f t="shared" ref="EL231" si="5557">100*$AF231/BY231</f>
        <v>45.328345070422536</v>
      </c>
      <c r="EM231" s="2">
        <f t="shared" ref="EM231" si="5558">100*$AF231/BZ231</f>
        <v>45.469190140845058</v>
      </c>
      <c r="EN231" s="2">
        <f t="shared" ref="EN231" si="5559">100*$AF231/CA231</f>
        <v>41.409330985915489</v>
      </c>
      <c r="EO231" s="2">
        <f t="shared" ref="EO231" si="5560">100*$AF231/CB231</f>
        <v>52.464788732394361</v>
      </c>
      <c r="EP231" s="2">
        <f t="shared" ref="EP231" si="5561">100*$AF231/CC231</f>
        <v>51.607394366197177</v>
      </c>
      <c r="EQ231" s="2">
        <f t="shared" ref="EQ231" si="5562">100*$AF231/CD231</f>
        <v>50.491197183098585</v>
      </c>
      <c r="ER231" s="2">
        <f t="shared" ref="ER231" si="5563">100*$AF231/CE231</f>
        <v>43.783450704225345</v>
      </c>
      <c r="ES231" s="2">
        <f t="shared" ref="ES231" si="5564">100*$AF231/CF231</f>
        <v>47.309859154929562</v>
      </c>
      <c r="ET231" s="2">
        <f t="shared" ref="ET231" si="5565">100*$AF231/CG231</f>
        <v>41.512323943661968</v>
      </c>
      <c r="EU231" s="2">
        <f t="shared" ref="EU231" si="5566">100*$AF231/CH231</f>
        <v>42.920774647887328</v>
      </c>
      <c r="EV231" s="2">
        <f t="shared" ref="EV231" si="5567">100*$AF231/CI231</f>
        <v>40.25176056338028</v>
      </c>
      <c r="EW231" s="2">
        <f t="shared" ref="EW231" si="5568">100*$AF231/CJ231</f>
        <v>44.54225352112676</v>
      </c>
      <c r="EX231" s="2">
        <f t="shared" ref="EX231" si="5569">100*$AF231/CK231</f>
        <v>44.243838028169009</v>
      </c>
      <c r="EY231" s="2">
        <f t="shared" ref="EY231" si="5570">100*$AF231/CL231</f>
        <v>43.805457746478872</v>
      </c>
      <c r="EZ231" s="2">
        <f t="shared" ref="EZ231" si="5571">100*$AF231/CM231</f>
        <v>38.7262323943662</v>
      </c>
      <c r="FA231" s="2">
        <f t="shared" ref="FA231" si="5572">100*$AF231/CN231</f>
        <v>42.41549295774648</v>
      </c>
      <c r="FB231" s="2">
        <f t="shared" ref="FB231" si="5573">100*$AF231/CO231</f>
        <v>37.696302816901408</v>
      </c>
      <c r="FC231" s="2">
        <f t="shared" ref="FC231" si="5574">100*$AF231/CP231</f>
        <v>40.372359154929583</v>
      </c>
      <c r="FD231" s="2">
        <f t="shared" ref="FD231" si="5575">100*$AF231/CQ231</f>
        <v>39.094190140845065</v>
      </c>
    </row>
    <row r="232" spans="3:160" x14ac:dyDescent="0.4">
      <c r="C232" s="1" t="s">
        <v>48</v>
      </c>
      <c r="D232" s="1" t="s">
        <v>5</v>
      </c>
      <c r="E232" s="1">
        <v>0.25700000000000001</v>
      </c>
      <c r="F232" s="1">
        <v>0.14899999999999999</v>
      </c>
      <c r="G232" s="1">
        <v>0.109</v>
      </c>
      <c r="H232" s="1">
        <v>7.0000000000000007E-2</v>
      </c>
      <c r="I232" s="1">
        <v>5921</v>
      </c>
      <c r="J232" s="1">
        <v>4677</v>
      </c>
      <c r="K232" s="1">
        <v>72</v>
      </c>
      <c r="L232" s="1">
        <v>6921</v>
      </c>
      <c r="M232" s="1">
        <v>6699</v>
      </c>
      <c r="N232" s="1">
        <v>76</v>
      </c>
      <c r="O232" s="1">
        <v>98</v>
      </c>
      <c r="P232" s="1">
        <v>91</v>
      </c>
      <c r="Q232" s="1">
        <v>98</v>
      </c>
      <c r="R232" s="1">
        <v>52</v>
      </c>
      <c r="S232" s="1">
        <v>98.5</v>
      </c>
      <c r="T232" s="4">
        <v>0</v>
      </c>
      <c r="U232" s="1">
        <v>1.5609999999999999</v>
      </c>
      <c r="V232" s="1">
        <v>6.7000000000000004E-2</v>
      </c>
      <c r="W232" s="1">
        <v>4.0199999999999996</v>
      </c>
      <c r="X232" s="1">
        <f t="shared" ref="X232" si="5576">H233</f>
        <v>2.5999999999999999E-2</v>
      </c>
      <c r="Y232" s="1">
        <f t="shared" ref="Y232" si="5577">H234</f>
        <v>7.0000000000000007E-2</v>
      </c>
      <c r="Z232" s="1">
        <f t="shared" ref="Z232" si="5578">H235</f>
        <v>2.5999999999999999E-2</v>
      </c>
      <c r="AA232" s="1">
        <f t="shared" ref="AA232" si="5579">H236</f>
        <v>2.4E-2</v>
      </c>
      <c r="AB232" s="1">
        <f t="shared" ref="AB232" si="5580">H237</f>
        <v>2.5999999999999999E-2</v>
      </c>
      <c r="AC232" s="1">
        <f t="shared" si="4641"/>
        <v>3843.7081391825391</v>
      </c>
      <c r="AE232" s="1" t="s">
        <v>96</v>
      </c>
      <c r="AF232" s="1">
        <v>1</v>
      </c>
      <c r="AG232" s="1">
        <v>0.81499999999999995</v>
      </c>
      <c r="AH232" s="1">
        <v>0.64500000000000002</v>
      </c>
      <c r="AI232" s="1">
        <v>0.39500000000000002</v>
      </c>
      <c r="AJ232" s="1">
        <v>0.36</v>
      </c>
      <c r="AK232" s="1">
        <v>0.245</v>
      </c>
      <c r="AL232" s="1">
        <v>0.14499999999999999</v>
      </c>
      <c r="AM232" s="20">
        <v>6.5000000000000002E-2</v>
      </c>
      <c r="AN232" s="1">
        <v>1</v>
      </c>
      <c r="AO232" s="1">
        <v>0.81499999999999995</v>
      </c>
      <c r="AP232" s="1">
        <v>0.64500000000000002</v>
      </c>
      <c r="AQ232" s="1">
        <v>0.39500000000000002</v>
      </c>
      <c r="AR232" s="1">
        <v>0.36</v>
      </c>
      <c r="AS232" s="1">
        <v>0.245</v>
      </c>
      <c r="AT232" s="1">
        <v>0.14499999999999999</v>
      </c>
      <c r="AU232" s="20">
        <v>6.5000000000000002E-2</v>
      </c>
      <c r="AV232" s="1">
        <v>1</v>
      </c>
      <c r="AW232" s="1">
        <v>0.81499999999999995</v>
      </c>
      <c r="AX232" s="1">
        <v>0.64500000000000002</v>
      </c>
      <c r="AY232" s="1">
        <v>0.39500000000000002</v>
      </c>
      <c r="AZ232" s="1">
        <v>0.36</v>
      </c>
      <c r="BA232" s="1">
        <v>0.245</v>
      </c>
      <c r="BB232" s="1">
        <v>0.14499999999999999</v>
      </c>
      <c r="BC232" s="20">
        <v>6.5000000000000002E-2</v>
      </c>
      <c r="BD232" s="1">
        <v>1</v>
      </c>
      <c r="BE232" s="1">
        <v>0.81499999999999995</v>
      </c>
      <c r="BF232" s="1">
        <v>0.64500000000000002</v>
      </c>
      <c r="BG232" s="1">
        <v>0.39500000000000002</v>
      </c>
      <c r="BH232" s="1">
        <v>0.36</v>
      </c>
      <c r="BI232" s="1">
        <v>0.245</v>
      </c>
      <c r="BJ232" s="1">
        <v>0.14499999999999999</v>
      </c>
      <c r="BK232" s="20">
        <v>6.5000000000000002E-2</v>
      </c>
      <c r="BL232" s="1">
        <v>1</v>
      </c>
      <c r="BM232" s="1">
        <v>0.81499999999999995</v>
      </c>
      <c r="BN232" s="1">
        <v>0.64500000000000002</v>
      </c>
      <c r="BO232" s="1">
        <v>0.39500000000000002</v>
      </c>
      <c r="BP232" s="1">
        <v>0.36</v>
      </c>
      <c r="BQ232" s="1">
        <v>0.245</v>
      </c>
      <c r="BR232" s="1">
        <v>0.14499999999999999</v>
      </c>
      <c r="BS232" s="20">
        <v>6.5000000000000002E-2</v>
      </c>
      <c r="BT232" s="1">
        <v>1</v>
      </c>
      <c r="BU232" s="1">
        <v>0.81499999999999995</v>
      </c>
      <c r="BV232" s="1">
        <v>0.64500000000000002</v>
      </c>
      <c r="BW232" s="1">
        <v>0.39500000000000002</v>
      </c>
      <c r="BX232" s="1">
        <v>0.36</v>
      </c>
      <c r="BY232" s="1">
        <v>0.245</v>
      </c>
      <c r="BZ232" s="1">
        <v>0.14499999999999999</v>
      </c>
      <c r="CA232" s="20">
        <v>6.5000000000000002E-2</v>
      </c>
      <c r="CB232" s="1">
        <v>1</v>
      </c>
      <c r="CC232" s="1">
        <v>0.81499999999999995</v>
      </c>
      <c r="CD232" s="1">
        <v>0.64500000000000002</v>
      </c>
      <c r="CE232" s="1">
        <v>0.39500000000000002</v>
      </c>
      <c r="CF232" s="1">
        <v>0.36</v>
      </c>
      <c r="CG232" s="1">
        <v>0.245</v>
      </c>
      <c r="CH232" s="1">
        <v>0.14499999999999999</v>
      </c>
      <c r="CI232" s="20">
        <v>6.5000000000000002E-2</v>
      </c>
      <c r="CJ232" s="1">
        <v>1</v>
      </c>
      <c r="CK232" s="1">
        <v>0.81499999999999995</v>
      </c>
      <c r="CL232" s="1">
        <v>0.64500000000000002</v>
      </c>
      <c r="CM232" s="1">
        <v>0.39500000000000002</v>
      </c>
      <c r="CN232" s="1">
        <v>0.36</v>
      </c>
      <c r="CO232" s="1">
        <v>0.245</v>
      </c>
      <c r="CP232" s="1">
        <v>0.14499999999999999</v>
      </c>
      <c r="CQ232" s="20">
        <v>6.5000000000000002E-2</v>
      </c>
    </row>
    <row r="233" spans="3:160" x14ac:dyDescent="0.4">
      <c r="C233" s="1" t="s">
        <v>48</v>
      </c>
      <c r="D233" s="1" t="s">
        <v>6</v>
      </c>
      <c r="E233" s="1">
        <v>0.20399999999999999</v>
      </c>
      <c r="F233" s="1">
        <v>9.6000000000000002E-2</v>
      </c>
      <c r="G233" s="1">
        <v>0.108</v>
      </c>
      <c r="H233" s="1">
        <v>2.5999999999999999E-2</v>
      </c>
      <c r="I233" s="1">
        <v>5921</v>
      </c>
      <c r="J233" s="1">
        <v>4677</v>
      </c>
      <c r="K233" s="1">
        <v>72</v>
      </c>
      <c r="L233" s="1">
        <v>6921</v>
      </c>
      <c r="M233" s="1">
        <v>6699</v>
      </c>
      <c r="N233" s="1">
        <v>76</v>
      </c>
      <c r="O233" s="1">
        <v>98</v>
      </c>
      <c r="P233" s="1">
        <v>91</v>
      </c>
      <c r="Q233" s="1">
        <v>98</v>
      </c>
      <c r="R233" s="1">
        <v>52</v>
      </c>
      <c r="S233" s="1">
        <v>98.5</v>
      </c>
      <c r="T233" s="4">
        <v>0</v>
      </c>
      <c r="U233" s="1">
        <v>1.5609999999999999</v>
      </c>
      <c r="V233" s="1">
        <v>6.7000000000000004E-2</v>
      </c>
      <c r="W233" s="1">
        <v>4.0199999999999996</v>
      </c>
      <c r="X233" s="1">
        <f t="shared" ref="X233" si="5581">H233</f>
        <v>2.5999999999999999E-2</v>
      </c>
      <c r="Y233" s="1">
        <f t="shared" ref="Y233" si="5582">H234</f>
        <v>7.0000000000000007E-2</v>
      </c>
      <c r="Z233" s="1">
        <f t="shared" ref="Z233" si="5583">H235</f>
        <v>2.5999999999999999E-2</v>
      </c>
      <c r="AA233" s="1">
        <f t="shared" ref="AA233" si="5584">H236</f>
        <v>2.4E-2</v>
      </c>
      <c r="AB233" s="1">
        <f t="shared" ref="AB233" si="5585">H237</f>
        <v>2.5999999999999999E-2</v>
      </c>
      <c r="AC233" s="1">
        <f t="shared" si="4641"/>
        <v>3843.7081391825391</v>
      </c>
      <c r="CQ233" s="20"/>
    </row>
    <row r="234" spans="3:160" x14ac:dyDescent="0.4">
      <c r="C234" s="1" t="s">
        <v>48</v>
      </c>
      <c r="D234" s="1" t="s">
        <v>7</v>
      </c>
      <c r="E234" s="1">
        <v>0.25800000000000001</v>
      </c>
      <c r="F234" s="1">
        <v>0.14899999999999999</v>
      </c>
      <c r="G234" s="1">
        <v>0.109</v>
      </c>
      <c r="H234" s="1">
        <v>7.0000000000000007E-2</v>
      </c>
      <c r="I234" s="1">
        <v>5921</v>
      </c>
      <c r="J234" s="1">
        <v>4677</v>
      </c>
      <c r="K234" s="1">
        <v>72</v>
      </c>
      <c r="L234" s="1">
        <v>6921</v>
      </c>
      <c r="M234" s="1">
        <v>6699</v>
      </c>
      <c r="N234" s="1">
        <v>76</v>
      </c>
      <c r="O234" s="1">
        <v>98</v>
      </c>
      <c r="P234" s="1">
        <v>91</v>
      </c>
      <c r="Q234" s="1">
        <v>98</v>
      </c>
      <c r="R234" s="1">
        <v>52</v>
      </c>
      <c r="S234" s="1">
        <v>98.5</v>
      </c>
      <c r="T234" s="4">
        <v>0</v>
      </c>
      <c r="U234" s="1">
        <v>1.5609999999999999</v>
      </c>
      <c r="V234" s="1">
        <v>6.7000000000000004E-2</v>
      </c>
      <c r="W234" s="1">
        <v>4.0199999999999996</v>
      </c>
      <c r="X234" s="1">
        <f t="shared" ref="X234" si="5586">H233</f>
        <v>2.5999999999999999E-2</v>
      </c>
      <c r="Y234" s="1">
        <f t="shared" ref="Y234" si="5587">H234</f>
        <v>7.0000000000000007E-2</v>
      </c>
      <c r="Z234" s="1">
        <f t="shared" ref="Z234" si="5588">H235</f>
        <v>2.5999999999999999E-2</v>
      </c>
      <c r="AA234" s="1">
        <f t="shared" ref="AA234" si="5589">H236</f>
        <v>2.4E-2</v>
      </c>
      <c r="AB234" s="1">
        <f t="shared" ref="AB234" si="5590">H237</f>
        <v>2.5999999999999999E-2</v>
      </c>
      <c r="AC234" s="1">
        <f t="shared" si="4641"/>
        <v>3843.7081391825391</v>
      </c>
      <c r="AE234" s="1" t="s">
        <v>97</v>
      </c>
      <c r="AF234" s="1">
        <v>0</v>
      </c>
      <c r="AG234" s="1">
        <v>0.12</v>
      </c>
      <c r="AH234" s="1">
        <v>0.21</v>
      </c>
      <c r="AI234" s="1">
        <v>0.26</v>
      </c>
      <c r="AJ234" s="1">
        <v>0.28000000000000003</v>
      </c>
      <c r="AK234" s="1">
        <v>0.26</v>
      </c>
      <c r="AL234" s="1">
        <v>0.21</v>
      </c>
      <c r="AM234" s="20">
        <v>0.12</v>
      </c>
      <c r="AN234" s="1">
        <v>0</v>
      </c>
      <c r="AO234" s="1">
        <v>0.12</v>
      </c>
      <c r="AP234" s="1">
        <v>0.21</v>
      </c>
      <c r="AQ234" s="1">
        <v>0.26</v>
      </c>
      <c r="AR234" s="1">
        <v>0.28000000000000003</v>
      </c>
      <c r="AS234" s="1">
        <v>0.26</v>
      </c>
      <c r="AT234" s="1">
        <v>0.21</v>
      </c>
      <c r="AU234" s="20">
        <v>0.12</v>
      </c>
      <c r="AV234" s="1">
        <v>0</v>
      </c>
      <c r="AW234" s="1">
        <v>0.12</v>
      </c>
      <c r="AX234" s="1">
        <v>0.21</v>
      </c>
      <c r="AY234" s="1">
        <v>0.26</v>
      </c>
      <c r="AZ234" s="1">
        <v>0.28000000000000003</v>
      </c>
      <c r="BA234" s="1">
        <v>0.26</v>
      </c>
      <c r="BB234" s="1">
        <v>0.21</v>
      </c>
      <c r="BC234" s="20">
        <v>0.12</v>
      </c>
      <c r="BD234" s="1">
        <v>0</v>
      </c>
      <c r="BE234" s="1">
        <v>0.12</v>
      </c>
      <c r="BF234" s="1">
        <v>0.21</v>
      </c>
      <c r="BG234" s="1">
        <v>0.26</v>
      </c>
      <c r="BH234" s="1">
        <v>0.28000000000000003</v>
      </c>
      <c r="BI234" s="1">
        <v>0.26</v>
      </c>
      <c r="BJ234" s="1">
        <v>0.21</v>
      </c>
      <c r="BK234" s="20">
        <v>0.12</v>
      </c>
      <c r="BL234" s="1">
        <v>0</v>
      </c>
      <c r="BM234" s="1">
        <v>0.12</v>
      </c>
      <c r="BN234" s="1">
        <v>0.21</v>
      </c>
      <c r="BO234" s="1">
        <v>0.26</v>
      </c>
      <c r="BP234" s="1">
        <v>0.28000000000000003</v>
      </c>
      <c r="BQ234" s="1">
        <v>0.26</v>
      </c>
      <c r="BR234" s="1">
        <v>0.21</v>
      </c>
      <c r="BS234" s="20">
        <v>0.12</v>
      </c>
      <c r="BT234" s="1">
        <v>0</v>
      </c>
      <c r="BU234" s="1">
        <v>0.12</v>
      </c>
      <c r="BV234" s="1">
        <v>0.21</v>
      </c>
      <c r="BW234" s="1">
        <v>0.26</v>
      </c>
      <c r="BX234" s="1">
        <v>0.28000000000000003</v>
      </c>
      <c r="BY234" s="1">
        <v>0.26</v>
      </c>
      <c r="BZ234" s="1">
        <v>0.21</v>
      </c>
      <c r="CA234" s="20">
        <v>0.12</v>
      </c>
      <c r="CB234" s="1">
        <v>0</v>
      </c>
      <c r="CC234" s="1">
        <v>0.12</v>
      </c>
      <c r="CD234" s="1">
        <v>0.21</v>
      </c>
      <c r="CE234" s="1">
        <v>0.26</v>
      </c>
      <c r="CF234" s="1">
        <v>0.28000000000000003</v>
      </c>
      <c r="CG234" s="1">
        <v>0.26</v>
      </c>
      <c r="CH234" s="1">
        <v>0.21</v>
      </c>
      <c r="CI234" s="20">
        <v>0.12</v>
      </c>
      <c r="CJ234" s="1">
        <v>0</v>
      </c>
      <c r="CK234" s="1">
        <v>0.12</v>
      </c>
      <c r="CL234" s="1">
        <v>0.21</v>
      </c>
      <c r="CM234" s="1">
        <v>0.26</v>
      </c>
      <c r="CN234" s="1">
        <v>0.28000000000000003</v>
      </c>
      <c r="CO234" s="1">
        <v>0.26</v>
      </c>
      <c r="CP234" s="1">
        <v>0.21</v>
      </c>
      <c r="CQ234" s="20">
        <v>0.12</v>
      </c>
    </row>
    <row r="235" spans="3:160" x14ac:dyDescent="0.4">
      <c r="C235" s="1" t="s">
        <v>48</v>
      </c>
      <c r="D235" s="1" t="s">
        <v>8</v>
      </c>
      <c r="E235" s="1">
        <v>0.20399999999999999</v>
      </c>
      <c r="F235" s="1">
        <v>9.6000000000000002E-2</v>
      </c>
      <c r="G235" s="1">
        <v>0.108</v>
      </c>
      <c r="H235" s="1">
        <v>2.5999999999999999E-2</v>
      </c>
      <c r="I235" s="1">
        <v>5921</v>
      </c>
      <c r="J235" s="1">
        <v>4677</v>
      </c>
      <c r="K235" s="1">
        <v>72</v>
      </c>
      <c r="L235" s="1">
        <v>6921</v>
      </c>
      <c r="M235" s="1">
        <v>6699</v>
      </c>
      <c r="N235" s="1">
        <v>76</v>
      </c>
      <c r="O235" s="1">
        <v>98</v>
      </c>
      <c r="P235" s="1">
        <v>91</v>
      </c>
      <c r="Q235" s="1">
        <v>98</v>
      </c>
      <c r="R235" s="1">
        <v>52</v>
      </c>
      <c r="S235" s="1">
        <v>98.5</v>
      </c>
      <c r="T235" s="4">
        <v>0</v>
      </c>
      <c r="U235" s="1">
        <v>1.5609999999999999</v>
      </c>
      <c r="V235" s="1">
        <v>6.7000000000000004E-2</v>
      </c>
      <c r="W235" s="1">
        <v>4.0199999999999996</v>
      </c>
      <c r="X235" s="1">
        <f t="shared" ref="X235" si="5591">H233</f>
        <v>2.5999999999999999E-2</v>
      </c>
      <c r="Y235" s="1">
        <f t="shared" ref="Y235" si="5592">H234</f>
        <v>7.0000000000000007E-2</v>
      </c>
      <c r="Z235" s="1">
        <f t="shared" ref="Z235" si="5593">H235</f>
        <v>2.5999999999999999E-2</v>
      </c>
      <c r="AA235" s="1">
        <f t="shared" ref="AA235" si="5594">H236</f>
        <v>2.4E-2</v>
      </c>
      <c r="AB235" s="1">
        <f t="shared" ref="AB235" si="5595">H237</f>
        <v>2.5999999999999999E-2</v>
      </c>
      <c r="AC235" s="1">
        <f t="shared" si="4641"/>
        <v>3843.7081391825391</v>
      </c>
      <c r="CQ235" s="20"/>
    </row>
    <row r="236" spans="3:160" x14ac:dyDescent="0.4">
      <c r="C236" s="1" t="s">
        <v>48</v>
      </c>
      <c r="D236" s="1" t="s">
        <v>9</v>
      </c>
      <c r="E236" s="1">
        <v>0.20200000000000001</v>
      </c>
      <c r="F236" s="1">
        <v>9.5000000000000001E-2</v>
      </c>
      <c r="G236" s="1">
        <v>0.108</v>
      </c>
      <c r="H236" s="1">
        <v>2.4E-2</v>
      </c>
      <c r="I236" s="1">
        <v>5921</v>
      </c>
      <c r="J236" s="1">
        <v>4677</v>
      </c>
      <c r="K236" s="1">
        <v>72</v>
      </c>
      <c r="L236" s="1">
        <v>6921</v>
      </c>
      <c r="M236" s="1">
        <v>6699</v>
      </c>
      <c r="N236" s="1">
        <v>76</v>
      </c>
      <c r="O236" s="1">
        <v>98</v>
      </c>
      <c r="P236" s="1">
        <v>91</v>
      </c>
      <c r="Q236" s="1">
        <v>98</v>
      </c>
      <c r="R236" s="1">
        <v>52</v>
      </c>
      <c r="S236" s="1">
        <v>98.5</v>
      </c>
      <c r="T236" s="4">
        <v>0</v>
      </c>
      <c r="U236" s="1">
        <v>1.5609999999999999</v>
      </c>
      <c r="V236" s="1">
        <v>6.7000000000000004E-2</v>
      </c>
      <c r="W236" s="1">
        <v>4.0199999999999996</v>
      </c>
      <c r="X236" s="1">
        <f t="shared" ref="X236" si="5596">H233</f>
        <v>2.5999999999999999E-2</v>
      </c>
      <c r="Y236" s="1">
        <f t="shared" ref="Y236" si="5597">H234</f>
        <v>7.0000000000000007E-2</v>
      </c>
      <c r="Z236" s="1">
        <f t="shared" ref="Z236" si="5598">H235</f>
        <v>2.5999999999999999E-2</v>
      </c>
      <c r="AA236" s="1">
        <f t="shared" ref="AA236" si="5599">H236</f>
        <v>2.4E-2</v>
      </c>
      <c r="AB236" s="1">
        <f t="shared" ref="AB236" si="5600">H237</f>
        <v>2.5999999999999999E-2</v>
      </c>
      <c r="AC236" s="1">
        <f t="shared" si="4641"/>
        <v>3843.7081391825391</v>
      </c>
      <c r="AE236" s="1" t="s">
        <v>98</v>
      </c>
      <c r="AF236" s="1">
        <v>0</v>
      </c>
      <c r="AG236" s="1">
        <v>6.5000000000000002E-2</v>
      </c>
      <c r="AH236" s="1">
        <v>0.14499999999999999</v>
      </c>
      <c r="AI236" s="1">
        <v>0.245</v>
      </c>
      <c r="AJ236" s="1">
        <v>0.36</v>
      </c>
      <c r="AK236" s="1">
        <v>0.39500000000000002</v>
      </c>
      <c r="AL236" s="1">
        <v>0.64500000000000002</v>
      </c>
      <c r="AM236" s="20">
        <v>0.81499999999999995</v>
      </c>
      <c r="AN236" s="1">
        <v>0</v>
      </c>
      <c r="AO236" s="1">
        <v>6.5000000000000002E-2</v>
      </c>
      <c r="AP236" s="1">
        <v>0.14499999999999999</v>
      </c>
      <c r="AQ236" s="1">
        <v>0.245</v>
      </c>
      <c r="AR236" s="1">
        <v>0.36</v>
      </c>
      <c r="AS236" s="1">
        <v>0.39500000000000002</v>
      </c>
      <c r="AT236" s="1">
        <v>0.64500000000000002</v>
      </c>
      <c r="AU236" s="20">
        <v>0.81499999999999995</v>
      </c>
      <c r="AV236" s="1">
        <v>0</v>
      </c>
      <c r="AW236" s="1">
        <v>6.5000000000000002E-2</v>
      </c>
      <c r="AX236" s="1">
        <v>0.14499999999999999</v>
      </c>
      <c r="AY236" s="1">
        <v>0.245</v>
      </c>
      <c r="AZ236" s="1">
        <v>0.36</v>
      </c>
      <c r="BA236" s="1">
        <v>0.39500000000000002</v>
      </c>
      <c r="BB236" s="1">
        <v>0.64500000000000002</v>
      </c>
      <c r="BC236" s="20">
        <v>0.81499999999999995</v>
      </c>
      <c r="BD236" s="1">
        <v>0</v>
      </c>
      <c r="BE236" s="1">
        <v>6.5000000000000002E-2</v>
      </c>
      <c r="BF236" s="1">
        <v>0.14499999999999999</v>
      </c>
      <c r="BG236" s="1">
        <v>0.245</v>
      </c>
      <c r="BH236" s="1">
        <v>0.36</v>
      </c>
      <c r="BI236" s="1">
        <v>0.39500000000000002</v>
      </c>
      <c r="BJ236" s="1">
        <v>0.64500000000000002</v>
      </c>
      <c r="BK236" s="20">
        <v>0.81499999999999995</v>
      </c>
      <c r="BL236" s="1">
        <v>0</v>
      </c>
      <c r="BM236" s="1">
        <v>6.5000000000000002E-2</v>
      </c>
      <c r="BN236" s="1">
        <v>0.14499999999999999</v>
      </c>
      <c r="BO236" s="1">
        <v>0.245</v>
      </c>
      <c r="BP236" s="1">
        <v>0.36</v>
      </c>
      <c r="BQ236" s="1">
        <v>0.39500000000000002</v>
      </c>
      <c r="BR236" s="1">
        <v>0.64500000000000002</v>
      </c>
      <c r="BS236" s="20">
        <v>0.81499999999999995</v>
      </c>
      <c r="BT236" s="1">
        <v>0</v>
      </c>
      <c r="BU236" s="1">
        <v>6.5000000000000002E-2</v>
      </c>
      <c r="BV236" s="1">
        <v>0.14499999999999999</v>
      </c>
      <c r="BW236" s="1">
        <v>0.245</v>
      </c>
      <c r="BX236" s="1">
        <v>0.36</v>
      </c>
      <c r="BY236" s="1">
        <v>0.39500000000000002</v>
      </c>
      <c r="BZ236" s="1">
        <v>0.64500000000000002</v>
      </c>
      <c r="CA236" s="20">
        <v>0.81499999999999995</v>
      </c>
      <c r="CB236" s="1">
        <v>0</v>
      </c>
      <c r="CC236" s="1">
        <v>6.5000000000000002E-2</v>
      </c>
      <c r="CD236" s="1">
        <v>0.14499999999999999</v>
      </c>
      <c r="CE236" s="1">
        <v>0.245</v>
      </c>
      <c r="CF236" s="1">
        <v>0.36</v>
      </c>
      <c r="CG236" s="1">
        <v>0.39500000000000002</v>
      </c>
      <c r="CH236" s="1">
        <v>0.64500000000000002</v>
      </c>
      <c r="CI236" s="20">
        <v>0.81499999999999995</v>
      </c>
      <c r="CJ236" s="1">
        <v>0</v>
      </c>
      <c r="CK236" s="1">
        <v>6.5000000000000002E-2</v>
      </c>
      <c r="CL236" s="1">
        <v>0.14499999999999999</v>
      </c>
      <c r="CM236" s="1">
        <v>0.245</v>
      </c>
      <c r="CN236" s="1">
        <v>0.36</v>
      </c>
      <c r="CO236" s="1">
        <v>0.39500000000000002</v>
      </c>
      <c r="CP236" s="1">
        <v>0.64500000000000002</v>
      </c>
      <c r="CQ236" s="20">
        <v>0.81499999999999995</v>
      </c>
    </row>
    <row r="237" spans="3:160" s="2" customFormat="1" x14ac:dyDescent="0.4">
      <c r="C237" s="2" t="s">
        <v>48</v>
      </c>
      <c r="D237" s="2" t="s">
        <v>10</v>
      </c>
      <c r="E237" s="2">
        <v>0.20399999999999999</v>
      </c>
      <c r="F237" s="2">
        <v>9.6000000000000002E-2</v>
      </c>
      <c r="G237" s="2">
        <v>0.108</v>
      </c>
      <c r="H237" s="2">
        <v>2.5999999999999999E-2</v>
      </c>
      <c r="I237" s="2">
        <v>5921</v>
      </c>
      <c r="J237" s="2">
        <v>4677</v>
      </c>
      <c r="K237" s="2">
        <v>72</v>
      </c>
      <c r="L237" s="2">
        <v>6921</v>
      </c>
      <c r="M237" s="2">
        <v>6699</v>
      </c>
      <c r="N237" s="2">
        <v>76</v>
      </c>
      <c r="O237" s="2">
        <v>98</v>
      </c>
      <c r="P237" s="2">
        <v>91</v>
      </c>
      <c r="Q237" s="2">
        <v>98</v>
      </c>
      <c r="R237" s="2">
        <v>52</v>
      </c>
      <c r="S237" s="2">
        <v>98.5</v>
      </c>
      <c r="T237" s="6">
        <f t="shared" si="4340"/>
        <v>5570.9998180540533</v>
      </c>
      <c r="U237" s="2">
        <v>1.5609999999999999</v>
      </c>
      <c r="V237" s="2">
        <v>6.7000000000000004E-2</v>
      </c>
      <c r="W237" s="2">
        <v>4.0199999999999996</v>
      </c>
      <c r="X237" s="2">
        <f t="shared" ref="X237" si="5601">H233</f>
        <v>2.5999999999999999E-2</v>
      </c>
      <c r="Y237" s="2">
        <f t="shared" ref="Y237" si="5602">H234</f>
        <v>7.0000000000000007E-2</v>
      </c>
      <c r="Z237" s="2">
        <f t="shared" ref="Z237" si="5603">H235</f>
        <v>2.5999999999999999E-2</v>
      </c>
      <c r="AA237" s="2">
        <f t="shared" ref="AA237" si="5604">H236</f>
        <v>2.4E-2</v>
      </c>
      <c r="AB237" s="2">
        <f t="shared" ref="AB237" si="5605">H237</f>
        <v>2.5999999999999999E-2</v>
      </c>
      <c r="AC237" s="1">
        <f t="shared" si="4641"/>
        <v>3843.7081391825391</v>
      </c>
      <c r="AE237" s="2" t="s">
        <v>99</v>
      </c>
      <c r="AF237" s="23">
        <f>($O237*$Q237*$S237)^(1/3)/(AF232*((1-AF$2)*$H232+AF$2*$H233) + AF234*((1-AF$2)*$H234+AF$2*$H235) + AF236*((1-AF$2)*$H236+AF$2*$H237))</f>
        <v>1402.3769145807494</v>
      </c>
      <c r="AG237" s="23">
        <f t="shared" ref="AG237" si="5606">($O237*$Q237*$S237)^(1/3)/(AG232*((1-AG$2)*$H232+AG$2*$H233) + AG234*((1-AG$2)*$H234+AG$2*$H235) + AG236*((1-AG$2)*$H236+AG$2*$H237))</f>
        <v>1464.9512613140193</v>
      </c>
      <c r="AH237" s="23">
        <f t="shared" ref="AH237" si="5607">($O237*$Q237*$S237)^(1/3)/(AH232*((1-AH$2)*$H232+AH$2*$H233) + AH234*((1-AH$2)*$H234+AH$2*$H235) + AH236*((1-AH$2)*$H236+AH$2*$H237))</f>
        <v>1550.0771201745217</v>
      </c>
      <c r="AI237" s="23">
        <f t="shared" ref="AI237" si="5608">($O237*$Q237*$S237)^(1/3)/(AI232*((1-AI$2)*$H232+AI$2*$H233) + AI234*((1-AI$2)*$H234+AI$2*$H235) + AI236*((1-AI$2)*$H236+AI$2*$H237))</f>
        <v>1897.6683553190114</v>
      </c>
      <c r="AJ237" s="23">
        <f t="shared" ref="AJ237" si="5609">($O237*$Q237*$S237)^(1/3)/(AJ232*((1-AJ$2)*$H232+AJ$2*$H233) + AJ234*((1-AJ$2)*$H234+AJ$2*$H235) + AJ236*((1-AJ$2)*$H236+AJ$2*$H237))</f>
        <v>1836.9458087696939</v>
      </c>
      <c r="AK237" s="23">
        <f t="shared" ref="AK237" si="5610">($O237*$Q237*$S237)^(1/3)/(AK232*((1-AK$2)*$H232+AK$2*$H233) + AK234*((1-AK$2)*$H234+AK$2*$H235) + AK236*((1-AK$2)*$H236+AK$2*$H237))</f>
        <v>2189.7475802063896</v>
      </c>
      <c r="AL237" s="23">
        <f t="shared" ref="AL237" si="5611">($O237*$Q237*$S237)^(1/3)/(AL232*((1-AL$2)*$H232+AL$2*$H233) + AL234*((1-AL$2)*$H234+AL$2*$H235) + AL236*((1-AL$2)*$H236+AL$2*$H237))</f>
        <v>2434.078453276778</v>
      </c>
      <c r="AM237" s="23">
        <f t="shared" ref="AM237" si="5612">($O237*$Q237*$S237)^(1/3)/(AM232*((1-AM$2)*$H232+AM$2*$H233) + AM234*((1-AM$2)*$H234+AM$2*$H235) + AM236*((1-AM$2)*$H236+AM$2*$H237))</f>
        <v>3019.5750237050897</v>
      </c>
      <c r="AN237" s="23">
        <f t="shared" ref="AN237" si="5613">($O237*$Q237*$S237)^(1/3)/(AN232*((1-AN$2)*$H232+AN$2*$H233) + AN234*((1-AN$2)*$H234+AN$2*$H235) + AN236*((1-AN$2)*$H236+AN$2*$H237))</f>
        <v>1521.9594421806582</v>
      </c>
      <c r="AO237" s="23">
        <f t="shared" ref="AO237" si="5614">($O237*$Q237*$S237)^(1/3)/(AO232*((1-AO$2)*$H232+AO$2*$H233) + AO234*((1-AO$2)*$H234+AO$2*$H235) + AO236*((1-AO$2)*$H236+AO$2*$H237))</f>
        <v>1586.3030928257008</v>
      </c>
      <c r="AP237" s="23">
        <f t="shared" ref="AP237" si="5615">($O237*$Q237*$S237)^(1/3)/(AP232*((1-AP$2)*$H232+AP$2*$H233) + AP234*((1-AP$2)*$H234+AP$2*$H235) + AP236*((1-AP$2)*$H236+AP$2*$H237))</f>
        <v>1673.3738300168752</v>
      </c>
      <c r="AQ237" s="23">
        <f t="shared" ref="AQ237" si="5616">($O237*$Q237*$S237)^(1/3)/(AQ232*((1-AQ$2)*$H232+AQ$2*$H233) + AQ234*((1-AQ$2)*$H234+AQ$2*$H235) + AQ236*((1-AQ$2)*$H236+AQ$2*$H237))</f>
        <v>2037.1224408321953</v>
      </c>
      <c r="AR237" s="23">
        <f t="shared" ref="AR237" si="5617">($O237*$Q237*$S237)^(1/3)/(AR232*((1-AR$2)*$H232+AR$2*$H233) + AR234*((1-AR$2)*$H234+AR$2*$H235) + AR236*((1-AR$2)*$H236+AR$2*$H237))</f>
        <v>1962.9350933943701</v>
      </c>
      <c r="AS237" s="23">
        <f t="shared" ref="AS237" si="5618">($O237*$Q237*$S237)^(1/3)/(AS232*((1-AS$2)*$H232+AS$2*$H233) + AS234*((1-AS$2)*$H234+AS$2*$H235) + AS236*((1-AS$2)*$H236+AS$2*$H237))</f>
        <v>2328.90801626648</v>
      </c>
      <c r="AT237" s="23">
        <f t="shared" ref="AT237" si="5619">($O237*$Q237*$S237)^(1/3)/(AT232*((1-AT$2)*$H232+AT$2*$H233) + AT234*((1-AT$2)*$H234+AT$2*$H235) + AT236*((1-AT$2)*$H236+AT$2*$H237))</f>
        <v>2547.2124555324822</v>
      </c>
      <c r="AU237" s="23">
        <f t="shared" ref="AU237" si="5620">($O237*$Q237*$S237)^(1/3)/(AU232*((1-AU$2)*$H232+AU$2*$H233) + AU234*((1-AU$2)*$H234+AU$2*$H235) + AU236*((1-AU$2)*$H236+AU$2*$H237))</f>
        <v>3097.0977330331648</v>
      </c>
      <c r="AV237" s="23">
        <f t="shared" ref="AV237" si="5621">($O237*$Q237*$S237)^(1/3)/(AV232*((1-AV$2)*$H232+AV$2*$H233) + AV234*((1-AV$2)*$H234+AV$2*$H235) + AV236*((1-AV$2)*$H236+AV$2*$H237))</f>
        <v>1663.837017299194</v>
      </c>
      <c r="AW237" s="23">
        <f t="shared" ref="AW237" si="5622">($O237*$Q237*$S237)^(1/3)/(AW232*((1-AW$2)*$H232+AW$2*$H233) + AW234*((1-AW$2)*$H234+AW$2*$H235) + AW236*((1-AW$2)*$H236+AW$2*$H237))</f>
        <v>1729.5755454460195</v>
      </c>
      <c r="AX237" s="23">
        <f t="shared" ref="AX237" si="5623">($O237*$Q237*$S237)^(1/3)/(AX232*((1-AX$2)*$H232+AX$2*$H233) + AX234*((1-AX$2)*$H234+AX$2*$H235) + AX236*((1-AX$2)*$H236+AX$2*$H237))</f>
        <v>1817.9801661308848</v>
      </c>
      <c r="AY237" s="23">
        <f t="shared" ref="AY237" si="5624">($O237*$Q237*$S237)^(1/3)/(AY232*((1-AY$2)*$H232+AY$2*$H233) + AY234*((1-AY$2)*$H234+AY$2*$H235) + AY236*((1-AY$2)*$H236+AY$2*$H237))</f>
        <v>2198.6983374355214</v>
      </c>
      <c r="AZ237" s="23">
        <f t="shared" ref="AZ237" si="5625">($O237*$Q237*$S237)^(1/3)/(AZ232*((1-AZ$2)*$H232+AZ$2*$H233) + AZ234*((1-AZ$2)*$H234+AZ$2*$H235) + AZ236*((1-AZ$2)*$H236+AZ$2*$H237))</f>
        <v>2107.4792619289919</v>
      </c>
      <c r="BA237" s="23">
        <f t="shared" ref="BA237" si="5626">($O237*$Q237*$S237)^(1/3)/(BA232*((1-BA$2)*$H232+BA$2*$H233) + BA234*((1-BA$2)*$H234+BA$2*$H235) + BA236*((1-BA$2)*$H236+BA$2*$H237))</f>
        <v>2486.9563372133121</v>
      </c>
      <c r="BB237" s="23">
        <f t="shared" ref="BB237" si="5627">($O237*$Q237*$S237)^(1/3)/(BB232*((1-BB$2)*$H232+BB$2*$H233) + BB234*((1-BB$2)*$H234+BB$2*$H235) + BB236*((1-BB$2)*$H236+BB$2*$H237))</f>
        <v>2671.3758492592001</v>
      </c>
      <c r="BC237" s="23">
        <f t="shared" ref="BC237" si="5628">($O237*$Q237*$S237)^(1/3)/(BC232*((1-BC$2)*$H232+BC$2*$H233) + BC234*((1-BC$2)*$H234+BC$2*$H235) + BC236*((1-BC$2)*$H236+BC$2*$H237))</f>
        <v>3178.7058696884142</v>
      </c>
      <c r="BD237" s="23">
        <f t="shared" ref="BD237" si="5629">($O237*$Q237*$S237)^(1/3)/(BD232*((1-BD$2)*$H232+BD$2*$H233) + BD234*((1-BD$2)*$H234+BD$2*$H235) + BD236*((1-BD$2)*$H236+BD$2*$H237))</f>
        <v>1834.8856826290178</v>
      </c>
      <c r="BE237" s="23">
        <f t="shared" ref="BE237" si="5630">($O237*$Q237*$S237)^(1/3)/(BE232*((1-BE$2)*$H232+BE$2*$H233) + BE234*((1-BE$2)*$H234+BE$2*$H235) + BE236*((1-BE$2)*$H236+BE$2*$H237))</f>
        <v>1901.2978384341354</v>
      </c>
      <c r="BF237" s="23">
        <f t="shared" ref="BF237" si="5631">($O237*$Q237*$S237)^(1/3)/(BF232*((1-BF$2)*$H232+BF$2*$H233) + BF234*((1-BF$2)*$H234+BF$2*$H235) + BF236*((1-BF$2)*$H236+BF$2*$H237))</f>
        <v>1989.9431703160258</v>
      </c>
      <c r="BG237" s="23">
        <f t="shared" ref="BG237" si="5632">($O237*$Q237*$S237)^(1/3)/(BG232*((1-BG$2)*$H232+BG$2*$H233) + BG234*((1-BG$2)*$H234+BG$2*$H235) + BG236*((1-BG$2)*$H236+BG$2*$H237))</f>
        <v>2388.1133409311833</v>
      </c>
      <c r="BH237" s="23">
        <f t="shared" ref="BH237" si="5633">($O237*$Q237*$S237)^(1/3)/(BH232*((1-BH$2)*$H232+BH$2*$H233) + BH234*((1-BH$2)*$H234+BH$2*$H235) + BH236*((1-BH$2)*$H236+BH$2*$H237))</f>
        <v>2275.0031059247381</v>
      </c>
      <c r="BI237" s="23">
        <f t="shared" ref="BI237" si="5634">($O237*$Q237*$S237)^(1/3)/(BI232*((1-BI$2)*$H232+BI$2*$H233) + BI234*((1-BI$2)*$H234+BI$2*$H235) + BI236*((1-BI$2)*$H236+BI$2*$H237))</f>
        <v>2668.0179112118894</v>
      </c>
      <c r="BJ237" s="23">
        <f t="shared" ref="BJ237" si="5635">($O237*$Q237*$S237)^(1/3)/(BJ232*((1-BJ$2)*$H232+BJ$2*$H233) + BJ234*((1-BJ$2)*$H234+BJ$2*$H235) + BJ236*((1-BJ$2)*$H236+BJ$2*$H237))</f>
        <v>2808.2641593606991</v>
      </c>
      <c r="BK237" s="23">
        <f t="shared" ref="BK237" si="5636">($O237*$Q237*$S237)^(1/3)/(BK232*((1-BK$2)*$H232+BK$2*$H233) + BK234*((1-BK$2)*$H234+BK$2*$H235) + BK236*((1-BK$2)*$H236+BK$2*$H237))</f>
        <v>3264.731125193181</v>
      </c>
      <c r="BL237" s="23">
        <f t="shared" ref="BL237" si="5637">($O237*$Q237*$S237)^(1/3)/(BL232*((1-BL$2)*$H232+BL$2*$H233) + BL234*((1-BL$2)*$H234+BL$2*$H235) + BL236*((1-BL$2)*$H236+BL$2*$H237))</f>
        <v>2045.1330004302595</v>
      </c>
      <c r="BM237" s="23">
        <f t="shared" ref="BM237" si="5638">($O237*$Q237*$S237)^(1/3)/(BM232*((1-BM$2)*$H232+BM$2*$H233) + BM234*((1-BM$2)*$H234+BM$2*$H235) + BM236*((1-BM$2)*$H236+BM$2*$H237))</f>
        <v>2110.8780565670886</v>
      </c>
      <c r="BN237" s="23">
        <f t="shared" ref="BN237" si="5639">($O237*$Q237*$S237)^(1/3)/(BN232*((1-BN$2)*$H232+BN$2*$H233) + BN234*((1-BN$2)*$H234+BN$2*$H235) + BN236*((1-BN$2)*$H236+BN$2*$H237))</f>
        <v>2197.8368749726287</v>
      </c>
      <c r="BO237" s="23">
        <f t="shared" ref="BO237" si="5640">($O237*$Q237*$S237)^(1/3)/(BO232*((1-BO$2)*$H232+BO$2*$H233) + BO234*((1-BO$2)*$H234+BO$2*$H235) + BO236*((1-BO$2)*$H236+BO$2*$H237))</f>
        <v>2613.2406234700507</v>
      </c>
      <c r="BP237" s="23">
        <f t="shared" ref="BP237" si="5641">($O237*$Q237*$S237)^(1/3)/(BP232*((1-BP$2)*$H232+BP$2*$H233) + BP234*((1-BP$2)*$H234+BP$2*$H235) + BP236*((1-BP$2)*$H236+BP$2*$H237))</f>
        <v>2471.4598192510684</v>
      </c>
      <c r="BQ237" s="23">
        <f t="shared" ref="BQ237" si="5642">($O237*$Q237*$S237)^(1/3)/(BQ232*((1-BQ$2)*$H232+BQ$2*$H233) + BQ234*((1-BQ$2)*$H234+BQ$2*$H235) + BQ236*((1-BQ$2)*$H236+BQ$2*$H237))</f>
        <v>2877.5138215052743</v>
      </c>
      <c r="BR237" s="23">
        <f t="shared" ref="BR237" si="5643">($O237*$Q237*$S237)^(1/3)/(BR232*((1-BR$2)*$H232+BR$2*$H233) + BR234*((1-BR$2)*$H234+BR$2*$H235) + BR236*((1-BR$2)*$H236+BR$2*$H237))</f>
        <v>2959.9392136484985</v>
      </c>
      <c r="BS237" s="23">
        <f t="shared" ref="BS237" si="5644">($O237*$Q237*$S237)^(1/3)/(BS232*((1-BS$2)*$H232+BS$2*$H233) + BS234*((1-BS$2)*$H234+BS$2*$H235) + BS236*((1-BS$2)*$H236+BS$2*$H237))</f>
        <v>3355.5420960742595</v>
      </c>
      <c r="BT237" s="23">
        <f t="shared" ref="BT237" si="5645">($O237*$Q237*$S237)^(1/3)/(BT232*((1-BT$2)*$H232+BT$2*$H233) + BT234*((1-BT$2)*$H234+BT$2*$H235) + BT236*((1-BT$2)*$H236+BT$2*$H237))</f>
        <v>2309.7972710741751</v>
      </c>
      <c r="BU237" s="23">
        <f t="shared" ref="BU237" si="5646">($O237*$Q237*$S237)^(1/3)/(BU232*((1-BU$2)*$H232+BU$2*$H233) + BU234*((1-BU$2)*$H234+BU$2*$H235) + BU236*((1-BU$2)*$H236+BU$2*$H237))</f>
        <v>2372.3864065650232</v>
      </c>
      <c r="BV237" s="23">
        <f t="shared" ref="BV237" si="5647">($O237*$Q237*$S237)^(1/3)/(BV232*((1-BV$2)*$H232+BV$2*$H233) + BV234*((1-BV$2)*$H234+BV$2*$H235) + BV236*((1-BV$2)*$H236+BV$2*$H237))</f>
        <v>2454.2362954005425</v>
      </c>
      <c r="BW237" s="23">
        <f t="shared" ref="BW237" si="5648">($O237*$Q237*$S237)^(1/3)/(BW232*((1-BW$2)*$H232+BW$2*$H233) + BW234*((1-BW$2)*$H234+BW$2*$H235) + BW236*((1-BW$2)*$H236+BW$2*$H237))</f>
        <v>2885.2311700107266</v>
      </c>
      <c r="BX237" s="23">
        <f t="shared" ref="BX237" si="5649">($O237*$Q237*$S237)^(1/3)/(BX232*((1-BX$2)*$H232+BX$2*$H233) + BX234*((1-BX$2)*$H234+BX$2*$H235) + BX236*((1-BX$2)*$H236+BX$2*$H237))</f>
        <v>2705.053293487254</v>
      </c>
      <c r="BY237" s="23">
        <f t="shared" ref="BY237" si="5650">($O237*$Q237*$S237)^(1/3)/(BY232*((1-BY$2)*$H232+BY$2*$H233) + BY234*((1-BY$2)*$H234+BY$2*$H235) + BY236*((1-BY$2)*$H236+BY$2*$H237))</f>
        <v>3122.7129196597061</v>
      </c>
      <c r="BZ237" s="23">
        <f t="shared" ref="BZ237" si="5651">($O237*$Q237*$S237)^(1/3)/(BZ232*((1-BZ$2)*$H232+BZ$2*$H233) + BZ234*((1-BZ$2)*$H234+BZ$2*$H235) + BZ236*((1-BZ$2)*$H236+BZ$2*$H237))</f>
        <v>3128.933711164666</v>
      </c>
      <c r="CA237" s="23">
        <f t="shared" ref="CA237" si="5652">($O237*$Q237*$S237)^(1/3)/(CA232*((1-CA$2)*$H232+CA$2*$H233) + CA234*((1-CA$2)*$H234+CA$2*$H235) + CA236*((1-CA$2)*$H236+CA$2*$H237))</f>
        <v>3451.5495634211734</v>
      </c>
      <c r="CB237" s="23">
        <f t="shared" ref="CB237" si="5653">($O237*$Q237*$S237)^(1/3)/(CB232*((1-CB$2)*$H232+CB$2*$H233) + CB234*((1-CB$2)*$H234+CB$2*$H235) + CB236*((1-CB$2)*$H236+CB$2*$H237))</f>
        <v>2653.1455140716876</v>
      </c>
      <c r="CC237" s="23">
        <f t="shared" ref="CC237" si="5654">($O237*$Q237*$S237)^(1/3)/(CC232*((1-CC$2)*$H232+CC$2*$H233) + CC234*((1-CC$2)*$H234+CC$2*$H235) + CC236*((1-CC$2)*$H236+CC$2*$H237))</f>
        <v>2707.8514315054813</v>
      </c>
      <c r="CD237" s="23">
        <f t="shared" ref="CD237" si="5655">($O237*$Q237*$S237)^(1/3)/(CD232*((1-CD$2)*$H232+CD$2*$H233) + CD234*((1-CD$2)*$H234+CD$2*$H235) + CD236*((1-CD$2)*$H236+CD$2*$H237))</f>
        <v>2778.3594147216431</v>
      </c>
      <c r="CE237" s="23">
        <f t="shared" ref="CE237" si="5656">($O237*$Q237*$S237)^(1/3)/(CE232*((1-CE$2)*$H232+CE$2*$H233) + CE234*((1-CE$2)*$H234+CE$2*$H235) + CE236*((1-CE$2)*$H236+CE$2*$H237))</f>
        <v>3220.4177485656505</v>
      </c>
      <c r="CF237" s="23">
        <f t="shared" ref="CF237" si="5657">($O237*$Q237*$S237)^(1/3)/(CF232*((1-CF$2)*$H232+CF$2*$H233) + CF234*((1-CF$2)*$H234+CF$2*$H235) + CF236*((1-CF$2)*$H236+CF$2*$H237))</f>
        <v>2987.4127821257589</v>
      </c>
      <c r="CG237" s="23">
        <f t="shared" ref="CG237" si="5658">($O237*$Q237*$S237)^(1/3)/(CG232*((1-CG$2)*$H232+CG$2*$H233) + CG234*((1-CG$2)*$H234+CG$2*$H235) + CG236*((1-CG$2)*$H236+CG$2*$H237))</f>
        <v>3413.5924200870186</v>
      </c>
      <c r="CH237" s="23">
        <f t="shared" ref="CH237" si="5659">($O237*$Q237*$S237)^(1/3)/(CH232*((1-CH$2)*$H232+CH$2*$H233) + CH234*((1-CH$2)*$H234+CH$2*$H235) + CH236*((1-CH$2)*$H236+CH$2*$H237))</f>
        <v>3318.3937808046126</v>
      </c>
      <c r="CI237" s="23">
        <f t="shared" ref="CI237" si="5660">($O237*$Q237*$S237)^(1/3)/(CI232*((1-CI$2)*$H232+CI$2*$H233) + CI234*((1-CI$2)*$H234+CI$2*$H235) + CI236*((1-CI$2)*$H236+CI$2*$H237))</f>
        <v>3553.2127054801363</v>
      </c>
      <c r="CJ237" s="23">
        <f t="shared" ref="CJ237" si="5661">($O237*$Q237*$S237)^(1/3)/(CJ232*((1-CJ$2)*$H232+CJ$2*$H233) + CJ234*((1-CJ$2)*$H234+CJ$2*$H235) + CJ236*((1-CJ$2)*$H236+CJ$2*$H237))</f>
        <v>3116.3931435127765</v>
      </c>
      <c r="CK237" s="23">
        <f t="shared" ref="CK237" si="5662">($O237*$Q237*$S237)^(1/3)/(CK232*((1-CK$2)*$H232+CK$2*$H233) + CK234*((1-CK$2)*$H234+CK$2*$H235) + CK236*((1-CK$2)*$H236+CK$2*$H237))</f>
        <v>3153.8133896840282</v>
      </c>
      <c r="CL237" s="23">
        <f t="shared" ref="CL237" si="5663">($O237*$Q237*$S237)^(1/3)/(CL232*((1-CL$2)*$H232+CL$2*$H233) + CL234*((1-CL$2)*$H234+CL$2*$H235) + CL236*((1-CL$2)*$H236+CL$2*$H237))</f>
        <v>3201.1212332989021</v>
      </c>
      <c r="CM237" s="23">
        <f t="shared" ref="CM237" si="5664">($O237*$Q237*$S237)^(1/3)/(CM232*((1-CM$2)*$H232+CM$2*$H233) + CM234*((1-CM$2)*$H234+CM$2*$H235) + CM236*((1-CM$2)*$H236+CM$2*$H237))</f>
        <v>3643.7204665949967</v>
      </c>
      <c r="CN237" s="23">
        <f t="shared" ref="CN237" si="5665">($O237*$Q237*$S237)^(1/3)/(CN232*((1-CN$2)*$H232+CN$2*$H233) + CN234*((1-CN$2)*$H234+CN$2*$H235) + CN236*((1-CN$2)*$H236+CN$2*$H237))</f>
        <v>3335.588991527437</v>
      </c>
      <c r="CO237" s="23">
        <f t="shared" ref="CO237" si="5666">($O237*$Q237*$S237)^(1/3)/(CO232*((1-CO$2)*$H232+CO$2*$H233) + CO234*((1-CO$2)*$H234+CO$2*$H235) + CO236*((1-CO$2)*$H236+CO$2*$H237))</f>
        <v>3764.2288844615809</v>
      </c>
      <c r="CP237" s="23">
        <f t="shared" ref="CP237" si="5667">($O237*$Q237*$S237)^(1/3)/(CP232*((1-CP$2)*$H232+CP$2*$H233) + CP234*((1-CP$2)*$H234+CP$2*$H235) + CP236*((1-CP$2)*$H236+CP$2*$H237))</f>
        <v>3532.2766705582681</v>
      </c>
      <c r="CQ237" s="23">
        <f t="shared" ref="CQ237" si="5668">($O237*$Q237*$S237)^(1/3)/(CQ232*((1-CQ$2)*$H232+CQ$2*$H233) + CQ234*((1-CQ$2)*$H234+CQ$2*$H235) + CQ236*((1-CQ$2)*$H236+CQ$2*$H237))</f>
        <v>3661.0464414955936</v>
      </c>
      <c r="CS237" s="2">
        <f t="shared" ref="CS237" si="5669">100*$AF237/AF237</f>
        <v>100</v>
      </c>
      <c r="CT237" s="2">
        <f t="shared" ref="CT237" si="5670">100*$AF237/AG237</f>
        <v>95.728571428571442</v>
      </c>
      <c r="CU237" s="2">
        <f t="shared" ref="CU237" si="5671">100*$AF237/AH237</f>
        <v>90.471428571428561</v>
      </c>
      <c r="CV237" s="2">
        <f t="shared" ref="CV237" si="5672">100*$AF237/AI237</f>
        <v>73.899999999999991</v>
      </c>
      <c r="CW237" s="2">
        <f t="shared" ref="CW237" si="5673">100*$AF237/AJ237</f>
        <v>76.342857142857142</v>
      </c>
      <c r="CX237" s="2">
        <f t="shared" ref="CX237" si="5674">100*$AF237/AK237</f>
        <v>64.042857142857144</v>
      </c>
      <c r="CY237" s="2">
        <f t="shared" ref="CY237" si="5675">100*$AF237/AL237</f>
        <v>57.614285714285714</v>
      </c>
      <c r="CZ237" s="2">
        <f t="shared" ref="CZ237" si="5676">100*$AF237/AM237</f>
        <v>46.442857142857136</v>
      </c>
      <c r="DA237" s="2">
        <f t="shared" ref="DA237" si="5677">100*$AF237/AN237</f>
        <v>92.142857142857139</v>
      </c>
      <c r="DB237" s="2">
        <f t="shared" ref="DB237" si="5678">100*$AF237/AO237</f>
        <v>88.405357142857127</v>
      </c>
      <c r="DC237" s="2">
        <f t="shared" ref="DC237" si="5679">100*$AF237/AP237</f>
        <v>83.805357142857133</v>
      </c>
      <c r="DD237" s="2">
        <f t="shared" ref="DD237" si="5680">100*$AF237/AQ237</f>
        <v>68.841071428571425</v>
      </c>
      <c r="DE237" s="2">
        <f t="shared" ref="DE237" si="5681">100*$AF237/AR237</f>
        <v>71.442857142857136</v>
      </c>
      <c r="DF237" s="2">
        <f t="shared" ref="DF237" si="5682">100*$AF237/AS237</f>
        <v>60.216071428571418</v>
      </c>
      <c r="DG237" s="2">
        <f t="shared" ref="DG237" si="5683">100*$AF237/AT237</f>
        <v>55.055357142857147</v>
      </c>
      <c r="DH237" s="2">
        <f t="shared" ref="DH237" si="5684">100*$AF237/AU237</f>
        <v>45.280357142857142</v>
      </c>
      <c r="DI237" s="2">
        <f t="shared" ref="DI237" si="5685">100*$AF237/AV237</f>
        <v>84.285714285714292</v>
      </c>
      <c r="DJ237" s="2">
        <f t="shared" ref="DJ237" si="5686">100*$AF237/AW237</f>
        <v>81.082142857142856</v>
      </c>
      <c r="DK237" s="2">
        <f t="shared" ref="DK237" si="5687">100*$AF237/AX237</f>
        <v>77.13928571428572</v>
      </c>
      <c r="DL237" s="2">
        <f t="shared" ref="DL237" si="5688">100*$AF237/AY237</f>
        <v>63.782142857142865</v>
      </c>
      <c r="DM237" s="2">
        <f t="shared" ref="DM237" si="5689">100*$AF237/AZ237</f>
        <v>66.542857142857144</v>
      </c>
      <c r="DN237" s="2">
        <f t="shared" ref="DN237" si="5690">100*$AF237/BA237</f>
        <v>56.389285714285705</v>
      </c>
      <c r="DO237" s="2">
        <f t="shared" ref="DO237" si="5691">100*$AF237/BB237</f>
        <v>52.496428571428567</v>
      </c>
      <c r="DP237" s="2">
        <f t="shared" ref="DP237" si="5692">100*$AF237/BC237</f>
        <v>44.11785714285714</v>
      </c>
      <c r="DQ237" s="2">
        <f t="shared" ref="DQ237" si="5693">100*$AF237/BD237</f>
        <v>76.428571428571431</v>
      </c>
      <c r="DR237" s="2">
        <f t="shared" ref="DR237" si="5694">100*$AF237/BE237</f>
        <v>73.758928571428569</v>
      </c>
      <c r="DS237" s="2">
        <f t="shared" ref="DS237" si="5695">100*$AF237/BF237</f>
        <v>70.473214285714292</v>
      </c>
      <c r="DT237" s="2">
        <f t="shared" ref="DT237" si="5696">100*$AF237/BG237</f>
        <v>58.723214285714285</v>
      </c>
      <c r="DU237" s="2">
        <f t="shared" ref="DU237" si="5697">100*$AF237/BH237</f>
        <v>61.642857142857146</v>
      </c>
      <c r="DV237" s="2">
        <f t="shared" ref="DV237" si="5698">100*$AF237/BI237</f>
        <v>52.562499999999993</v>
      </c>
      <c r="DW237" s="2">
        <f t="shared" ref="DW237" si="5699">100*$AF237/BJ237</f>
        <v>49.937500000000007</v>
      </c>
      <c r="DX237" s="2">
        <f t="shared" ref="DX237" si="5700">100*$AF237/BK237</f>
        <v>42.955357142857139</v>
      </c>
      <c r="DY237" s="2">
        <f t="shared" ref="DY237" si="5701">100*$AF237/BL237</f>
        <v>68.571428571428569</v>
      </c>
      <c r="DZ237" s="2">
        <f t="shared" ref="DZ237" si="5702">100*$AF237/BM237</f>
        <v>66.435714285714283</v>
      </c>
      <c r="EA237" s="2">
        <f t="shared" ref="EA237" si="5703">100*$AF237/BN237</f>
        <v>63.80714285714285</v>
      </c>
      <c r="EB237" s="2">
        <f t="shared" ref="EB237" si="5704">100*$AF237/BO237</f>
        <v>53.664285714285711</v>
      </c>
      <c r="EC237" s="2">
        <f t="shared" ref="EC237" si="5705">100*$AF237/BP237</f>
        <v>56.742857142857147</v>
      </c>
      <c r="ED237" s="2">
        <f t="shared" ref="ED237" si="5706">100*$AF237/BQ237</f>
        <v>48.735714285714295</v>
      </c>
      <c r="EE237" s="2">
        <f t="shared" ref="EE237" si="5707">100*$AF237/BR237</f>
        <v>47.378571428571426</v>
      </c>
      <c r="EF237" s="2">
        <f t="shared" ref="EF237" si="5708">100*$AF237/BS237</f>
        <v>41.792857142857137</v>
      </c>
      <c r="EG237" s="2">
        <f t="shared" ref="EG237" si="5709">100*$AF237/BT237</f>
        <v>60.714285714285722</v>
      </c>
      <c r="EH237" s="2">
        <f t="shared" ref="EH237" si="5710">100*$AF237/BU237</f>
        <v>59.112499999999997</v>
      </c>
      <c r="EI237" s="2">
        <f t="shared" ref="EI237" si="5711">100*$AF237/BV237</f>
        <v>57.141071428571429</v>
      </c>
      <c r="EJ237" s="2">
        <f t="shared" ref="EJ237" si="5712">100*$AF237/BW237</f>
        <v>48.605357142857137</v>
      </c>
      <c r="EK237" s="2">
        <f t="shared" ref="EK237" si="5713">100*$AF237/BX237</f>
        <v>51.842857142857142</v>
      </c>
      <c r="EL237" s="2">
        <f t="shared" ref="EL237" si="5714">100*$AF237/BY237</f>
        <v>44.908928571428575</v>
      </c>
      <c r="EM237" s="2">
        <f t="shared" ref="EM237" si="5715">100*$AF237/BZ237</f>
        <v>44.81964285714286</v>
      </c>
      <c r="EN237" s="2">
        <f t="shared" ref="EN237" si="5716">100*$AF237/CA237</f>
        <v>40.630357142857143</v>
      </c>
      <c r="EO237" s="2">
        <f t="shared" ref="EO237" si="5717">100*$AF237/CB237</f>
        <v>52.857142857142861</v>
      </c>
      <c r="EP237" s="2">
        <f t="shared" ref="EP237" si="5718">100*$AF237/CC237</f>
        <v>51.789285714285711</v>
      </c>
      <c r="EQ237" s="2">
        <f t="shared" ref="EQ237" si="5719">100*$AF237/CD237</f>
        <v>50.474999999999994</v>
      </c>
      <c r="ER237" s="2">
        <f t="shared" ref="ER237" si="5720">100*$AF237/CE237</f>
        <v>43.546428571428578</v>
      </c>
      <c r="ES237" s="2">
        <f t="shared" ref="ES237" si="5721">100*$AF237/CF237</f>
        <v>46.94285714285715</v>
      </c>
      <c r="ET237" s="2">
        <f t="shared" ref="ET237" si="5722">100*$AF237/CG237</f>
        <v>41.082142857142863</v>
      </c>
      <c r="EU237" s="2">
        <f t="shared" ref="EU237" si="5723">100*$AF237/CH237</f>
        <v>42.260714285714286</v>
      </c>
      <c r="EV237" s="2">
        <f t="shared" ref="EV237" si="5724">100*$AF237/CI237</f>
        <v>39.467857142857135</v>
      </c>
      <c r="EW237" s="2">
        <f t="shared" ref="EW237" si="5725">100*$AF237/CJ237</f>
        <v>44.999999999999993</v>
      </c>
      <c r="EX237" s="2">
        <f t="shared" ref="EX237" si="5726">100*$AF237/CK237</f>
        <v>44.466071428571418</v>
      </c>
      <c r="EY237" s="2">
        <f t="shared" ref="EY237" si="5727">100*$AF237/CL237</f>
        <v>43.808928571428567</v>
      </c>
      <c r="EZ237" s="2">
        <f t="shared" ref="EZ237" si="5728">100*$AF237/CM237</f>
        <v>38.487499999999997</v>
      </c>
      <c r="FA237" s="2">
        <f t="shared" ref="FA237" si="5729">100*$AF237/CN237</f>
        <v>42.042857142857137</v>
      </c>
      <c r="FB237" s="2">
        <f t="shared" ref="FB237" si="5730">100*$AF237/CO237</f>
        <v>37.255357142857143</v>
      </c>
      <c r="FC237" s="2">
        <f t="shared" ref="FC237" si="5731">100*$AF237/CP237</f>
        <v>39.701785714285705</v>
      </c>
      <c r="FD237" s="2">
        <f t="shared" ref="FD237" si="5732">100*$AF237/CQ237</f>
        <v>38.305357142857133</v>
      </c>
    </row>
    <row r="238" spans="3:160" x14ac:dyDescent="0.4">
      <c r="C238" s="1" t="s">
        <v>49</v>
      </c>
      <c r="D238" s="1" t="s">
        <v>5</v>
      </c>
      <c r="E238" s="1">
        <v>0.25900000000000001</v>
      </c>
      <c r="F238" s="1">
        <v>0.15</v>
      </c>
      <c r="G238" s="1">
        <v>0.109</v>
      </c>
      <c r="H238" s="1">
        <v>7.0999999999999994E-2</v>
      </c>
      <c r="I238" s="1">
        <v>5903</v>
      </c>
      <c r="J238" s="1">
        <v>4557</v>
      </c>
      <c r="K238" s="1">
        <v>72</v>
      </c>
      <c r="L238" s="1">
        <v>6925</v>
      </c>
      <c r="M238" s="1">
        <v>6579</v>
      </c>
      <c r="N238" s="1">
        <v>76</v>
      </c>
      <c r="O238" s="1">
        <v>98</v>
      </c>
      <c r="P238" s="1">
        <v>91</v>
      </c>
      <c r="Q238" s="1">
        <v>98</v>
      </c>
      <c r="R238" s="1">
        <v>52</v>
      </c>
      <c r="S238" s="1">
        <v>98.5</v>
      </c>
      <c r="T238" s="4">
        <v>0</v>
      </c>
      <c r="U238" s="1">
        <v>1.6160000000000001</v>
      </c>
      <c r="V238" s="1">
        <v>7.5999999999999998E-2</v>
      </c>
      <c r="W238" s="1">
        <v>4.0199999999999996</v>
      </c>
      <c r="X238" s="1">
        <f t="shared" ref="X238" si="5733">H239</f>
        <v>3.3000000000000002E-2</v>
      </c>
      <c r="Y238" s="1">
        <f t="shared" ref="Y238" si="5734">H240</f>
        <v>6.4000000000000001E-2</v>
      </c>
      <c r="Z238" s="1">
        <f t="shared" ref="Z238" si="5735">H241</f>
        <v>3.4000000000000002E-2</v>
      </c>
      <c r="AA238" s="1">
        <f t="shared" ref="AA238" si="5736">H242</f>
        <v>2.1999999999999999E-2</v>
      </c>
      <c r="AB238" s="1">
        <f t="shared" ref="AB238" si="5737">H243</f>
        <v>3.4000000000000002E-2</v>
      </c>
      <c r="AC238" s="1">
        <f t="shared" si="4641"/>
        <v>3855.483142024329</v>
      </c>
      <c r="AE238" s="1" t="s">
        <v>96</v>
      </c>
      <c r="AF238" s="1">
        <v>1</v>
      </c>
      <c r="AG238" s="1">
        <v>0.81499999999999995</v>
      </c>
      <c r="AH238" s="1">
        <v>0.64500000000000002</v>
      </c>
      <c r="AI238" s="1">
        <v>0.39500000000000002</v>
      </c>
      <c r="AJ238" s="1">
        <v>0.36</v>
      </c>
      <c r="AK238" s="1">
        <v>0.245</v>
      </c>
      <c r="AL238" s="1">
        <v>0.14499999999999999</v>
      </c>
      <c r="AM238" s="20">
        <v>6.5000000000000002E-2</v>
      </c>
      <c r="AN238" s="1">
        <v>1</v>
      </c>
      <c r="AO238" s="1">
        <v>0.81499999999999995</v>
      </c>
      <c r="AP238" s="1">
        <v>0.64500000000000002</v>
      </c>
      <c r="AQ238" s="1">
        <v>0.39500000000000002</v>
      </c>
      <c r="AR238" s="1">
        <v>0.36</v>
      </c>
      <c r="AS238" s="1">
        <v>0.245</v>
      </c>
      <c r="AT238" s="1">
        <v>0.14499999999999999</v>
      </c>
      <c r="AU238" s="20">
        <v>6.5000000000000002E-2</v>
      </c>
      <c r="AV238" s="1">
        <v>1</v>
      </c>
      <c r="AW238" s="1">
        <v>0.81499999999999995</v>
      </c>
      <c r="AX238" s="1">
        <v>0.64500000000000002</v>
      </c>
      <c r="AY238" s="1">
        <v>0.39500000000000002</v>
      </c>
      <c r="AZ238" s="1">
        <v>0.36</v>
      </c>
      <c r="BA238" s="1">
        <v>0.245</v>
      </c>
      <c r="BB238" s="1">
        <v>0.14499999999999999</v>
      </c>
      <c r="BC238" s="20">
        <v>6.5000000000000002E-2</v>
      </c>
      <c r="BD238" s="1">
        <v>1</v>
      </c>
      <c r="BE238" s="1">
        <v>0.81499999999999995</v>
      </c>
      <c r="BF238" s="1">
        <v>0.64500000000000002</v>
      </c>
      <c r="BG238" s="1">
        <v>0.39500000000000002</v>
      </c>
      <c r="BH238" s="1">
        <v>0.36</v>
      </c>
      <c r="BI238" s="1">
        <v>0.245</v>
      </c>
      <c r="BJ238" s="1">
        <v>0.14499999999999999</v>
      </c>
      <c r="BK238" s="20">
        <v>6.5000000000000002E-2</v>
      </c>
      <c r="BL238" s="1">
        <v>1</v>
      </c>
      <c r="BM238" s="1">
        <v>0.81499999999999995</v>
      </c>
      <c r="BN238" s="1">
        <v>0.64500000000000002</v>
      </c>
      <c r="BO238" s="1">
        <v>0.39500000000000002</v>
      </c>
      <c r="BP238" s="1">
        <v>0.36</v>
      </c>
      <c r="BQ238" s="1">
        <v>0.245</v>
      </c>
      <c r="BR238" s="1">
        <v>0.14499999999999999</v>
      </c>
      <c r="BS238" s="20">
        <v>6.5000000000000002E-2</v>
      </c>
      <c r="BT238" s="1">
        <v>1</v>
      </c>
      <c r="BU238" s="1">
        <v>0.81499999999999995</v>
      </c>
      <c r="BV238" s="1">
        <v>0.64500000000000002</v>
      </c>
      <c r="BW238" s="1">
        <v>0.39500000000000002</v>
      </c>
      <c r="BX238" s="1">
        <v>0.36</v>
      </c>
      <c r="BY238" s="1">
        <v>0.245</v>
      </c>
      <c r="BZ238" s="1">
        <v>0.14499999999999999</v>
      </c>
      <c r="CA238" s="20">
        <v>6.5000000000000002E-2</v>
      </c>
      <c r="CB238" s="1">
        <v>1</v>
      </c>
      <c r="CC238" s="1">
        <v>0.81499999999999995</v>
      </c>
      <c r="CD238" s="1">
        <v>0.64500000000000002</v>
      </c>
      <c r="CE238" s="1">
        <v>0.39500000000000002</v>
      </c>
      <c r="CF238" s="1">
        <v>0.36</v>
      </c>
      <c r="CG238" s="1">
        <v>0.245</v>
      </c>
      <c r="CH238" s="1">
        <v>0.14499999999999999</v>
      </c>
      <c r="CI238" s="20">
        <v>6.5000000000000002E-2</v>
      </c>
      <c r="CJ238" s="1">
        <v>1</v>
      </c>
      <c r="CK238" s="1">
        <v>0.81499999999999995</v>
      </c>
      <c r="CL238" s="1">
        <v>0.64500000000000002</v>
      </c>
      <c r="CM238" s="1">
        <v>0.39500000000000002</v>
      </c>
      <c r="CN238" s="1">
        <v>0.36</v>
      </c>
      <c r="CO238" s="1">
        <v>0.245</v>
      </c>
      <c r="CP238" s="1">
        <v>0.14499999999999999</v>
      </c>
      <c r="CQ238" s="20">
        <v>6.5000000000000002E-2</v>
      </c>
    </row>
    <row r="239" spans="3:160" x14ac:dyDescent="0.4">
      <c r="C239" s="1" t="s">
        <v>49</v>
      </c>
      <c r="D239" s="1" t="s">
        <v>6</v>
      </c>
      <c r="E239" s="1">
        <v>0.21199999999999999</v>
      </c>
      <c r="F239" s="1">
        <v>0.104</v>
      </c>
      <c r="G239" s="1">
        <v>0.108</v>
      </c>
      <c r="H239" s="1">
        <v>3.3000000000000002E-2</v>
      </c>
      <c r="I239" s="1">
        <v>5903</v>
      </c>
      <c r="J239" s="1">
        <v>4557</v>
      </c>
      <c r="K239" s="1">
        <v>72</v>
      </c>
      <c r="L239" s="1">
        <v>6925</v>
      </c>
      <c r="M239" s="1">
        <v>6579</v>
      </c>
      <c r="N239" s="1">
        <v>76</v>
      </c>
      <c r="O239" s="1">
        <v>98</v>
      </c>
      <c r="P239" s="1">
        <v>91</v>
      </c>
      <c r="Q239" s="1">
        <v>98</v>
      </c>
      <c r="R239" s="1">
        <v>52</v>
      </c>
      <c r="S239" s="1">
        <v>98.5</v>
      </c>
      <c r="T239" s="4">
        <v>0</v>
      </c>
      <c r="U239" s="1">
        <v>1.6160000000000001</v>
      </c>
      <c r="V239" s="1">
        <v>7.5999999999999998E-2</v>
      </c>
      <c r="W239" s="1">
        <v>4.0199999999999996</v>
      </c>
      <c r="X239" s="1">
        <f t="shared" ref="X239" si="5738">H239</f>
        <v>3.3000000000000002E-2</v>
      </c>
      <c r="Y239" s="1">
        <f t="shared" ref="Y239" si="5739">H240</f>
        <v>6.4000000000000001E-2</v>
      </c>
      <c r="Z239" s="1">
        <f t="shared" ref="Z239" si="5740">H241</f>
        <v>3.4000000000000002E-2</v>
      </c>
      <c r="AA239" s="1">
        <f t="shared" ref="AA239" si="5741">H242</f>
        <v>2.1999999999999999E-2</v>
      </c>
      <c r="AB239" s="1">
        <f t="shared" ref="AB239" si="5742">H243</f>
        <v>3.4000000000000002E-2</v>
      </c>
      <c r="AC239" s="1">
        <f t="shared" si="4641"/>
        <v>3855.483142024329</v>
      </c>
      <c r="CQ239" s="20"/>
    </row>
    <row r="240" spans="3:160" x14ac:dyDescent="0.4">
      <c r="C240" s="1" t="s">
        <v>49</v>
      </c>
      <c r="D240" s="1" t="s">
        <v>7</v>
      </c>
      <c r="E240" s="1">
        <v>0.252</v>
      </c>
      <c r="F240" s="1">
        <v>0.14299999999999999</v>
      </c>
      <c r="G240" s="1">
        <v>0.109</v>
      </c>
      <c r="H240" s="1">
        <v>6.4000000000000001E-2</v>
      </c>
      <c r="I240" s="1">
        <v>5903</v>
      </c>
      <c r="J240" s="1">
        <v>4557</v>
      </c>
      <c r="K240" s="1">
        <v>72</v>
      </c>
      <c r="L240" s="1">
        <v>6925</v>
      </c>
      <c r="M240" s="1">
        <v>6579</v>
      </c>
      <c r="N240" s="1">
        <v>76</v>
      </c>
      <c r="O240" s="1">
        <v>98</v>
      </c>
      <c r="P240" s="1">
        <v>91</v>
      </c>
      <c r="Q240" s="1">
        <v>98</v>
      </c>
      <c r="R240" s="1">
        <v>52</v>
      </c>
      <c r="S240" s="1">
        <v>98.5</v>
      </c>
      <c r="T240" s="4">
        <v>0</v>
      </c>
      <c r="U240" s="1">
        <v>1.6160000000000001</v>
      </c>
      <c r="V240" s="1">
        <v>7.5999999999999998E-2</v>
      </c>
      <c r="W240" s="1">
        <v>4.0199999999999996</v>
      </c>
      <c r="X240" s="1">
        <f t="shared" ref="X240" si="5743">H239</f>
        <v>3.3000000000000002E-2</v>
      </c>
      <c r="Y240" s="1">
        <f t="shared" ref="Y240" si="5744">H240</f>
        <v>6.4000000000000001E-2</v>
      </c>
      <c r="Z240" s="1">
        <f t="shared" ref="Z240" si="5745">H241</f>
        <v>3.4000000000000002E-2</v>
      </c>
      <c r="AA240" s="1">
        <f t="shared" ref="AA240" si="5746">H242</f>
        <v>2.1999999999999999E-2</v>
      </c>
      <c r="AB240" s="1">
        <f t="shared" ref="AB240" si="5747">H243</f>
        <v>3.4000000000000002E-2</v>
      </c>
      <c r="AC240" s="1">
        <f t="shared" si="4641"/>
        <v>3855.483142024329</v>
      </c>
      <c r="AE240" s="1" t="s">
        <v>97</v>
      </c>
      <c r="AF240" s="1">
        <v>0</v>
      </c>
      <c r="AG240" s="1">
        <v>0.12</v>
      </c>
      <c r="AH240" s="1">
        <v>0.21</v>
      </c>
      <c r="AI240" s="1">
        <v>0.26</v>
      </c>
      <c r="AJ240" s="1">
        <v>0.28000000000000003</v>
      </c>
      <c r="AK240" s="1">
        <v>0.26</v>
      </c>
      <c r="AL240" s="1">
        <v>0.21</v>
      </c>
      <c r="AM240" s="20">
        <v>0.12</v>
      </c>
      <c r="AN240" s="1">
        <v>0</v>
      </c>
      <c r="AO240" s="1">
        <v>0.12</v>
      </c>
      <c r="AP240" s="1">
        <v>0.21</v>
      </c>
      <c r="AQ240" s="1">
        <v>0.26</v>
      </c>
      <c r="AR240" s="1">
        <v>0.28000000000000003</v>
      </c>
      <c r="AS240" s="1">
        <v>0.26</v>
      </c>
      <c r="AT240" s="1">
        <v>0.21</v>
      </c>
      <c r="AU240" s="20">
        <v>0.12</v>
      </c>
      <c r="AV240" s="1">
        <v>0</v>
      </c>
      <c r="AW240" s="1">
        <v>0.12</v>
      </c>
      <c r="AX240" s="1">
        <v>0.21</v>
      </c>
      <c r="AY240" s="1">
        <v>0.26</v>
      </c>
      <c r="AZ240" s="1">
        <v>0.28000000000000003</v>
      </c>
      <c r="BA240" s="1">
        <v>0.26</v>
      </c>
      <c r="BB240" s="1">
        <v>0.21</v>
      </c>
      <c r="BC240" s="20">
        <v>0.12</v>
      </c>
      <c r="BD240" s="1">
        <v>0</v>
      </c>
      <c r="BE240" s="1">
        <v>0.12</v>
      </c>
      <c r="BF240" s="1">
        <v>0.21</v>
      </c>
      <c r="BG240" s="1">
        <v>0.26</v>
      </c>
      <c r="BH240" s="1">
        <v>0.28000000000000003</v>
      </c>
      <c r="BI240" s="1">
        <v>0.26</v>
      </c>
      <c r="BJ240" s="1">
        <v>0.21</v>
      </c>
      <c r="BK240" s="20">
        <v>0.12</v>
      </c>
      <c r="BL240" s="1">
        <v>0</v>
      </c>
      <c r="BM240" s="1">
        <v>0.12</v>
      </c>
      <c r="BN240" s="1">
        <v>0.21</v>
      </c>
      <c r="BO240" s="1">
        <v>0.26</v>
      </c>
      <c r="BP240" s="1">
        <v>0.28000000000000003</v>
      </c>
      <c r="BQ240" s="1">
        <v>0.26</v>
      </c>
      <c r="BR240" s="1">
        <v>0.21</v>
      </c>
      <c r="BS240" s="20">
        <v>0.12</v>
      </c>
      <c r="BT240" s="1">
        <v>0</v>
      </c>
      <c r="BU240" s="1">
        <v>0.12</v>
      </c>
      <c r="BV240" s="1">
        <v>0.21</v>
      </c>
      <c r="BW240" s="1">
        <v>0.26</v>
      </c>
      <c r="BX240" s="1">
        <v>0.28000000000000003</v>
      </c>
      <c r="BY240" s="1">
        <v>0.26</v>
      </c>
      <c r="BZ240" s="1">
        <v>0.21</v>
      </c>
      <c r="CA240" s="20">
        <v>0.12</v>
      </c>
      <c r="CB240" s="1">
        <v>0</v>
      </c>
      <c r="CC240" s="1">
        <v>0.12</v>
      </c>
      <c r="CD240" s="1">
        <v>0.21</v>
      </c>
      <c r="CE240" s="1">
        <v>0.26</v>
      </c>
      <c r="CF240" s="1">
        <v>0.28000000000000003</v>
      </c>
      <c r="CG240" s="1">
        <v>0.26</v>
      </c>
      <c r="CH240" s="1">
        <v>0.21</v>
      </c>
      <c r="CI240" s="20">
        <v>0.12</v>
      </c>
      <c r="CJ240" s="1">
        <v>0</v>
      </c>
      <c r="CK240" s="1">
        <v>0.12</v>
      </c>
      <c r="CL240" s="1">
        <v>0.21</v>
      </c>
      <c r="CM240" s="1">
        <v>0.26</v>
      </c>
      <c r="CN240" s="1">
        <v>0.28000000000000003</v>
      </c>
      <c r="CO240" s="1">
        <v>0.26</v>
      </c>
      <c r="CP240" s="1">
        <v>0.21</v>
      </c>
      <c r="CQ240" s="20">
        <v>0.12</v>
      </c>
    </row>
    <row r="241" spans="3:160" x14ac:dyDescent="0.4">
      <c r="C241" s="1" t="s">
        <v>49</v>
      </c>
      <c r="D241" s="1" t="s">
        <v>8</v>
      </c>
      <c r="E241" s="1">
        <v>0.21299999999999999</v>
      </c>
      <c r="F241" s="1">
        <v>0.105</v>
      </c>
      <c r="G241" s="1">
        <v>0.108</v>
      </c>
      <c r="H241" s="1">
        <v>3.4000000000000002E-2</v>
      </c>
      <c r="I241" s="1">
        <v>5903</v>
      </c>
      <c r="J241" s="1">
        <v>4557</v>
      </c>
      <c r="K241" s="1">
        <v>72</v>
      </c>
      <c r="L241" s="1">
        <v>6925</v>
      </c>
      <c r="M241" s="1">
        <v>6579</v>
      </c>
      <c r="N241" s="1">
        <v>76</v>
      </c>
      <c r="O241" s="1">
        <v>98</v>
      </c>
      <c r="P241" s="1">
        <v>91</v>
      </c>
      <c r="Q241" s="1">
        <v>98</v>
      </c>
      <c r="R241" s="1">
        <v>52</v>
      </c>
      <c r="S241" s="1">
        <v>98.5</v>
      </c>
      <c r="T241" s="4">
        <v>0</v>
      </c>
      <c r="U241" s="1">
        <v>1.6160000000000001</v>
      </c>
      <c r="V241" s="1">
        <v>7.5999999999999998E-2</v>
      </c>
      <c r="W241" s="1">
        <v>4.0199999999999996</v>
      </c>
      <c r="X241" s="1">
        <f t="shared" ref="X241" si="5748">H239</f>
        <v>3.3000000000000002E-2</v>
      </c>
      <c r="Y241" s="1">
        <f t="shared" ref="Y241" si="5749">H240</f>
        <v>6.4000000000000001E-2</v>
      </c>
      <c r="Z241" s="1">
        <f t="shared" ref="Z241" si="5750">H241</f>
        <v>3.4000000000000002E-2</v>
      </c>
      <c r="AA241" s="1">
        <f t="shared" ref="AA241" si="5751">H242</f>
        <v>2.1999999999999999E-2</v>
      </c>
      <c r="AB241" s="1">
        <f t="shared" ref="AB241" si="5752">H243</f>
        <v>3.4000000000000002E-2</v>
      </c>
      <c r="AC241" s="1">
        <f t="shared" si="4641"/>
        <v>3855.483142024329</v>
      </c>
      <c r="CQ241" s="20"/>
    </row>
    <row r="242" spans="3:160" x14ac:dyDescent="0.4">
      <c r="C242" s="1" t="s">
        <v>49</v>
      </c>
      <c r="D242" s="1" t="s">
        <v>9</v>
      </c>
      <c r="E242" s="1">
        <v>0.2</v>
      </c>
      <c r="F242" s="1">
        <v>9.1999999999999998E-2</v>
      </c>
      <c r="G242" s="1">
        <v>0.108</v>
      </c>
      <c r="H242" s="1">
        <v>2.1999999999999999E-2</v>
      </c>
      <c r="I242" s="1">
        <v>5903</v>
      </c>
      <c r="J242" s="1">
        <v>4557</v>
      </c>
      <c r="K242" s="1">
        <v>72</v>
      </c>
      <c r="L242" s="1">
        <v>6925</v>
      </c>
      <c r="M242" s="1">
        <v>6579</v>
      </c>
      <c r="N242" s="1">
        <v>76</v>
      </c>
      <c r="O242" s="1">
        <v>98</v>
      </c>
      <c r="P242" s="1">
        <v>91</v>
      </c>
      <c r="Q242" s="1">
        <v>98</v>
      </c>
      <c r="R242" s="1">
        <v>52</v>
      </c>
      <c r="S242" s="1">
        <v>98.5</v>
      </c>
      <c r="T242" s="4">
        <v>0</v>
      </c>
      <c r="U242" s="1">
        <v>1.6160000000000001</v>
      </c>
      <c r="V242" s="1">
        <v>7.5999999999999998E-2</v>
      </c>
      <c r="W242" s="1">
        <v>4.0199999999999996</v>
      </c>
      <c r="X242" s="1">
        <f t="shared" ref="X242" si="5753">H239</f>
        <v>3.3000000000000002E-2</v>
      </c>
      <c r="Y242" s="1">
        <f t="shared" ref="Y242" si="5754">H240</f>
        <v>6.4000000000000001E-2</v>
      </c>
      <c r="Z242" s="1">
        <f t="shared" ref="Z242" si="5755">H241</f>
        <v>3.4000000000000002E-2</v>
      </c>
      <c r="AA242" s="1">
        <f t="shared" ref="AA242" si="5756">H242</f>
        <v>2.1999999999999999E-2</v>
      </c>
      <c r="AB242" s="1">
        <f t="shared" ref="AB242" si="5757">H243</f>
        <v>3.4000000000000002E-2</v>
      </c>
      <c r="AC242" s="1">
        <f t="shared" si="4641"/>
        <v>3855.483142024329</v>
      </c>
      <c r="AE242" s="1" t="s">
        <v>98</v>
      </c>
      <c r="AF242" s="1">
        <v>0</v>
      </c>
      <c r="AG242" s="1">
        <v>6.5000000000000002E-2</v>
      </c>
      <c r="AH242" s="1">
        <v>0.14499999999999999</v>
      </c>
      <c r="AI242" s="1">
        <v>0.245</v>
      </c>
      <c r="AJ242" s="1">
        <v>0.36</v>
      </c>
      <c r="AK242" s="1">
        <v>0.39500000000000002</v>
      </c>
      <c r="AL242" s="1">
        <v>0.64500000000000002</v>
      </c>
      <c r="AM242" s="20">
        <v>0.81499999999999995</v>
      </c>
      <c r="AN242" s="1">
        <v>0</v>
      </c>
      <c r="AO242" s="1">
        <v>6.5000000000000002E-2</v>
      </c>
      <c r="AP242" s="1">
        <v>0.14499999999999999</v>
      </c>
      <c r="AQ242" s="1">
        <v>0.245</v>
      </c>
      <c r="AR242" s="1">
        <v>0.36</v>
      </c>
      <c r="AS242" s="1">
        <v>0.39500000000000002</v>
      </c>
      <c r="AT242" s="1">
        <v>0.64500000000000002</v>
      </c>
      <c r="AU242" s="20">
        <v>0.81499999999999995</v>
      </c>
      <c r="AV242" s="1">
        <v>0</v>
      </c>
      <c r="AW242" s="1">
        <v>6.5000000000000002E-2</v>
      </c>
      <c r="AX242" s="1">
        <v>0.14499999999999999</v>
      </c>
      <c r="AY242" s="1">
        <v>0.245</v>
      </c>
      <c r="AZ242" s="1">
        <v>0.36</v>
      </c>
      <c r="BA242" s="1">
        <v>0.39500000000000002</v>
      </c>
      <c r="BB242" s="1">
        <v>0.64500000000000002</v>
      </c>
      <c r="BC242" s="20">
        <v>0.81499999999999995</v>
      </c>
      <c r="BD242" s="1">
        <v>0</v>
      </c>
      <c r="BE242" s="1">
        <v>6.5000000000000002E-2</v>
      </c>
      <c r="BF242" s="1">
        <v>0.14499999999999999</v>
      </c>
      <c r="BG242" s="1">
        <v>0.245</v>
      </c>
      <c r="BH242" s="1">
        <v>0.36</v>
      </c>
      <c r="BI242" s="1">
        <v>0.39500000000000002</v>
      </c>
      <c r="BJ242" s="1">
        <v>0.64500000000000002</v>
      </c>
      <c r="BK242" s="20">
        <v>0.81499999999999995</v>
      </c>
      <c r="BL242" s="1">
        <v>0</v>
      </c>
      <c r="BM242" s="1">
        <v>6.5000000000000002E-2</v>
      </c>
      <c r="BN242" s="1">
        <v>0.14499999999999999</v>
      </c>
      <c r="BO242" s="1">
        <v>0.245</v>
      </c>
      <c r="BP242" s="1">
        <v>0.36</v>
      </c>
      <c r="BQ242" s="1">
        <v>0.39500000000000002</v>
      </c>
      <c r="BR242" s="1">
        <v>0.64500000000000002</v>
      </c>
      <c r="BS242" s="20">
        <v>0.81499999999999995</v>
      </c>
      <c r="BT242" s="1">
        <v>0</v>
      </c>
      <c r="BU242" s="1">
        <v>6.5000000000000002E-2</v>
      </c>
      <c r="BV242" s="1">
        <v>0.14499999999999999</v>
      </c>
      <c r="BW242" s="1">
        <v>0.245</v>
      </c>
      <c r="BX242" s="1">
        <v>0.36</v>
      </c>
      <c r="BY242" s="1">
        <v>0.39500000000000002</v>
      </c>
      <c r="BZ242" s="1">
        <v>0.64500000000000002</v>
      </c>
      <c r="CA242" s="20">
        <v>0.81499999999999995</v>
      </c>
      <c r="CB242" s="1">
        <v>0</v>
      </c>
      <c r="CC242" s="1">
        <v>6.5000000000000002E-2</v>
      </c>
      <c r="CD242" s="1">
        <v>0.14499999999999999</v>
      </c>
      <c r="CE242" s="1">
        <v>0.245</v>
      </c>
      <c r="CF242" s="1">
        <v>0.36</v>
      </c>
      <c r="CG242" s="1">
        <v>0.39500000000000002</v>
      </c>
      <c r="CH242" s="1">
        <v>0.64500000000000002</v>
      </c>
      <c r="CI242" s="20">
        <v>0.81499999999999995</v>
      </c>
      <c r="CJ242" s="1">
        <v>0</v>
      </c>
      <c r="CK242" s="1">
        <v>6.5000000000000002E-2</v>
      </c>
      <c r="CL242" s="1">
        <v>0.14499999999999999</v>
      </c>
      <c r="CM242" s="1">
        <v>0.245</v>
      </c>
      <c r="CN242" s="1">
        <v>0.36</v>
      </c>
      <c r="CO242" s="1">
        <v>0.39500000000000002</v>
      </c>
      <c r="CP242" s="1">
        <v>0.64500000000000002</v>
      </c>
      <c r="CQ242" s="20">
        <v>0.81499999999999995</v>
      </c>
    </row>
    <row r="243" spans="3:160" s="2" customFormat="1" x14ac:dyDescent="0.4">
      <c r="C243" s="2" t="s">
        <v>49</v>
      </c>
      <c r="D243" s="2" t="s">
        <v>10</v>
      </c>
      <c r="E243" s="2">
        <v>0.21299999999999999</v>
      </c>
      <c r="F243" s="2">
        <v>0.105</v>
      </c>
      <c r="G243" s="2">
        <v>0.108</v>
      </c>
      <c r="H243" s="2">
        <v>3.4000000000000002E-2</v>
      </c>
      <c r="I243" s="2">
        <v>5903</v>
      </c>
      <c r="J243" s="2">
        <v>4557</v>
      </c>
      <c r="K243" s="2">
        <v>72</v>
      </c>
      <c r="L243" s="2">
        <v>6925</v>
      </c>
      <c r="M243" s="2">
        <v>6579</v>
      </c>
      <c r="N243" s="2">
        <v>76</v>
      </c>
      <c r="O243" s="2">
        <v>98</v>
      </c>
      <c r="P243" s="2">
        <v>91</v>
      </c>
      <c r="Q243" s="2">
        <v>98</v>
      </c>
      <c r="R243" s="2">
        <v>52</v>
      </c>
      <c r="S243" s="2">
        <v>98.5</v>
      </c>
      <c r="T243" s="6">
        <f t="shared" si="4498"/>
        <v>5421.8088334571466</v>
      </c>
      <c r="U243" s="2">
        <v>1.6160000000000001</v>
      </c>
      <c r="V243" s="2">
        <v>7.5999999999999998E-2</v>
      </c>
      <c r="W243" s="2">
        <v>4.0199999999999996</v>
      </c>
      <c r="X243" s="2">
        <f t="shared" ref="X243" si="5758">H239</f>
        <v>3.3000000000000002E-2</v>
      </c>
      <c r="Y243" s="2">
        <f t="shared" ref="Y243" si="5759">H240</f>
        <v>6.4000000000000001E-2</v>
      </c>
      <c r="Z243" s="2">
        <f t="shared" ref="Z243" si="5760">H241</f>
        <v>3.4000000000000002E-2</v>
      </c>
      <c r="AA243" s="2">
        <f t="shared" ref="AA243" si="5761">H242</f>
        <v>2.1999999999999999E-2</v>
      </c>
      <c r="AB243" s="2">
        <f t="shared" ref="AB243" si="5762">H243</f>
        <v>3.4000000000000002E-2</v>
      </c>
      <c r="AC243" s="1">
        <f t="shared" si="4641"/>
        <v>3855.483142024329</v>
      </c>
      <c r="AE243" s="2" t="s">
        <v>99</v>
      </c>
      <c r="AF243" s="23">
        <f>($O243*$Q243*$S243)^(1/3)/(AF238*((1-AF$2)*$H238+AF$2*$H239) + AF240*((1-AF$2)*$H240+AF$2*$H241) + AF242*((1-AF$2)*$H242+AF$2*$H243))</f>
        <v>1382.6251270514431</v>
      </c>
      <c r="AG243" s="23">
        <f t="shared" ref="AG243" si="5763">($O243*$Q243*$S243)^(1/3)/(AG238*((1-AG$2)*$H238+AG$2*$H239) + AG240*((1-AG$2)*$H240+AG$2*$H241) + AG242*((1-AG$2)*$H242+AG$2*$H243))</f>
        <v>1465.7168200172075</v>
      </c>
      <c r="AH243" s="23">
        <f t="shared" ref="AH243" si="5764">($O243*$Q243*$S243)^(1/3)/(AH238*((1-AH$2)*$H238+AH$2*$H239) + AH240*((1-AH$2)*$H240+AH$2*$H241) + AH242*((1-AH$2)*$H242+AH$2*$H243))</f>
        <v>1572.5492033744888</v>
      </c>
      <c r="AI243" s="23">
        <f t="shared" ref="AI243" si="5765">($O243*$Q243*$S243)^(1/3)/(AI238*((1-AI$2)*$H238+AI$2*$H239) + AI240*((1-AI$2)*$H240+AI$2*$H241) + AI242*((1-AI$2)*$H242+AI$2*$H243))</f>
        <v>1960.387099763404</v>
      </c>
      <c r="AJ243" s="23">
        <f t="shared" ref="AJ243" si="5766">($O243*$Q243*$S243)^(1/3)/(AJ238*((1-AJ$2)*$H238+AJ$2*$H239) + AJ240*((1-AJ$2)*$H240+AJ$2*$H241) + AJ242*((1-AJ$2)*$H242+AJ$2*$H243))</f>
        <v>1909.8518291955731</v>
      </c>
      <c r="AK243" s="23">
        <f t="shared" ref="AK243" si="5767">($O243*$Q243*$S243)^(1/3)/(AK238*((1-AK$2)*$H238+AK$2*$H239) + AK240*((1-AK$2)*$H240+AK$2*$H241) + AK242*((1-AK$2)*$H242+AK$2*$H243))</f>
        <v>2297.6333299157977</v>
      </c>
      <c r="AL243" s="23">
        <f t="shared" ref="AL243" si="5768">($O243*$Q243*$S243)^(1/3)/(AL238*((1-AL$2)*$H238+AL$2*$H239) + AL240*((1-AL$2)*$H240+AL$2*$H241) + AL242*((1-AL$2)*$H242+AL$2*$H243))</f>
        <v>2588.4346478748175</v>
      </c>
      <c r="AM243" s="23">
        <f t="shared" ref="AM243" si="5769">($O243*$Q243*$S243)^(1/3)/(AM238*((1-AM$2)*$H238+AM$2*$H239) + AM240*((1-AM$2)*$H240+AM$2*$H241) + AM242*((1-AM$2)*$H242+AM$2*$H243))</f>
        <v>3247.8538964649283</v>
      </c>
      <c r="AN243" s="23">
        <f t="shared" ref="AN243" si="5770">($O243*$Q243*$S243)^(1/3)/(AN238*((1-AN$2)*$H238+AN$2*$H239) + AN240*((1-AN$2)*$H240+AN$2*$H241) + AN242*((1-AN$2)*$H242+AN$2*$H243))</f>
        <v>1481.756739934377</v>
      </c>
      <c r="AO243" s="23">
        <f t="shared" ref="AO243" si="5771">($O243*$Q243*$S243)^(1/3)/(AO238*((1-AO$2)*$H238+AO$2*$H239) + AO240*((1-AO$2)*$H240+AO$2*$H241) + AO242*((1-AO$2)*$H242+AO$2*$H243))</f>
        <v>1564.3733634095336</v>
      </c>
      <c r="AP243" s="23">
        <f t="shared" ref="AP243" si="5772">($O243*$Q243*$S243)^(1/3)/(AP238*((1-AP$2)*$H238+AP$2*$H239) + AP240*((1-AP$2)*$H240+AP$2*$H241) + AP242*((1-AP$2)*$H242+AP$2*$H243))</f>
        <v>1669.7448008105368</v>
      </c>
      <c r="AQ243" s="23">
        <f t="shared" ref="AQ243" si="5773">($O243*$Q243*$S243)^(1/3)/(AQ238*((1-AQ$2)*$H238+AQ$2*$H239) + AQ240*((1-AQ$2)*$H240+AQ$2*$H241) + AQ242*((1-AQ$2)*$H242+AQ$2*$H243))</f>
        <v>2062.6981644872212</v>
      </c>
      <c r="AR243" s="23">
        <f t="shared" ref="AR243" si="5774">($O243*$Q243*$S243)^(1/3)/(AR238*((1-AR$2)*$H238+AR$2*$H239) + AR240*((1-AR$2)*$H240+AR$2*$H241) + AR242*((1-AR$2)*$H242+AR$2*$H243))</f>
        <v>1996.0631155073702</v>
      </c>
      <c r="AS243" s="23">
        <f t="shared" ref="AS243" si="5775">($O243*$Q243*$S243)^(1/3)/(AS238*((1-AS$2)*$H238+AS$2*$H239) + AS240*((1-AS$2)*$H240+AS$2*$H241) + AS242*((1-AS$2)*$H242+AS$2*$H243))</f>
        <v>2383.9087884079163</v>
      </c>
      <c r="AT243" s="23">
        <f t="shared" ref="AT243" si="5776">($O243*$Q243*$S243)^(1/3)/(AT238*((1-AT$2)*$H238+AT$2*$H239) + AT240*((1-AT$2)*$H240+AT$2*$H241) + AT242*((1-AT$2)*$H242+AT$2*$H243))</f>
        <v>2623.6296801697781</v>
      </c>
      <c r="AU243" s="23">
        <f t="shared" ref="AU243" si="5777">($O243*$Q243*$S243)^(1/3)/(AU238*((1-AU$2)*$H238+AU$2*$H239) + AU240*((1-AU$2)*$H240+AU$2*$H241) + AU242*((1-AU$2)*$H242+AU$2*$H243))</f>
        <v>3198.7742746332929</v>
      </c>
      <c r="AV243" s="23">
        <f t="shared" ref="AV243" si="5778">($O243*$Q243*$S243)^(1/3)/(AV238*((1-AV$2)*$H238+AV$2*$H239) + AV240*((1-AV$2)*$H240+AV$2*$H241) + AV242*((1-AV$2)*$H242+AV$2*$H243))</f>
        <v>1596.2013661894712</v>
      </c>
      <c r="AW243" s="23">
        <f t="shared" ref="AW243" si="5779">($O243*$Q243*$S243)^(1/3)/(AW238*((1-AW$2)*$H238+AW$2*$H239) + AW240*((1-AW$2)*$H240+AW$2*$H241) + AW242*((1-AW$2)*$H242+AW$2*$H243))</f>
        <v>1677.2693865388487</v>
      </c>
      <c r="AX243" s="23">
        <f t="shared" ref="AX243" si="5780">($O243*$Q243*$S243)^(1/3)/(AX238*((1-AX$2)*$H238+AX$2*$H239) + AX240*((1-AX$2)*$H240+AX$2*$H241) + AX242*((1-AX$2)*$H242+AX$2*$H243))</f>
        <v>1779.746798180709</v>
      </c>
      <c r="AY243" s="23">
        <f t="shared" ref="AY243" si="5781">($O243*$Q243*$S243)^(1/3)/(AY238*((1-AY$2)*$H238+AY$2*$H239) + AY240*((1-AY$2)*$H240+AY$2*$H241) + AY242*((1-AY$2)*$H242+AY$2*$H243))</f>
        <v>2176.2763181433788</v>
      </c>
      <c r="AZ243" s="23">
        <f t="shared" ref="AZ243" si="5782">($O243*$Q243*$S243)^(1/3)/(AZ238*((1-AZ$2)*$H238+AZ$2*$H239) + AZ240*((1-AZ$2)*$H240+AZ$2*$H241) + AZ242*((1-AZ$2)*$H242+AZ$2*$H243))</f>
        <v>2090.42555410248</v>
      </c>
      <c r="BA243" s="23">
        <f t="shared" ref="BA243" si="5783">($O243*$Q243*$S243)^(1/3)/(BA238*((1-BA$2)*$H238+BA$2*$H239) + BA240*((1-BA$2)*$H240+BA$2*$H241) + BA242*((1-BA$2)*$H242+BA$2*$H243))</f>
        <v>2476.9162687353173</v>
      </c>
      <c r="BB243" s="23">
        <f t="shared" ref="BB243" si="5784">($O243*$Q243*$S243)^(1/3)/(BB238*((1-BB$2)*$H238+BB$2*$H239) + BB240*((1-BB$2)*$H240+BB$2*$H241) + BB242*((1-BB$2)*$H242+BB$2*$H243))</f>
        <v>2659.7950015756273</v>
      </c>
      <c r="BC243" s="23">
        <f t="shared" ref="BC243" si="5785">($O243*$Q243*$S243)^(1/3)/(BC238*((1-BC$2)*$H238+BC$2*$H239) + BC240*((1-BC$2)*$H240+BC$2*$H241) + BC242*((1-BC$2)*$H242+BC$2*$H243))</f>
        <v>3151.1558950534454</v>
      </c>
      <c r="BD243" s="23">
        <f t="shared" ref="BD243" si="5786">($O243*$Q243*$S243)^(1/3)/(BD238*((1-BD$2)*$H238+BD$2*$H239) + BD240*((1-BD$2)*$H240+BD$2*$H241) + BD242*((1-BD$2)*$H242+BD$2*$H243))</f>
        <v>1729.8041237119378</v>
      </c>
      <c r="BE243" s="23">
        <f t="shared" ref="BE243" si="5787">($O243*$Q243*$S243)^(1/3)/(BE238*((1-BE$2)*$H238+BE$2*$H239) + BE240*((1-BE$2)*$H240+BE$2*$H241) + BE242*((1-BE$2)*$H242+BE$2*$H243))</f>
        <v>1807.7275330092759</v>
      </c>
      <c r="BF243" s="23">
        <f t="shared" ref="BF243" si="5788">($O243*$Q243*$S243)^(1/3)/(BF238*((1-BF$2)*$H238+BF$2*$H239) + BF240*((1-BF$2)*$H240+BF$2*$H241) + BF242*((1-BF$2)*$H242+BF$2*$H243))</f>
        <v>1905.2647375366209</v>
      </c>
      <c r="BG243" s="23">
        <f t="shared" ref="BG243" si="5789">($O243*$Q243*$S243)^(1/3)/(BG238*((1-BG$2)*$H238+BG$2*$H239) + BG240*((1-BG$2)*$H240+BG$2*$H241) + BG242*((1-BG$2)*$H242+BG$2*$H243))</f>
        <v>2303.091211370479</v>
      </c>
      <c r="BH243" s="23">
        <f t="shared" ref="BH243" si="5790">($O243*$Q243*$S243)^(1/3)/(BH238*((1-BH$2)*$H238+BH$2*$H239) + BH240*((1-BH$2)*$H240+BH$2*$H241) + BH242*((1-BH$2)*$H242+BH$2*$H243))</f>
        <v>2194.1525261656784</v>
      </c>
      <c r="BI243" s="23">
        <f t="shared" ref="BI243" si="5791">($O243*$Q243*$S243)^(1/3)/(BI238*((1-BI$2)*$H238+BI$2*$H239) + BI240*((1-BI$2)*$H240+BI$2*$H241) + BI242*((1-BI$2)*$H242+BI$2*$H243))</f>
        <v>2577.4757037159729</v>
      </c>
      <c r="BJ243" s="23">
        <f t="shared" ref="BJ243" si="5792">($O243*$Q243*$S243)^(1/3)/(BJ238*((1-BJ$2)*$H238+BJ$2*$H239) + BJ240*((1-BJ$2)*$H240+BJ$2*$H241) + BJ242*((1-BJ$2)*$H242+BJ$2*$H243))</f>
        <v>2696.9712976586416</v>
      </c>
      <c r="BK243" s="23">
        <f t="shared" ref="BK243" si="5793">($O243*$Q243*$S243)^(1/3)/(BK238*((1-BK$2)*$H238+BK$2*$H239) + BK240*((1-BK$2)*$H240+BK$2*$H241) + BK242*((1-BK$2)*$H242+BK$2*$H243))</f>
        <v>3104.934456826868</v>
      </c>
      <c r="BL243" s="23">
        <f t="shared" ref="BL243" si="5794">($O243*$Q243*$S243)^(1/3)/(BL238*((1-BL$2)*$H238+BL$2*$H239) + BL240*((1-BL$2)*$H240+BL$2*$H241) + BL242*((1-BL$2)*$H242+BL$2*$H243))</f>
        <v>1887.8150773202397</v>
      </c>
      <c r="BM243" s="23">
        <f t="shared" ref="BM243" si="5795">($O243*$Q243*$S243)^(1/3)/(BM238*((1-BM$2)*$H238+BM$2*$H239) + BM240*((1-BM$2)*$H240+BM$2*$H241) + BM242*((1-BM$2)*$H242+BM$2*$H243))</f>
        <v>1960.1913742143063</v>
      </c>
      <c r="BN243" s="23">
        <f t="shared" ref="BN243" si="5796">($O243*$Q243*$S243)^(1/3)/(BN238*((1-BN$2)*$H238+BN$2*$H239) + BN240*((1-BN$2)*$H240+BN$2*$H241) + BN242*((1-BN$2)*$H242+BN$2*$H243))</f>
        <v>2049.8305287252547</v>
      </c>
      <c r="BO243" s="23">
        <f t="shared" ref="BO243" si="5797">($O243*$Q243*$S243)^(1/3)/(BO238*((1-BO$2)*$H238+BO$2*$H239) + BO240*((1-BO$2)*$H240+BO$2*$H241) + BO242*((1-BO$2)*$H242+BO$2*$H243))</f>
        <v>2445.6000005145106</v>
      </c>
      <c r="BP243" s="23">
        <f t="shared" ref="BP243" si="5798">($O243*$Q243*$S243)^(1/3)/(BP238*((1-BP$2)*$H238+BP$2*$H239) + BP240*((1-BP$2)*$H240+BP$2*$H241) + BP242*((1-BP$2)*$H242+BP$2*$H243))</f>
        <v>2308.7108189240939</v>
      </c>
      <c r="BQ243" s="23">
        <f t="shared" ref="BQ243" si="5799">($O243*$Q243*$S243)^(1/3)/(BQ238*((1-BQ$2)*$H238+BQ$2*$H239) + BQ240*((1-BQ$2)*$H240+BQ$2*$H241) + BQ242*((1-BQ$2)*$H242+BQ$2*$H243))</f>
        <v>2686.5458133730831</v>
      </c>
      <c r="BR243" s="23">
        <f t="shared" ref="BR243" si="5800">($O243*$Q243*$S243)^(1/3)/(BR238*((1-BR$2)*$H238+BR$2*$H239) + BR240*((1-BR$2)*$H240+BR$2*$H241) + BR242*((1-BR$2)*$H242+BR$2*$H243))</f>
        <v>2735.2015608986476</v>
      </c>
      <c r="BS243" s="23">
        <f t="shared" ref="BS243" si="5801">($O243*$Q243*$S243)^(1/3)/(BS238*((1-BS$2)*$H238+BS$2*$H239) + BS240*((1-BS$2)*$H240+BS$2*$H241) + BS242*((1-BS$2)*$H242+BS$2*$H243))</f>
        <v>3060.0493772023838</v>
      </c>
      <c r="BT243" s="23">
        <f t="shared" ref="BT243" si="5802">($O243*$Q243*$S243)^(1/3)/(BT238*((1-BT$2)*$H238+BT$2*$H239) + BT240*((1-BT$2)*$H240+BT$2*$H241) + BT242*((1-BT$2)*$H242+BT$2*$H243))</f>
        <v>2077.5954290085178</v>
      </c>
      <c r="BU243" s="23">
        <f t="shared" ref="BU243" si="5803">($O243*$Q243*$S243)^(1/3)/(BU238*((1-BU$2)*$H238+BU$2*$H239) + BU240*((1-BU$2)*$H240+BU$2*$H241) + BU242*((1-BU$2)*$H242+BU$2*$H243))</f>
        <v>2140.741644173967</v>
      </c>
      <c r="BV243" s="23">
        <f t="shared" ref="BV243" si="5804">($O243*$Q243*$S243)^(1/3)/(BV238*((1-BV$2)*$H238+BV$2*$H239) + BV240*((1-BV$2)*$H240+BV$2*$H241) + BV242*((1-BV$2)*$H242+BV$2*$H243))</f>
        <v>2218.1360603452049</v>
      </c>
      <c r="BW243" s="23">
        <f t="shared" ref="BW243" si="5805">($O243*$Q243*$S243)^(1/3)/(BW238*((1-BW$2)*$H238+BW$2*$H239) + BW240*((1-BW$2)*$H240+BW$2*$H241) + BW242*((1-BW$2)*$H242+BW$2*$H243))</f>
        <v>2606.908123370024</v>
      </c>
      <c r="BX243" s="23">
        <f t="shared" ref="BX243" si="5806">($O243*$Q243*$S243)^(1/3)/(BX238*((1-BX$2)*$H238+BX$2*$H239) + BX240*((1-BX$2)*$H240+BX$2*$H241) + BX242*((1-BX$2)*$H242+BX$2*$H243))</f>
        <v>2435.8904223486961</v>
      </c>
      <c r="BY243" s="23">
        <f t="shared" ref="BY243" si="5807">($O243*$Q243*$S243)^(1/3)/(BY238*((1-BY$2)*$H238+BY$2*$H239) + BY240*((1-BY$2)*$H240+BY$2*$H241) + BY242*((1-BY$2)*$H242+BY$2*$H243))</f>
        <v>2805.2547675128399</v>
      </c>
      <c r="BZ243" s="23">
        <f t="shared" ref="BZ243" si="5808">($O243*$Q243*$S243)^(1/3)/(BZ238*((1-BZ$2)*$H238+BZ$2*$H239) + BZ240*((1-BZ$2)*$H240+BZ$2*$H241) + BZ242*((1-BZ$2)*$H242+BZ$2*$H243))</f>
        <v>2774.5312565455561</v>
      </c>
      <c r="CA243" s="23">
        <f t="shared" ref="CA243" si="5809">($O243*$Q243*$S243)^(1/3)/(CA238*((1-CA$2)*$H238+CA$2*$H239) + CA240*((1-CA$2)*$H240+CA$2*$H241) + CA242*((1-CA$2)*$H242+CA$2*$H243))</f>
        <v>3016.4435266572673</v>
      </c>
      <c r="CB243" s="23">
        <f t="shared" ref="CB243" si="5810">($O243*$Q243*$S243)^(1/3)/(CB238*((1-CB$2)*$H238+CB$2*$H239) + CB240*((1-CB$2)*$H240+CB$2*$H241) + CB242*((1-CB$2)*$H242+CB$2*$H243))</f>
        <v>2309.7972710741756</v>
      </c>
      <c r="CC243" s="23">
        <f t="shared" ref="CC243" si="5811">($O243*$Q243*$S243)^(1/3)/(CC238*((1-CC$2)*$H238+CC$2*$H239) + CC240*((1-CC$2)*$H240+CC$2*$H241) + CC242*((1-CC$2)*$H242+CC$2*$H243))</f>
        <v>2357.9267164031098</v>
      </c>
      <c r="CD243" s="23">
        <f t="shared" ref="CD243" si="5812">($O243*$Q243*$S243)^(1/3)/(CD238*((1-CD$2)*$H238+CD$2*$H239) + CD240*((1-CD$2)*$H240+CD$2*$H241) + CD242*((1-CD$2)*$H242+CD$2*$H243))</f>
        <v>2416.5520098628213</v>
      </c>
      <c r="CE243" s="23">
        <f t="shared" ref="CE243" si="5813">($O243*$Q243*$S243)^(1/3)/(CE238*((1-CE$2)*$H238+CE$2*$H239) + CE240*((1-CE$2)*$H240+CE$2*$H241) + CE242*((1-CE$2)*$H242+CE$2*$H243))</f>
        <v>2790.9981951994441</v>
      </c>
      <c r="CF243" s="23">
        <f t="shared" ref="CF243" si="5814">($O243*$Q243*$S243)^(1/3)/(CF238*((1-CF$2)*$H238+CF$2*$H239) + CF240*((1-CF$2)*$H240+CF$2*$H241) + CF242*((1-CF$2)*$H242+CF$2*$H243))</f>
        <v>2577.898740038142</v>
      </c>
      <c r="CG243" s="23">
        <f t="shared" ref="CG243" si="5815">($O243*$Q243*$S243)^(1/3)/(CG238*((1-CG$2)*$H238+CG$2*$H239) + CG240*((1-CG$2)*$H240+CG$2*$H241) + CG242*((1-CG$2)*$H242+CG$2*$H243))</f>
        <v>2934.9393533344037</v>
      </c>
      <c r="CH243" s="23">
        <f t="shared" ref="CH243" si="5816">($O243*$Q243*$S243)^(1/3)/(CH238*((1-CH$2)*$H238+CH$2*$H239) + CH240*((1-CH$2)*$H240+CH$2*$H241) + CH242*((1-CH$2)*$H242+CH$2*$H243))</f>
        <v>2815.0085029938336</v>
      </c>
      <c r="CI243" s="23">
        <f t="shared" ref="CI243" si="5817">($O243*$Q243*$S243)^(1/3)/(CI238*((1-CI$2)*$H238+CI$2*$H239) + CI240*((1-CI$2)*$H240+CI$2*$H241) + CI242*((1-CI$2)*$H242+CI$2*$H243))</f>
        <v>2974.062986310762</v>
      </c>
      <c r="CJ243" s="23">
        <f t="shared" ref="CJ243" si="5818">($O243*$Q243*$S243)^(1/3)/(CJ238*((1-CJ$2)*$H238+CJ$2*$H239) + CJ240*((1-CJ$2)*$H240+CJ$2*$H241) + CJ242*((1-CJ$2)*$H242+CJ$2*$H243))</f>
        <v>2600.4340137921181</v>
      </c>
      <c r="CK243" s="23">
        <f t="shared" ref="CK243" si="5819">($O243*$Q243*$S243)^(1/3)/(CK238*((1-CK$2)*$H238+CK$2*$H239) + CK240*((1-CK$2)*$H240+CK$2*$H241) + CK242*((1-CK$2)*$H242+CK$2*$H243))</f>
        <v>2624.155686053462</v>
      </c>
      <c r="CL243" s="23">
        <f t="shared" ref="CL243" si="5820">($O243*$Q243*$S243)^(1/3)/(CL238*((1-CL$2)*$H238+CL$2*$H239) + CL240*((1-CL$2)*$H240+CL$2*$H241) + CL242*((1-CL$2)*$H242+CL$2*$H243))</f>
        <v>2653.9524590761366</v>
      </c>
      <c r="CM243" s="23">
        <f t="shared" ref="CM243" si="5821">($O243*$Q243*$S243)^(1/3)/(CM238*((1-CM$2)*$H238+CM$2*$H239) + CM240*((1-CM$2)*$H240+CM$2*$H241) + CM242*((1-CM$2)*$H242+CM$2*$H243))</f>
        <v>3003.0632563390295</v>
      </c>
      <c r="CN243" s="23">
        <f t="shared" ref="CN243" si="5822">($O243*$Q243*$S243)^(1/3)/(CN238*((1-CN$2)*$H238+CN$2*$H239) + CN240*((1-CN$2)*$H240+CN$2*$H241) + CN242*((1-CN$2)*$H242+CN$2*$H243))</f>
        <v>2737.4897942178595</v>
      </c>
      <c r="CO243" s="23">
        <f t="shared" ref="CO243" si="5823">($O243*$Q243*$S243)^(1/3)/(CO238*((1-CO$2)*$H238+CO$2*$H239) + CO240*((1-CO$2)*$H240+CO$2*$H241) + CO242*((1-CO$2)*$H242+CO$2*$H243))</f>
        <v>3077.1955337377826</v>
      </c>
      <c r="CP243" s="23">
        <f t="shared" ref="CP243" si="5824">($O243*$Q243*$S243)^(1/3)/(CP238*((1-CP$2)*$H238+CP$2*$H239) + CP240*((1-CP$2)*$H240+CP$2*$H241) + CP242*((1-CP$2)*$H242+CP$2*$H243))</f>
        <v>2856.684268179476</v>
      </c>
      <c r="CQ243" s="23">
        <f t="shared" ref="CQ243" si="5825">($O243*$Q243*$S243)^(1/3)/(CQ238*((1-CQ$2)*$H238+CQ$2*$H239) + CQ240*((1-CQ$2)*$H240+CQ$2*$H241) + CQ242*((1-CQ$2)*$H242+CQ$2*$H243))</f>
        <v>2932.8568255040504</v>
      </c>
      <c r="CS243" s="2">
        <f t="shared" ref="CS243" si="5826">100*$AF243/AF243</f>
        <v>99.999999999999986</v>
      </c>
      <c r="CT243" s="2">
        <f t="shared" ref="CT243" si="5827">100*$AF243/AG243</f>
        <v>94.330985915492931</v>
      </c>
      <c r="CU243" s="2">
        <f t="shared" ref="CU243" si="5828">100*$AF243/AH243</f>
        <v>87.922535211267601</v>
      </c>
      <c r="CV243" s="2">
        <f t="shared" ref="CV243" si="5829">100*$AF243/AI243</f>
        <v>70.528169014084511</v>
      </c>
      <c r="CW243" s="2">
        <f t="shared" ref="CW243" si="5830">100*$AF243/AJ243</f>
        <v>72.394366197183089</v>
      </c>
      <c r="CX243" s="2">
        <f t="shared" ref="CX243" si="5831">100*$AF243/AK243</f>
        <v>60.176056338028168</v>
      </c>
      <c r="CY243" s="2">
        <f t="shared" ref="CY243" si="5832">100*$AF243/AL243</f>
        <v>53.41549295774648</v>
      </c>
      <c r="CZ243" s="2">
        <f t="shared" ref="CZ243" si="5833">100*$AF243/AM243</f>
        <v>42.570422535211264</v>
      </c>
      <c r="DA243" s="2">
        <f t="shared" ref="DA243" si="5834">100*$AF243/AN243</f>
        <v>93.309859154929555</v>
      </c>
      <c r="DB243" s="2">
        <f t="shared" ref="DB243" si="5835">100*$AF243/AO243</f>
        <v>88.382042253521092</v>
      </c>
      <c r="DC243" s="2">
        <f t="shared" ref="DC243" si="5836">100*$AF243/AP243</f>
        <v>82.804577464788707</v>
      </c>
      <c r="DD243" s="2">
        <f t="shared" ref="DD243" si="5837">100*$AF243/AQ243</f>
        <v>67.029929577464785</v>
      </c>
      <c r="DE243" s="2">
        <f t="shared" ref="DE243" si="5838">100*$AF243/AR243</f>
        <v>69.267605633802802</v>
      </c>
      <c r="DF243" s="2">
        <f t="shared" ref="DF243" si="5839">100*$AF243/AS243</f>
        <v>57.998239436619698</v>
      </c>
      <c r="DG243" s="2">
        <f t="shared" ref="DG243" si="5840">100*$AF243/AT243</f>
        <v>52.698943661971825</v>
      </c>
      <c r="DH243" s="2">
        <f t="shared" ref="DH243" si="5841">100*$AF243/AU243</f>
        <v>43.223591549295769</v>
      </c>
      <c r="DI243" s="2">
        <f t="shared" ref="DI243" si="5842">100*$AF243/AV243</f>
        <v>86.619718309859138</v>
      </c>
      <c r="DJ243" s="2">
        <f t="shared" ref="DJ243" si="5843">100*$AF243/AW243</f>
        <v>82.433098591549282</v>
      </c>
      <c r="DK243" s="2">
        <f t="shared" ref="DK243" si="5844">100*$AF243/AX243</f>
        <v>77.686619718309856</v>
      </c>
      <c r="DL243" s="2">
        <f t="shared" ref="DL243" si="5845">100*$AF243/AY243</f>
        <v>63.531690140845065</v>
      </c>
      <c r="DM243" s="2">
        <f t="shared" ref="DM243" si="5846">100*$AF243/AZ243</f>
        <v>66.140845070422529</v>
      </c>
      <c r="DN243" s="2">
        <f t="shared" ref="DN243" si="5847">100*$AF243/BA243</f>
        <v>55.820422535211257</v>
      </c>
      <c r="DO243" s="2">
        <f t="shared" ref="DO243" si="5848">100*$AF243/BB243</f>
        <v>51.982394366197177</v>
      </c>
      <c r="DP243" s="2">
        <f t="shared" ref="DP243" si="5849">100*$AF243/BC243</f>
        <v>43.87676056338028</v>
      </c>
      <c r="DQ243" s="2">
        <f t="shared" ref="DQ243" si="5850">100*$AF243/BD243</f>
        <v>79.929577464788721</v>
      </c>
      <c r="DR243" s="2">
        <f t="shared" ref="DR243" si="5851">100*$AF243/BE243</f>
        <v>76.484154929577457</v>
      </c>
      <c r="DS243" s="2">
        <f t="shared" ref="DS243" si="5852">100*$AF243/BF243</f>
        <v>72.568661971830963</v>
      </c>
      <c r="DT243" s="2">
        <f t="shared" ref="DT243" si="5853">100*$AF243/BG243</f>
        <v>60.033450704225352</v>
      </c>
      <c r="DU243" s="2">
        <f t="shared" ref="DU243" si="5854">100*$AF243/BH243</f>
        <v>63.014084507042256</v>
      </c>
      <c r="DV243" s="2">
        <f t="shared" ref="DV243" si="5855">100*$AF243/BI243</f>
        <v>53.642605633802802</v>
      </c>
      <c r="DW243" s="2">
        <f t="shared" ref="DW243" si="5856">100*$AF243/BJ243</f>
        <v>51.265845070422522</v>
      </c>
      <c r="DX243" s="2">
        <f t="shared" ref="DX243" si="5857">100*$AF243/BK243</f>
        <v>44.529929577464785</v>
      </c>
      <c r="DY243" s="2">
        <f t="shared" ref="DY243" si="5858">100*$AF243/BL243</f>
        <v>73.239436619718305</v>
      </c>
      <c r="DZ243" s="2">
        <f t="shared" ref="DZ243" si="5859">100*$AF243/BM243</f>
        <v>70.535211267605632</v>
      </c>
      <c r="EA243" s="2">
        <f t="shared" ref="EA243" si="5860">100*$AF243/BN243</f>
        <v>67.450704225352112</v>
      </c>
      <c r="EB243" s="2">
        <f t="shared" ref="EB243" si="5861">100*$AF243/BO243</f>
        <v>56.535211267605632</v>
      </c>
      <c r="EC243" s="2">
        <f t="shared" ref="EC243" si="5862">100*$AF243/BP243</f>
        <v>59.887323943661961</v>
      </c>
      <c r="ED243" s="2">
        <f t="shared" ref="ED243" si="5863">100*$AF243/BQ243</f>
        <v>51.464788732394361</v>
      </c>
      <c r="EE243" s="2">
        <f t="shared" ref="EE243" si="5864">100*$AF243/BR243</f>
        <v>50.549295774647881</v>
      </c>
      <c r="EF243" s="2">
        <f t="shared" ref="EF243" si="5865">100*$AF243/BS243</f>
        <v>45.183098591549289</v>
      </c>
      <c r="EG243" s="2">
        <f t="shared" ref="EG243" si="5866">100*$AF243/BT243</f>
        <v>66.549295774647874</v>
      </c>
      <c r="EH243" s="2">
        <f t="shared" ref="EH243" si="5867">100*$AF243/BU243</f>
        <v>64.586267605633793</v>
      </c>
      <c r="EI243" s="2">
        <f t="shared" ref="EI243" si="5868">100*$AF243/BV243</f>
        <v>62.332746478873226</v>
      </c>
      <c r="EJ243" s="2">
        <f t="shared" ref="EJ243" si="5869">100*$AF243/BW243</f>
        <v>53.036971830985905</v>
      </c>
      <c r="EK243" s="2">
        <f t="shared" ref="EK243" si="5870">100*$AF243/BX243</f>
        <v>56.760563380281688</v>
      </c>
      <c r="EL243" s="2">
        <f t="shared" ref="EL243" si="5871">100*$AF243/BY243</f>
        <v>49.286971830985919</v>
      </c>
      <c r="EM243" s="2">
        <f t="shared" ref="EM243" si="5872">100*$AF243/BZ243</f>
        <v>49.83274647887324</v>
      </c>
      <c r="EN243" s="2">
        <f t="shared" ref="EN243" si="5873">100*$AF243/CA243</f>
        <v>45.836267605633807</v>
      </c>
      <c r="EO243" s="2">
        <f t="shared" ref="EO243" si="5874">100*$AF243/CB243</f>
        <v>59.859154929577457</v>
      </c>
      <c r="EP243" s="2">
        <f t="shared" ref="EP243" si="5875">100*$AF243/CC243</f>
        <v>58.637323943661961</v>
      </c>
      <c r="EQ243" s="2">
        <f t="shared" ref="EQ243" si="5876">100*$AF243/CD243</f>
        <v>57.214788732394361</v>
      </c>
      <c r="ER243" s="2">
        <f t="shared" ref="ER243" si="5877">100*$AF243/CE243</f>
        <v>49.5387323943662</v>
      </c>
      <c r="ES243" s="2">
        <f t="shared" ref="ES243" si="5878">100*$AF243/CF243</f>
        <v>53.633802816901408</v>
      </c>
      <c r="ET243" s="2">
        <f t="shared" ref="ET243" si="5879">100*$AF243/CG243</f>
        <v>47.109154929577457</v>
      </c>
      <c r="EU243" s="2">
        <f t="shared" ref="EU243" si="5880">100*$AF243/CH243</f>
        <v>49.116197183098585</v>
      </c>
      <c r="EV243" s="2">
        <f t="shared" ref="EV243" si="5881">100*$AF243/CI243</f>
        <v>46.489436619718298</v>
      </c>
      <c r="EW243" s="2">
        <f t="shared" ref="EW243" si="5882">100*$AF243/CJ243</f>
        <v>53.16901408450704</v>
      </c>
      <c r="EX243" s="2">
        <f t="shared" ref="EX243" si="5883">100*$AF243/CK243</f>
        <v>52.688380281690144</v>
      </c>
      <c r="EY243" s="2">
        <f t="shared" ref="EY243" si="5884">100*$AF243/CL243</f>
        <v>52.096830985915496</v>
      </c>
      <c r="EZ243" s="2">
        <f t="shared" ref="EZ243" si="5885">100*$AF243/CM243</f>
        <v>46.04049295774648</v>
      </c>
      <c r="FA243" s="2">
        <f t="shared" ref="FA243" si="5886">100*$AF243/CN243</f>
        <v>50.507042253521128</v>
      </c>
      <c r="FB243" s="2">
        <f t="shared" ref="FB243" si="5887">100*$AF243/CO243</f>
        <v>44.931338028169023</v>
      </c>
      <c r="FC243" s="2">
        <f t="shared" ref="FC243" si="5888">100*$AF243/CP243</f>
        <v>48.399647887323937</v>
      </c>
      <c r="FD243" s="2">
        <f t="shared" ref="FD243" si="5889">100*$AF243/CQ243</f>
        <v>47.142605633802816</v>
      </c>
    </row>
    <row r="244" spans="3:160" x14ac:dyDescent="0.4">
      <c r="C244" s="1" t="s">
        <v>50</v>
      </c>
      <c r="D244" s="1" t="s">
        <v>5</v>
      </c>
      <c r="E244" s="1">
        <v>0.25800000000000001</v>
      </c>
      <c r="F244" s="1">
        <v>0.14899999999999999</v>
      </c>
      <c r="G244" s="1">
        <v>0.109</v>
      </c>
      <c r="H244" s="1">
        <v>7.0999999999999994E-2</v>
      </c>
      <c r="I244" s="1">
        <v>5954</v>
      </c>
      <c r="J244" s="1">
        <v>4557</v>
      </c>
      <c r="K244" s="1">
        <v>72</v>
      </c>
      <c r="L244" s="1">
        <v>6985</v>
      </c>
      <c r="M244" s="1">
        <v>6579</v>
      </c>
      <c r="N244" s="1">
        <v>76</v>
      </c>
      <c r="O244" s="1">
        <v>98</v>
      </c>
      <c r="P244" s="1">
        <v>91</v>
      </c>
      <c r="Q244" s="1">
        <v>98</v>
      </c>
      <c r="R244" s="1">
        <v>52</v>
      </c>
      <c r="S244" s="1">
        <v>98.5</v>
      </c>
      <c r="T244" s="4">
        <v>0</v>
      </c>
      <c r="U244" s="1">
        <v>1.5760000000000001</v>
      </c>
      <c r="V244" s="1">
        <v>6.6000000000000003E-2</v>
      </c>
      <c r="W244" s="1">
        <v>4.0199999999999996</v>
      </c>
      <c r="X244" s="1">
        <f t="shared" ref="X244" si="5890">H245</f>
        <v>2.5999999999999999E-2</v>
      </c>
      <c r="Y244" s="1">
        <f t="shared" ref="Y244" si="5891">H246</f>
        <v>6.4000000000000001E-2</v>
      </c>
      <c r="Z244" s="1">
        <f t="shared" ref="Z244" si="5892">H247</f>
        <v>2.5999999999999999E-2</v>
      </c>
      <c r="AA244" s="1">
        <f t="shared" ref="AA244" si="5893">H248</f>
        <v>2.1999999999999999E-2</v>
      </c>
      <c r="AB244" s="1">
        <f t="shared" ref="AB244" si="5894">H249</f>
        <v>2.5999999999999999E-2</v>
      </c>
      <c r="AC244" s="1">
        <f t="shared" si="4641"/>
        <v>3847.7759537737365</v>
      </c>
      <c r="AE244" s="1" t="s">
        <v>96</v>
      </c>
      <c r="AF244" s="1">
        <v>1</v>
      </c>
      <c r="AG244" s="1">
        <v>0.81499999999999995</v>
      </c>
      <c r="AH244" s="1">
        <v>0.64500000000000002</v>
      </c>
      <c r="AI244" s="1">
        <v>0.39500000000000002</v>
      </c>
      <c r="AJ244" s="1">
        <v>0.36</v>
      </c>
      <c r="AK244" s="1">
        <v>0.245</v>
      </c>
      <c r="AL244" s="1">
        <v>0.14499999999999999</v>
      </c>
      <c r="AM244" s="20">
        <v>6.5000000000000002E-2</v>
      </c>
      <c r="AN244" s="1">
        <v>1</v>
      </c>
      <c r="AO244" s="1">
        <v>0.81499999999999995</v>
      </c>
      <c r="AP244" s="1">
        <v>0.64500000000000002</v>
      </c>
      <c r="AQ244" s="1">
        <v>0.39500000000000002</v>
      </c>
      <c r="AR244" s="1">
        <v>0.36</v>
      </c>
      <c r="AS244" s="1">
        <v>0.245</v>
      </c>
      <c r="AT244" s="1">
        <v>0.14499999999999999</v>
      </c>
      <c r="AU244" s="20">
        <v>6.5000000000000002E-2</v>
      </c>
      <c r="AV244" s="1">
        <v>1</v>
      </c>
      <c r="AW244" s="1">
        <v>0.81499999999999995</v>
      </c>
      <c r="AX244" s="1">
        <v>0.64500000000000002</v>
      </c>
      <c r="AY244" s="1">
        <v>0.39500000000000002</v>
      </c>
      <c r="AZ244" s="1">
        <v>0.36</v>
      </c>
      <c r="BA244" s="1">
        <v>0.245</v>
      </c>
      <c r="BB244" s="1">
        <v>0.14499999999999999</v>
      </c>
      <c r="BC244" s="20">
        <v>6.5000000000000002E-2</v>
      </c>
      <c r="BD244" s="1">
        <v>1</v>
      </c>
      <c r="BE244" s="1">
        <v>0.81499999999999995</v>
      </c>
      <c r="BF244" s="1">
        <v>0.64500000000000002</v>
      </c>
      <c r="BG244" s="1">
        <v>0.39500000000000002</v>
      </c>
      <c r="BH244" s="1">
        <v>0.36</v>
      </c>
      <c r="BI244" s="1">
        <v>0.245</v>
      </c>
      <c r="BJ244" s="1">
        <v>0.14499999999999999</v>
      </c>
      <c r="BK244" s="20">
        <v>6.5000000000000002E-2</v>
      </c>
      <c r="BL244" s="1">
        <v>1</v>
      </c>
      <c r="BM244" s="1">
        <v>0.81499999999999995</v>
      </c>
      <c r="BN244" s="1">
        <v>0.64500000000000002</v>
      </c>
      <c r="BO244" s="1">
        <v>0.39500000000000002</v>
      </c>
      <c r="BP244" s="1">
        <v>0.36</v>
      </c>
      <c r="BQ244" s="1">
        <v>0.245</v>
      </c>
      <c r="BR244" s="1">
        <v>0.14499999999999999</v>
      </c>
      <c r="BS244" s="20">
        <v>6.5000000000000002E-2</v>
      </c>
      <c r="BT244" s="1">
        <v>1</v>
      </c>
      <c r="BU244" s="1">
        <v>0.81499999999999995</v>
      </c>
      <c r="BV244" s="1">
        <v>0.64500000000000002</v>
      </c>
      <c r="BW244" s="1">
        <v>0.39500000000000002</v>
      </c>
      <c r="BX244" s="1">
        <v>0.36</v>
      </c>
      <c r="BY244" s="1">
        <v>0.245</v>
      </c>
      <c r="BZ244" s="1">
        <v>0.14499999999999999</v>
      </c>
      <c r="CA244" s="20">
        <v>6.5000000000000002E-2</v>
      </c>
      <c r="CB244" s="1">
        <v>1</v>
      </c>
      <c r="CC244" s="1">
        <v>0.81499999999999995</v>
      </c>
      <c r="CD244" s="1">
        <v>0.64500000000000002</v>
      </c>
      <c r="CE244" s="1">
        <v>0.39500000000000002</v>
      </c>
      <c r="CF244" s="1">
        <v>0.36</v>
      </c>
      <c r="CG244" s="1">
        <v>0.245</v>
      </c>
      <c r="CH244" s="1">
        <v>0.14499999999999999</v>
      </c>
      <c r="CI244" s="20">
        <v>6.5000000000000002E-2</v>
      </c>
      <c r="CJ244" s="1">
        <v>1</v>
      </c>
      <c r="CK244" s="1">
        <v>0.81499999999999995</v>
      </c>
      <c r="CL244" s="1">
        <v>0.64500000000000002</v>
      </c>
      <c r="CM244" s="1">
        <v>0.39500000000000002</v>
      </c>
      <c r="CN244" s="1">
        <v>0.36</v>
      </c>
      <c r="CO244" s="1">
        <v>0.245</v>
      </c>
      <c r="CP244" s="1">
        <v>0.14499999999999999</v>
      </c>
      <c r="CQ244" s="20">
        <v>6.5000000000000002E-2</v>
      </c>
    </row>
    <row r="245" spans="3:160" x14ac:dyDescent="0.4">
      <c r="C245" s="1" t="s">
        <v>50</v>
      </c>
      <c r="D245" s="1" t="s">
        <v>6</v>
      </c>
      <c r="E245" s="1">
        <v>0.20399999999999999</v>
      </c>
      <c r="F245" s="1">
        <v>9.6000000000000002E-2</v>
      </c>
      <c r="G245" s="1">
        <v>0.108</v>
      </c>
      <c r="H245" s="1">
        <v>2.5999999999999999E-2</v>
      </c>
      <c r="I245" s="1">
        <v>5954</v>
      </c>
      <c r="J245" s="1">
        <v>4557</v>
      </c>
      <c r="K245" s="1">
        <v>72</v>
      </c>
      <c r="L245" s="1">
        <v>6985</v>
      </c>
      <c r="M245" s="1">
        <v>6579</v>
      </c>
      <c r="N245" s="1">
        <v>76</v>
      </c>
      <c r="O245" s="1">
        <v>98</v>
      </c>
      <c r="P245" s="1">
        <v>91</v>
      </c>
      <c r="Q245" s="1">
        <v>98</v>
      </c>
      <c r="R245" s="1">
        <v>52</v>
      </c>
      <c r="S245" s="1">
        <v>98.5</v>
      </c>
      <c r="T245" s="4">
        <v>0</v>
      </c>
      <c r="U245" s="1">
        <v>1.5760000000000001</v>
      </c>
      <c r="V245" s="1">
        <v>6.6000000000000003E-2</v>
      </c>
      <c r="W245" s="1">
        <v>4.0199999999999996</v>
      </c>
      <c r="X245" s="1">
        <f t="shared" ref="X245" si="5895">H245</f>
        <v>2.5999999999999999E-2</v>
      </c>
      <c r="Y245" s="1">
        <f t="shared" ref="Y245" si="5896">H246</f>
        <v>6.4000000000000001E-2</v>
      </c>
      <c r="Z245" s="1">
        <f t="shared" ref="Z245" si="5897">H247</f>
        <v>2.5999999999999999E-2</v>
      </c>
      <c r="AA245" s="1">
        <f t="shared" ref="AA245" si="5898">H248</f>
        <v>2.1999999999999999E-2</v>
      </c>
      <c r="AB245" s="1">
        <f t="shared" ref="AB245" si="5899">H249</f>
        <v>2.5999999999999999E-2</v>
      </c>
      <c r="AC245" s="1">
        <f t="shared" si="4641"/>
        <v>3847.7759537737365</v>
      </c>
      <c r="CQ245" s="20"/>
    </row>
    <row r="246" spans="3:160" x14ac:dyDescent="0.4">
      <c r="C246" s="1" t="s">
        <v>50</v>
      </c>
      <c r="D246" s="1" t="s">
        <v>7</v>
      </c>
      <c r="E246" s="1">
        <v>0.251</v>
      </c>
      <c r="F246" s="1">
        <v>0.14299999999999999</v>
      </c>
      <c r="G246" s="1">
        <v>0.109</v>
      </c>
      <c r="H246" s="1">
        <v>6.4000000000000001E-2</v>
      </c>
      <c r="I246" s="1">
        <v>5954</v>
      </c>
      <c r="J246" s="1">
        <v>4557</v>
      </c>
      <c r="K246" s="1">
        <v>72</v>
      </c>
      <c r="L246" s="1">
        <v>6985</v>
      </c>
      <c r="M246" s="1">
        <v>6579</v>
      </c>
      <c r="N246" s="1">
        <v>76</v>
      </c>
      <c r="O246" s="1">
        <v>98</v>
      </c>
      <c r="P246" s="1">
        <v>91</v>
      </c>
      <c r="Q246" s="1">
        <v>98</v>
      </c>
      <c r="R246" s="1">
        <v>52</v>
      </c>
      <c r="S246" s="1">
        <v>98.5</v>
      </c>
      <c r="T246" s="4">
        <v>0</v>
      </c>
      <c r="U246" s="1">
        <v>1.5760000000000001</v>
      </c>
      <c r="V246" s="1">
        <v>6.6000000000000003E-2</v>
      </c>
      <c r="W246" s="1">
        <v>4.0199999999999996</v>
      </c>
      <c r="X246" s="1">
        <f t="shared" ref="X246" si="5900">H245</f>
        <v>2.5999999999999999E-2</v>
      </c>
      <c r="Y246" s="1">
        <f t="shared" ref="Y246" si="5901">H246</f>
        <v>6.4000000000000001E-2</v>
      </c>
      <c r="Z246" s="1">
        <f t="shared" ref="Z246" si="5902">H247</f>
        <v>2.5999999999999999E-2</v>
      </c>
      <c r="AA246" s="1">
        <f t="shared" ref="AA246" si="5903">H248</f>
        <v>2.1999999999999999E-2</v>
      </c>
      <c r="AB246" s="1">
        <f t="shared" ref="AB246" si="5904">H249</f>
        <v>2.5999999999999999E-2</v>
      </c>
      <c r="AC246" s="1">
        <f t="shared" si="4641"/>
        <v>3847.7759537737365</v>
      </c>
      <c r="AE246" s="1" t="s">
        <v>97</v>
      </c>
      <c r="AF246" s="1">
        <v>0</v>
      </c>
      <c r="AG246" s="1">
        <v>0.12</v>
      </c>
      <c r="AH246" s="1">
        <v>0.21</v>
      </c>
      <c r="AI246" s="1">
        <v>0.26</v>
      </c>
      <c r="AJ246" s="1">
        <v>0.28000000000000003</v>
      </c>
      <c r="AK246" s="1">
        <v>0.26</v>
      </c>
      <c r="AL246" s="1">
        <v>0.21</v>
      </c>
      <c r="AM246" s="20">
        <v>0.12</v>
      </c>
      <c r="AN246" s="1">
        <v>0</v>
      </c>
      <c r="AO246" s="1">
        <v>0.12</v>
      </c>
      <c r="AP246" s="1">
        <v>0.21</v>
      </c>
      <c r="AQ246" s="1">
        <v>0.26</v>
      </c>
      <c r="AR246" s="1">
        <v>0.28000000000000003</v>
      </c>
      <c r="AS246" s="1">
        <v>0.26</v>
      </c>
      <c r="AT246" s="1">
        <v>0.21</v>
      </c>
      <c r="AU246" s="20">
        <v>0.12</v>
      </c>
      <c r="AV246" s="1">
        <v>0</v>
      </c>
      <c r="AW246" s="1">
        <v>0.12</v>
      </c>
      <c r="AX246" s="1">
        <v>0.21</v>
      </c>
      <c r="AY246" s="1">
        <v>0.26</v>
      </c>
      <c r="AZ246" s="1">
        <v>0.28000000000000003</v>
      </c>
      <c r="BA246" s="1">
        <v>0.26</v>
      </c>
      <c r="BB246" s="1">
        <v>0.21</v>
      </c>
      <c r="BC246" s="20">
        <v>0.12</v>
      </c>
      <c r="BD246" s="1">
        <v>0</v>
      </c>
      <c r="BE246" s="1">
        <v>0.12</v>
      </c>
      <c r="BF246" s="1">
        <v>0.21</v>
      </c>
      <c r="BG246" s="1">
        <v>0.26</v>
      </c>
      <c r="BH246" s="1">
        <v>0.28000000000000003</v>
      </c>
      <c r="BI246" s="1">
        <v>0.26</v>
      </c>
      <c r="BJ246" s="1">
        <v>0.21</v>
      </c>
      <c r="BK246" s="20">
        <v>0.12</v>
      </c>
      <c r="BL246" s="1">
        <v>0</v>
      </c>
      <c r="BM246" s="1">
        <v>0.12</v>
      </c>
      <c r="BN246" s="1">
        <v>0.21</v>
      </c>
      <c r="BO246" s="1">
        <v>0.26</v>
      </c>
      <c r="BP246" s="1">
        <v>0.28000000000000003</v>
      </c>
      <c r="BQ246" s="1">
        <v>0.26</v>
      </c>
      <c r="BR246" s="1">
        <v>0.21</v>
      </c>
      <c r="BS246" s="20">
        <v>0.12</v>
      </c>
      <c r="BT246" s="1">
        <v>0</v>
      </c>
      <c r="BU246" s="1">
        <v>0.12</v>
      </c>
      <c r="BV246" s="1">
        <v>0.21</v>
      </c>
      <c r="BW246" s="1">
        <v>0.26</v>
      </c>
      <c r="BX246" s="1">
        <v>0.28000000000000003</v>
      </c>
      <c r="BY246" s="1">
        <v>0.26</v>
      </c>
      <c r="BZ246" s="1">
        <v>0.21</v>
      </c>
      <c r="CA246" s="20">
        <v>0.12</v>
      </c>
      <c r="CB246" s="1">
        <v>0</v>
      </c>
      <c r="CC246" s="1">
        <v>0.12</v>
      </c>
      <c r="CD246" s="1">
        <v>0.21</v>
      </c>
      <c r="CE246" s="1">
        <v>0.26</v>
      </c>
      <c r="CF246" s="1">
        <v>0.28000000000000003</v>
      </c>
      <c r="CG246" s="1">
        <v>0.26</v>
      </c>
      <c r="CH246" s="1">
        <v>0.21</v>
      </c>
      <c r="CI246" s="20">
        <v>0.12</v>
      </c>
      <c r="CJ246" s="1">
        <v>0</v>
      </c>
      <c r="CK246" s="1">
        <v>0.12</v>
      </c>
      <c r="CL246" s="1">
        <v>0.21</v>
      </c>
      <c r="CM246" s="1">
        <v>0.26</v>
      </c>
      <c r="CN246" s="1">
        <v>0.28000000000000003</v>
      </c>
      <c r="CO246" s="1">
        <v>0.26</v>
      </c>
      <c r="CP246" s="1">
        <v>0.21</v>
      </c>
      <c r="CQ246" s="20">
        <v>0.12</v>
      </c>
    </row>
    <row r="247" spans="3:160" x14ac:dyDescent="0.4">
      <c r="C247" s="1" t="s">
        <v>50</v>
      </c>
      <c r="D247" s="1" t="s">
        <v>8</v>
      </c>
      <c r="E247" s="1">
        <v>0.20499999999999999</v>
      </c>
      <c r="F247" s="1">
        <v>9.7000000000000003E-2</v>
      </c>
      <c r="G247" s="1">
        <v>0.108</v>
      </c>
      <c r="H247" s="1">
        <v>2.5999999999999999E-2</v>
      </c>
      <c r="I247" s="1">
        <v>5954</v>
      </c>
      <c r="J247" s="1">
        <v>4557</v>
      </c>
      <c r="K247" s="1">
        <v>72</v>
      </c>
      <c r="L247" s="1">
        <v>6985</v>
      </c>
      <c r="M247" s="1">
        <v>6579</v>
      </c>
      <c r="N247" s="1">
        <v>76</v>
      </c>
      <c r="O247" s="1">
        <v>98</v>
      </c>
      <c r="P247" s="1">
        <v>91</v>
      </c>
      <c r="Q247" s="1">
        <v>98</v>
      </c>
      <c r="R247" s="1">
        <v>52</v>
      </c>
      <c r="S247" s="1">
        <v>98.5</v>
      </c>
      <c r="T247" s="4">
        <v>0</v>
      </c>
      <c r="U247" s="1">
        <v>1.5760000000000001</v>
      </c>
      <c r="V247" s="1">
        <v>6.6000000000000003E-2</v>
      </c>
      <c r="W247" s="1">
        <v>4.0199999999999996</v>
      </c>
      <c r="X247" s="1">
        <f t="shared" ref="X247" si="5905">H245</f>
        <v>2.5999999999999999E-2</v>
      </c>
      <c r="Y247" s="1">
        <f t="shared" ref="Y247" si="5906">H246</f>
        <v>6.4000000000000001E-2</v>
      </c>
      <c r="Z247" s="1">
        <f t="shared" ref="Z247" si="5907">H247</f>
        <v>2.5999999999999999E-2</v>
      </c>
      <c r="AA247" s="1">
        <f t="shared" ref="AA247" si="5908">H248</f>
        <v>2.1999999999999999E-2</v>
      </c>
      <c r="AB247" s="1">
        <f t="shared" ref="AB247" si="5909">H249</f>
        <v>2.5999999999999999E-2</v>
      </c>
      <c r="AC247" s="1">
        <f t="shared" si="4641"/>
        <v>3847.7759537737365</v>
      </c>
      <c r="CQ247" s="20"/>
    </row>
    <row r="248" spans="3:160" x14ac:dyDescent="0.4">
      <c r="C248" s="1" t="s">
        <v>50</v>
      </c>
      <c r="D248" s="1" t="s">
        <v>9</v>
      </c>
      <c r="E248" s="1">
        <v>0.19900000000000001</v>
      </c>
      <c r="F248" s="1">
        <v>9.1999999999999998E-2</v>
      </c>
      <c r="G248" s="1">
        <v>0.108</v>
      </c>
      <c r="H248" s="1">
        <v>2.1999999999999999E-2</v>
      </c>
      <c r="I248" s="1">
        <v>5954</v>
      </c>
      <c r="J248" s="1">
        <v>4557</v>
      </c>
      <c r="K248" s="1">
        <v>72</v>
      </c>
      <c r="L248" s="1">
        <v>6985</v>
      </c>
      <c r="M248" s="1">
        <v>6579</v>
      </c>
      <c r="N248" s="1">
        <v>76</v>
      </c>
      <c r="O248" s="1">
        <v>98</v>
      </c>
      <c r="P248" s="1">
        <v>91</v>
      </c>
      <c r="Q248" s="1">
        <v>98</v>
      </c>
      <c r="R248" s="1">
        <v>52</v>
      </c>
      <c r="S248" s="1">
        <v>98.5</v>
      </c>
      <c r="T248" s="4">
        <v>0</v>
      </c>
      <c r="U248" s="1">
        <v>1.5760000000000001</v>
      </c>
      <c r="V248" s="1">
        <v>6.6000000000000003E-2</v>
      </c>
      <c r="W248" s="1">
        <v>4.0199999999999996</v>
      </c>
      <c r="X248" s="1">
        <f t="shared" ref="X248" si="5910">H245</f>
        <v>2.5999999999999999E-2</v>
      </c>
      <c r="Y248" s="1">
        <f t="shared" ref="Y248" si="5911">H246</f>
        <v>6.4000000000000001E-2</v>
      </c>
      <c r="Z248" s="1">
        <f t="shared" ref="Z248" si="5912">H247</f>
        <v>2.5999999999999999E-2</v>
      </c>
      <c r="AA248" s="1">
        <f t="shared" ref="AA248" si="5913">H248</f>
        <v>2.1999999999999999E-2</v>
      </c>
      <c r="AB248" s="1">
        <f t="shared" ref="AB248" si="5914">H249</f>
        <v>2.5999999999999999E-2</v>
      </c>
      <c r="AC248" s="1">
        <f t="shared" si="4641"/>
        <v>3847.7759537737365</v>
      </c>
      <c r="AE248" s="1" t="s">
        <v>98</v>
      </c>
      <c r="AF248" s="1">
        <v>0</v>
      </c>
      <c r="AG248" s="1">
        <v>6.5000000000000002E-2</v>
      </c>
      <c r="AH248" s="1">
        <v>0.14499999999999999</v>
      </c>
      <c r="AI248" s="1">
        <v>0.245</v>
      </c>
      <c r="AJ248" s="1">
        <v>0.36</v>
      </c>
      <c r="AK248" s="1">
        <v>0.39500000000000002</v>
      </c>
      <c r="AL248" s="1">
        <v>0.64500000000000002</v>
      </c>
      <c r="AM248" s="20">
        <v>0.81499999999999995</v>
      </c>
      <c r="AN248" s="1">
        <v>0</v>
      </c>
      <c r="AO248" s="1">
        <v>6.5000000000000002E-2</v>
      </c>
      <c r="AP248" s="1">
        <v>0.14499999999999999</v>
      </c>
      <c r="AQ248" s="1">
        <v>0.245</v>
      </c>
      <c r="AR248" s="1">
        <v>0.36</v>
      </c>
      <c r="AS248" s="1">
        <v>0.39500000000000002</v>
      </c>
      <c r="AT248" s="1">
        <v>0.64500000000000002</v>
      </c>
      <c r="AU248" s="20">
        <v>0.81499999999999995</v>
      </c>
      <c r="AV248" s="1">
        <v>0</v>
      </c>
      <c r="AW248" s="1">
        <v>6.5000000000000002E-2</v>
      </c>
      <c r="AX248" s="1">
        <v>0.14499999999999999</v>
      </c>
      <c r="AY248" s="1">
        <v>0.245</v>
      </c>
      <c r="AZ248" s="1">
        <v>0.36</v>
      </c>
      <c r="BA248" s="1">
        <v>0.39500000000000002</v>
      </c>
      <c r="BB248" s="1">
        <v>0.64500000000000002</v>
      </c>
      <c r="BC248" s="20">
        <v>0.81499999999999995</v>
      </c>
      <c r="BD248" s="1">
        <v>0</v>
      </c>
      <c r="BE248" s="1">
        <v>6.5000000000000002E-2</v>
      </c>
      <c r="BF248" s="1">
        <v>0.14499999999999999</v>
      </c>
      <c r="BG248" s="1">
        <v>0.245</v>
      </c>
      <c r="BH248" s="1">
        <v>0.36</v>
      </c>
      <c r="BI248" s="1">
        <v>0.39500000000000002</v>
      </c>
      <c r="BJ248" s="1">
        <v>0.64500000000000002</v>
      </c>
      <c r="BK248" s="20">
        <v>0.81499999999999995</v>
      </c>
      <c r="BL248" s="1">
        <v>0</v>
      </c>
      <c r="BM248" s="1">
        <v>6.5000000000000002E-2</v>
      </c>
      <c r="BN248" s="1">
        <v>0.14499999999999999</v>
      </c>
      <c r="BO248" s="1">
        <v>0.245</v>
      </c>
      <c r="BP248" s="1">
        <v>0.36</v>
      </c>
      <c r="BQ248" s="1">
        <v>0.39500000000000002</v>
      </c>
      <c r="BR248" s="1">
        <v>0.64500000000000002</v>
      </c>
      <c r="BS248" s="20">
        <v>0.81499999999999995</v>
      </c>
      <c r="BT248" s="1">
        <v>0</v>
      </c>
      <c r="BU248" s="1">
        <v>6.5000000000000002E-2</v>
      </c>
      <c r="BV248" s="1">
        <v>0.14499999999999999</v>
      </c>
      <c r="BW248" s="1">
        <v>0.245</v>
      </c>
      <c r="BX248" s="1">
        <v>0.36</v>
      </c>
      <c r="BY248" s="1">
        <v>0.39500000000000002</v>
      </c>
      <c r="BZ248" s="1">
        <v>0.64500000000000002</v>
      </c>
      <c r="CA248" s="20">
        <v>0.81499999999999995</v>
      </c>
      <c r="CB248" s="1">
        <v>0</v>
      </c>
      <c r="CC248" s="1">
        <v>6.5000000000000002E-2</v>
      </c>
      <c r="CD248" s="1">
        <v>0.14499999999999999</v>
      </c>
      <c r="CE248" s="1">
        <v>0.245</v>
      </c>
      <c r="CF248" s="1">
        <v>0.36</v>
      </c>
      <c r="CG248" s="1">
        <v>0.39500000000000002</v>
      </c>
      <c r="CH248" s="1">
        <v>0.64500000000000002</v>
      </c>
      <c r="CI248" s="20">
        <v>0.81499999999999995</v>
      </c>
      <c r="CJ248" s="1">
        <v>0</v>
      </c>
      <c r="CK248" s="1">
        <v>6.5000000000000002E-2</v>
      </c>
      <c r="CL248" s="1">
        <v>0.14499999999999999</v>
      </c>
      <c r="CM248" s="1">
        <v>0.245</v>
      </c>
      <c r="CN248" s="1">
        <v>0.36</v>
      </c>
      <c r="CO248" s="1">
        <v>0.39500000000000002</v>
      </c>
      <c r="CP248" s="1">
        <v>0.64500000000000002</v>
      </c>
      <c r="CQ248" s="20">
        <v>0.81499999999999995</v>
      </c>
    </row>
    <row r="249" spans="3:160" s="2" customFormat="1" x14ac:dyDescent="0.4">
      <c r="C249" s="2" t="s">
        <v>50</v>
      </c>
      <c r="D249" s="2" t="s">
        <v>10</v>
      </c>
      <c r="E249" s="2">
        <v>0.20499999999999999</v>
      </c>
      <c r="F249" s="2">
        <v>9.7000000000000003E-2</v>
      </c>
      <c r="G249" s="2">
        <v>0.108</v>
      </c>
      <c r="H249" s="2">
        <v>2.5999999999999999E-2</v>
      </c>
      <c r="I249" s="2">
        <v>5954</v>
      </c>
      <c r="J249" s="2">
        <v>4557</v>
      </c>
      <c r="K249" s="2">
        <v>72</v>
      </c>
      <c r="L249" s="2">
        <v>6985</v>
      </c>
      <c r="M249" s="2">
        <v>6579</v>
      </c>
      <c r="N249" s="2">
        <v>76</v>
      </c>
      <c r="O249" s="2">
        <v>98</v>
      </c>
      <c r="P249" s="2">
        <v>91</v>
      </c>
      <c r="Q249" s="2">
        <v>98</v>
      </c>
      <c r="R249" s="2">
        <v>52</v>
      </c>
      <c r="S249" s="2">
        <v>98.5</v>
      </c>
      <c r="T249" s="6">
        <f t="shared" ref="T249" si="5915">(N244*O244*P244*Q244*R244*S244)/(I244*J244*K244*(F244*H244 + F245*H245 + F246*H246 + F247*H247 + F248*H248 + F249*H249))</f>
        <v>5944.7398281699916</v>
      </c>
      <c r="U249" s="2">
        <v>1.5760000000000001</v>
      </c>
      <c r="V249" s="2">
        <v>6.6000000000000003E-2</v>
      </c>
      <c r="W249" s="2">
        <v>4.0199999999999996</v>
      </c>
      <c r="X249" s="2">
        <f t="shared" ref="X249" si="5916">H245</f>
        <v>2.5999999999999999E-2</v>
      </c>
      <c r="Y249" s="2">
        <f t="shared" ref="Y249" si="5917">H246</f>
        <v>6.4000000000000001E-2</v>
      </c>
      <c r="Z249" s="2">
        <f t="shared" ref="Z249" si="5918">H247</f>
        <v>2.5999999999999999E-2</v>
      </c>
      <c r="AA249" s="2">
        <f t="shared" ref="AA249" si="5919">H248</f>
        <v>2.1999999999999999E-2</v>
      </c>
      <c r="AB249" s="2">
        <f t="shared" ref="AB249" si="5920">H249</f>
        <v>2.5999999999999999E-2</v>
      </c>
      <c r="AC249" s="1">
        <f t="shared" si="4641"/>
        <v>3847.7759537737365</v>
      </c>
      <c r="AE249" s="2" t="s">
        <v>99</v>
      </c>
      <c r="AF249" s="23">
        <f>($O249*$Q249*$S249)^(1/3)/(AF244*((1-AF$2)*$H244+AF$2*$H245) + AF246*((1-AF$2)*$H246+AF$2*$H247) + AF248*((1-AF$2)*$H248+AF$2*$H249))</f>
        <v>1382.6251270514431</v>
      </c>
      <c r="AG249" s="23">
        <f t="shared" ref="AG249" si="5921">($O249*$Q249*$S249)^(1/3)/(AG244*((1-AG$2)*$H244+AG$2*$H245) + AG246*((1-AG$2)*$H246+AG$2*$H247) + AG248*((1-AG$2)*$H248+AG$2*$H249))</f>
        <v>1465.7168200172075</v>
      </c>
      <c r="AH249" s="23">
        <f t="shared" ref="AH249" si="5922">($O249*$Q249*$S249)^(1/3)/(AH244*((1-AH$2)*$H244+AH$2*$H245) + AH246*((1-AH$2)*$H246+AH$2*$H247) + AH248*((1-AH$2)*$H248+AH$2*$H249))</f>
        <v>1572.5492033744888</v>
      </c>
      <c r="AI249" s="23">
        <f t="shared" ref="AI249" si="5923">($O249*$Q249*$S249)^(1/3)/(AI244*((1-AI$2)*$H244+AI$2*$H245) + AI246*((1-AI$2)*$H246+AI$2*$H247) + AI248*((1-AI$2)*$H248+AI$2*$H249))</f>
        <v>1960.387099763404</v>
      </c>
      <c r="AJ249" s="23">
        <f t="shared" ref="AJ249" si="5924">($O249*$Q249*$S249)^(1/3)/(AJ244*((1-AJ$2)*$H244+AJ$2*$H245) + AJ246*((1-AJ$2)*$H246+AJ$2*$H247) + AJ248*((1-AJ$2)*$H248+AJ$2*$H249))</f>
        <v>1909.8518291955731</v>
      </c>
      <c r="AK249" s="23">
        <f t="shared" ref="AK249" si="5925">($O249*$Q249*$S249)^(1/3)/(AK244*((1-AK$2)*$H244+AK$2*$H245) + AK246*((1-AK$2)*$H246+AK$2*$H247) + AK248*((1-AK$2)*$H248+AK$2*$H249))</f>
        <v>2297.6333299157977</v>
      </c>
      <c r="AL249" s="23">
        <f t="shared" ref="AL249" si="5926">($O249*$Q249*$S249)^(1/3)/(AL244*((1-AL$2)*$H244+AL$2*$H245) + AL246*((1-AL$2)*$H246+AL$2*$H247) + AL248*((1-AL$2)*$H248+AL$2*$H249))</f>
        <v>2588.4346478748175</v>
      </c>
      <c r="AM249" s="23">
        <f t="shared" ref="AM249" si="5927">($O249*$Q249*$S249)^(1/3)/(AM244*((1-AM$2)*$H244+AM$2*$H245) + AM246*((1-AM$2)*$H246+AM$2*$H247) + AM248*((1-AM$2)*$H248+AM$2*$H249))</f>
        <v>3247.8538964649283</v>
      </c>
      <c r="AN249" s="23">
        <f t="shared" ref="AN249" si="5928">($O249*$Q249*$S249)^(1/3)/(AN244*((1-AN$2)*$H244+AN$2*$H245) + AN246*((1-AN$2)*$H246+AN$2*$H247) + AN248*((1-AN$2)*$H248+AN$2*$H249))</f>
        <v>1501.589048117055</v>
      </c>
      <c r="AO249" s="23">
        <f t="shared" ref="AO249" si="5929">($O249*$Q249*$S249)^(1/3)/(AO244*((1-AO$2)*$H244+AO$2*$H245) + AO246*((1-AO$2)*$H246+AO$2*$H247) + AO248*((1-AO$2)*$H248+AO$2*$H249))</f>
        <v>1587.0885104132167</v>
      </c>
      <c r="AP249" s="23">
        <f t="shared" ref="AP249" si="5930">($O249*$Q249*$S249)^(1/3)/(AP244*((1-AP$2)*$H244+AP$2*$H245) + AP246*((1-AP$2)*$H246+AP$2*$H247) + AP248*((1-AP$2)*$H248+AP$2*$H249))</f>
        <v>1696.2710128305409</v>
      </c>
      <c r="AQ249" s="23">
        <f t="shared" ref="AQ249" si="5931">($O249*$Q249*$S249)^(1/3)/(AQ244*((1-AQ$2)*$H244+AQ$2*$H245) + AQ246*((1-AQ$2)*$H246+AQ$2*$H247) + AQ248*((1-AQ$2)*$H248+AQ$2*$H249))</f>
        <v>2100.2368714721397</v>
      </c>
      <c r="AR249" s="23">
        <f t="shared" ref="AR249" si="5932">($O249*$Q249*$S249)^(1/3)/(AR244*((1-AR$2)*$H244+AR$2*$H245) + AR246*((1-AR$2)*$H246+AR$2*$H247) + AR248*((1-AR$2)*$H248+AR$2*$H249))</f>
        <v>2035.5911668357176</v>
      </c>
      <c r="AS249" s="23">
        <f t="shared" ref="AS249" si="5933">($O249*$Q249*$S249)^(1/3)/(AS244*((1-AS$2)*$H244+AS$2*$H245) + AS246*((1-AS$2)*$H246+AS$2*$H247) + AS248*((1-AS$2)*$H248+AS$2*$H249))</f>
        <v>2435.323892286905</v>
      </c>
      <c r="AT249" s="23">
        <f t="shared" ref="AT249" si="5934">($O249*$Q249*$S249)^(1/3)/(AT244*((1-AT$2)*$H244+AT$2*$H245) + AT246*((1-AT$2)*$H246+AT$2*$H247) + AT248*((1-AT$2)*$H248+AT$2*$H249))</f>
        <v>2694.3342384946213</v>
      </c>
      <c r="AU249" s="23">
        <f t="shared" ref="AU249" si="5935">($O249*$Q249*$S249)^(1/3)/(AU244*((1-AU$2)*$H244+AU$2*$H245) + AU246*((1-AU$2)*$H246+AU$2*$H247) + AU248*((1-AU$2)*$H248+AU$2*$H249))</f>
        <v>3305.6132680846881</v>
      </c>
      <c r="AV249" s="23">
        <f t="shared" ref="AV249" si="5936">($O249*$Q249*$S249)^(1/3)/(AV244*((1-AV$2)*$H244+AV$2*$H245) + AV246*((1-AV$2)*$H246+AV$2*$H247) + AV248*((1-AV$2)*$H248+AV$2*$H249))</f>
        <v>1642.9520338184514</v>
      </c>
      <c r="AW249" s="23">
        <f t="shared" ref="AW249" si="5937">($O249*$Q249*$S249)^(1/3)/(AW244*((1-AW$2)*$H244+AW$2*$H245) + AW246*((1-AW$2)*$H246+AW$2*$H247) + AW248*((1-AW$2)*$H248+AW$2*$H249))</f>
        <v>1730.3758337891811</v>
      </c>
      <c r="AX249" s="23">
        <f t="shared" ref="AX249" si="5938">($O249*$Q249*$S249)^(1/3)/(AX244*((1-AX$2)*$H244+AX$2*$H245) + AX246*((1-AX$2)*$H246+AX$2*$H247) + AX248*((1-AX$2)*$H248+AX$2*$H249))</f>
        <v>1841.1231324937751</v>
      </c>
      <c r="AY249" s="23">
        <f t="shared" ref="AY249" si="5939">($O249*$Q249*$S249)^(1/3)/(AY244*((1-AY$2)*$H244+AY$2*$H245) + AY246*((1-AY$2)*$H246+AY$2*$H247) + AY248*((1-AY$2)*$H248+AY$2*$H249))</f>
        <v>2261.5725620308704</v>
      </c>
      <c r="AZ249" s="23">
        <f t="shared" ref="AZ249" si="5940">($O249*$Q249*$S249)^(1/3)/(AZ244*((1-AZ$2)*$H244+AZ$2*$H245) + AZ246*((1-AZ$2)*$H246+AZ$2*$H247) + AZ248*((1-AZ$2)*$H248+AZ$2*$H249))</f>
        <v>2179.0540293152603</v>
      </c>
      <c r="BA249" s="23">
        <f t="shared" ref="BA249" si="5941">($O249*$Q249*$S249)^(1/3)/(BA244*((1-BA$2)*$H244+BA$2*$H245) + BA246*((1-BA$2)*$H246+BA$2*$H247) + BA248*((1-BA$2)*$H248+BA$2*$H249))</f>
        <v>2590.5692632862269</v>
      </c>
      <c r="BB249" s="23">
        <f t="shared" ref="BB249" si="5942">($O249*$Q249*$S249)^(1/3)/(BB244*((1-BB$2)*$H244+BB$2*$H245) + BB246*((1-BB$2)*$H246+BB$2*$H247) + BB248*((1-BB$2)*$H248+BB$2*$H249))</f>
        <v>2809.2687253272038</v>
      </c>
      <c r="BC249" s="23">
        <f t="shared" ref="BC249" si="5943">($O249*$Q249*$S249)^(1/3)/(BC244*((1-BC$2)*$H244+BC$2*$H245) + BC246*((1-BC$2)*$H246+BC$2*$H247) + BC248*((1-BC$2)*$H248+BC$2*$H249))</f>
        <v>3365.4642046934637</v>
      </c>
      <c r="BD249" s="23">
        <f t="shared" ref="BD249" si="5944">($O249*$Q249*$S249)^(1/3)/(BD244*((1-BD$2)*$H244+BD$2*$H245) + BD246*((1-BD$2)*$H246+BD$2*$H247) + BD248*((1-BD$2)*$H248+BD$2*$H249))</f>
        <v>1813.6976262476205</v>
      </c>
      <c r="BE249" s="23">
        <f t="shared" ref="BE249" si="5945">($O249*$Q249*$S249)^(1/3)/(BE244*((1-BE$2)*$H244+BE$2*$H245) + BE246*((1-BE$2)*$H246+BE$2*$H247) + BE248*((1-BE$2)*$H248+BE$2*$H249))</f>
        <v>1902.1037170214222</v>
      </c>
      <c r="BF249" s="23">
        <f t="shared" ref="BF249" si="5946">($O249*$Q249*$S249)^(1/3)/(BF244*((1-BF$2)*$H244+BF$2*$H245) + BF246*((1-BF$2)*$H246+BF$2*$H247) + BF248*((1-BF$2)*$H248+BF$2*$H249))</f>
        <v>2013.0242157391085</v>
      </c>
      <c r="BG249" s="23">
        <f t="shared" ref="BG249" si="5947">($O249*$Q249*$S249)^(1/3)/(BG244*((1-BG$2)*$H244+BG$2*$H245) + BG246*((1-BG$2)*$H246+BG$2*$H247) + BG248*((1-BG$2)*$H248+BG$2*$H249))</f>
        <v>2449.7576921632058</v>
      </c>
      <c r="BH249" s="23">
        <f t="shared" ref="BH249" si="5948">($O249*$Q249*$S249)^(1/3)/(BH244*((1-BH$2)*$H244+BH$2*$H245) + BH246*((1-BH$2)*$H246+BH$2*$H247) + BH248*((1-BH$2)*$H248+BH$2*$H249))</f>
        <v>2344.271857209611</v>
      </c>
      <c r="BI249" s="23">
        <f t="shared" ref="BI249" si="5949">($O249*$Q249*$S249)^(1/3)/(BI244*((1-BI$2)*$H244+BI$2*$H245) + BI246*((1-BI$2)*$H246+BI$2*$H247) + BI248*((1-BI$2)*$H248+BI$2*$H249))</f>
        <v>2766.9552441300789</v>
      </c>
      <c r="BJ249" s="23">
        <f t="shared" ref="BJ249" si="5950">($O249*$Q249*$S249)^(1/3)/(BJ244*((1-BJ$2)*$H244+BJ$2*$H245) + BJ246*((1-BJ$2)*$H246+BJ$2*$H247) + BJ248*((1-BJ$2)*$H248+BJ$2*$H249))</f>
        <v>2934.4458558252018</v>
      </c>
      <c r="BK249" s="23">
        <f t="shared" ref="BK249" si="5951">($O249*$Q249*$S249)^(1/3)/(BK244*((1-BK$2)*$H244+BK$2*$H245) + BK246*((1-BK$2)*$H246+BK$2*$H247) + BK248*((1-BK$2)*$H248+BK$2*$H249))</f>
        <v>3427.5224098863923</v>
      </c>
      <c r="BL249" s="23">
        <f t="shared" ref="BL249" si="5952">($O249*$Q249*$S249)^(1/3)/(BL244*((1-BL$2)*$H244+BL$2*$H245) + BL246*((1-BL$2)*$H246+BL$2*$H247) + BL248*((1-BL$2)*$H248+BL$2*$H249))</f>
        <v>2024.0491550649995</v>
      </c>
      <c r="BM249" s="23">
        <f t="shared" ref="BM249" si="5953">($O249*$Q249*$S249)^(1/3)/(BM244*((1-BM$2)*$H244+BM$2*$H245) + BM246*((1-BM$2)*$H246+BM$2*$H247) + BM248*((1-BM$2)*$H248+BM$2*$H249))</f>
        <v>2111.6726866502281</v>
      </c>
      <c r="BN249" s="23">
        <f t="shared" ref="BN249" si="5954">($O249*$Q249*$S249)^(1/3)/(BN244*((1-BN$2)*$H244+BN$2*$H245) + BN246*((1-BN$2)*$H246+BN$2*$H247) + BN248*((1-BN$2)*$H248+BN$2*$H249))</f>
        <v>2220.3309928335307</v>
      </c>
      <c r="BO249" s="23">
        <f t="shared" ref="BO249" si="5955">($O249*$Q249*$S249)^(1/3)/(BO244*((1-BO$2)*$H244+BO$2*$H245) + BO246*((1-BO$2)*$H246+BO$2*$H247) + BO248*((1-BO$2)*$H248+BO$2*$H249))</f>
        <v>2672.1030015829188</v>
      </c>
      <c r="BP249" s="23">
        <f t="shared" ref="BP249" si="5956">($O249*$Q249*$S249)^(1/3)/(BP244*((1-BP$2)*$H244+BP$2*$H245) + BP246*((1-BP$2)*$H246+BP$2*$H247) + BP248*((1-BP$2)*$H248+BP$2*$H249))</f>
        <v>2536.5990703010971</v>
      </c>
      <c r="BQ249" s="23">
        <f t="shared" ref="BQ249" si="5957">($O249*$Q249*$S249)^(1/3)/(BQ244*((1-BQ$2)*$H244+BQ$2*$H245) + BQ246*((1-BQ$2)*$H246+BQ$2*$H247) + BQ248*((1-BQ$2)*$H248+BQ$2*$H249))</f>
        <v>2969.1155847456321</v>
      </c>
      <c r="BR249" s="23">
        <f t="shared" ref="BR249" si="5958">($O249*$Q249*$S249)^(1/3)/(BR244*((1-BR$2)*$H244+BR$2*$H245) + BR246*((1-BR$2)*$H246+BR$2*$H247) + BR248*((1-BR$2)*$H248+BR$2*$H249))</f>
        <v>3071.2986787845903</v>
      </c>
      <c r="BS249" s="23">
        <f t="shared" ref="BS249" si="5959">($O249*$Q249*$S249)^(1/3)/(BS244*((1-BS$2)*$H244+BS$2*$H245) + BS246*((1-BS$2)*$H246+BS$2*$H247) + BS248*((1-BS$2)*$H248+BS$2*$H249))</f>
        <v>3491.9122817484204</v>
      </c>
      <c r="BT249" s="23">
        <f t="shared" ref="BT249" si="5960">($O249*$Q249*$S249)^(1/3)/(BT244*((1-BT$2)*$H244+BT$2*$H245) + BT246*((1-BT$2)*$H246+BT$2*$H247) + BT248*((1-BT$2)*$H248+BT$2*$H249))</f>
        <v>2289.5949625808157</v>
      </c>
      <c r="BU249" s="23">
        <f t="shared" ref="BU249" si="5961">($O249*$Q249*$S249)^(1/3)/(BU244*((1-BU$2)*$H244+BU$2*$H245) + BU246*((1-BU$2)*$H246+BU$2*$H247) + BU248*((1-BU$2)*$H248+BU$2*$H249))</f>
        <v>2373.1391468315173</v>
      </c>
      <c r="BV249" s="23">
        <f t="shared" ref="BV249" si="5962">($O249*$Q249*$S249)^(1/3)/(BV244*((1-BV$2)*$H244+BV$2*$H245) + BV246*((1-BV$2)*$H246+BV$2*$H247) + BV248*((1-BV$2)*$H248+BV$2*$H249))</f>
        <v>2475.2377973846656</v>
      </c>
      <c r="BW249" s="23">
        <f t="shared" ref="BW249" si="5963">($O249*$Q249*$S249)^(1/3)/(BW244*((1-BW$2)*$H244+BW$2*$H245) + BW246*((1-BW$2)*$H246+BW$2*$H247) + BW248*((1-BW$2)*$H248+BW$2*$H249))</f>
        <v>2938.8383278705946</v>
      </c>
      <c r="BX249" s="23">
        <f t="shared" ref="BX249" si="5964">($O249*$Q249*$S249)^(1/3)/(BX244*((1-BX$2)*$H244+BX$2*$H245) + BX246*((1-BX$2)*$H246+BX$2*$H247) + BX248*((1-BX$2)*$H248+BX$2*$H249))</f>
        <v>2763.3042651837427</v>
      </c>
      <c r="BY249" s="23">
        <f t="shared" ref="BY249" si="5965">($O249*$Q249*$S249)^(1/3)/(BY244*((1-BY$2)*$H244+BY$2*$H245) + BY246*((1-BY$2)*$H246+BY$2*$H247) + BY248*((1-BY$2)*$H248+BY$2*$H249))</f>
        <v>3203.1449869082076</v>
      </c>
      <c r="BZ249" s="23">
        <f t="shared" ref="BZ249" si="5966">($O249*$Q249*$S249)^(1/3)/(BZ244*((1-BZ$2)*$H244+BZ$2*$H245) + BZ246*((1-BZ$2)*$H246+BZ$2*$H247) + BZ248*((1-BZ$2)*$H248+BZ$2*$H249))</f>
        <v>3221.5406508674791</v>
      </c>
      <c r="CA249" s="23">
        <f t="shared" ref="CA249" si="5967">($O249*$Q249*$S249)^(1/3)/(CA244*((1-CA$2)*$H244+CA$2*$H245) + CA246*((1-CA$2)*$H246+CA$2*$H247) + CA248*((1-CA$2)*$H248+CA$2*$H249))</f>
        <v>3558.7677451692289</v>
      </c>
      <c r="CB249" s="23">
        <f t="shared" ref="CB249" si="5968">($O249*$Q249*$S249)^(1/3)/(CB244*((1-CB$2)*$H244+CB$2*$H245) + CB246*((1-CB$2)*$H246+CB$2*$H247) + CB248*((1-CB$2)*$H248+CB$2*$H249))</f>
        <v>2635.3391683396635</v>
      </c>
      <c r="CC249" s="23">
        <f t="shared" ref="CC249" si="5969">($O249*$Q249*$S249)^(1/3)/(CC244*((1-CC$2)*$H244+CC$2*$H245) + CC246*((1-CC$2)*$H246+CC$2*$H247) + CC248*((1-CC$2)*$H248+CC$2*$H249))</f>
        <v>2708.5051635289524</v>
      </c>
      <c r="CD249" s="23">
        <f t="shared" ref="CD249" si="5970">($O249*$Q249*$S249)^(1/3)/(CD244*((1-CD$2)*$H244+CD$2*$H245) + CD246*((1-CD$2)*$H246+CD$2*$H247) + CD248*((1-CD$2)*$H248+CD$2*$H249))</f>
        <v>2796.2651670472478</v>
      </c>
      <c r="CE249" s="23">
        <f t="shared" ref="CE249" si="5971">($O249*$Q249*$S249)^(1/3)/(CE244*((1-CE$2)*$H244+CE$2*$H245) + CE246*((1-CE$2)*$H246+CE$2*$H247) + CE248*((1-CE$2)*$H248+CE$2*$H249))</f>
        <v>3264.731125193181</v>
      </c>
      <c r="CF249" s="23">
        <f t="shared" ref="CF249" si="5972">($O249*$Q249*$S249)^(1/3)/(CF244*((1-CF$2)*$H244+CF$2*$H245) + CF246*((1-CF$2)*$H246+CF$2*$H247) + CF248*((1-CF$2)*$H248+CF$2*$H249))</f>
        <v>3034.5095524158405</v>
      </c>
      <c r="CG249" s="23">
        <f t="shared" ref="CG249" si="5973">($O249*$Q249*$S249)^(1/3)/(CG244*((1-CG$2)*$H244+CG$2*$H245) + CG246*((1-CG$2)*$H246+CG$2*$H247) + CG248*((1-CG$2)*$H248+CG$2*$H249))</f>
        <v>3477.2241406474191</v>
      </c>
      <c r="CH249" s="23">
        <f t="shared" ref="CH249" si="5974">($O249*$Q249*$S249)^(1/3)/(CH244*((1-CH$2)*$H244+CH$2*$H245) + CH246*((1-CH$2)*$H246+CH$2*$H247) + CH248*((1-CH$2)*$H248+CH$2*$H249))</f>
        <v>3387.2377492569317</v>
      </c>
      <c r="CI249" s="23">
        <f t="shared" ref="CI249" si="5975">($O249*$Q249*$S249)^(1/3)/(CI244*((1-CI$2)*$H244+CI$2*$H245) + CI246*((1-CI$2)*$H246+CI$2*$H247) + CI248*((1-CI$2)*$H248+CI$2*$H249))</f>
        <v>3628.2331816364963</v>
      </c>
      <c r="CJ249" s="23">
        <f t="shared" ref="CJ249" si="5976">($O249*$Q249*$S249)^(1/3)/(CJ244*((1-CJ$2)*$H244+CJ$2*$H245) + CJ246*((1-CJ$2)*$H246+CJ$2*$H247) + CJ248*((1-CJ$2)*$H248+CJ$2*$H249))</f>
        <v>3104.0753840522516</v>
      </c>
      <c r="CK249" s="23">
        <f t="shared" ref="CK249" si="5977">($O249*$Q249*$S249)^(1/3)/(CK244*((1-CK$2)*$H244+CK$2*$H245) + CK246*((1-CK$2)*$H246+CK$2*$H247) + CK248*((1-CK$2)*$H248+CK$2*$H249))</f>
        <v>3154.2567413002098</v>
      </c>
      <c r="CL249" s="23">
        <f t="shared" ref="CL249" si="5978">($O249*$Q249*$S249)^(1/3)/(CL244*((1-CL$2)*$H244+CL$2*$H245) + CL246*((1-CL$2)*$H246+CL$2*$H247) + CL248*((1-CL$2)*$H248+CL$2*$H249))</f>
        <v>3212.9735999395302</v>
      </c>
      <c r="CM249" s="23">
        <f t="shared" ref="CM249" si="5979">($O249*$Q249*$S249)^(1/3)/(CM244*((1-CM$2)*$H244+CM$2*$H245) + CM246*((1-CM$2)*$H246+CM$2*$H247) + CM248*((1-CM$2)*$H248+CM$2*$H249))</f>
        <v>3671.9161761085666</v>
      </c>
      <c r="CN249" s="23">
        <f t="shared" ref="CN249" si="5980">($O249*$Q249*$S249)^(1/3)/(CN244*((1-CN$2)*$H244+CN$2*$H245) + CN246*((1-CN$2)*$H246+CN$2*$H247) + CN248*((1-CN$2)*$H248+CN$2*$H249))</f>
        <v>3364.7432397824323</v>
      </c>
      <c r="CO249" s="23">
        <f t="shared" ref="CO249" si="5981">($O249*$Q249*$S249)^(1/3)/(CO244*((1-CO$2)*$H244+CO$2*$H245) + CO246*((1-CO$2)*$H246+CO$2*$H247) + CO248*((1-CO$2)*$H248+CO$2*$H249))</f>
        <v>3802.5956768682709</v>
      </c>
      <c r="CP249" s="23">
        <f t="shared" ref="CP249" si="5982">($O249*$Q249*$S249)^(1/3)/(CP244*((1-CP$2)*$H244+CP$2*$H245) + CP246*((1-CP$2)*$H246+CP$2*$H247) + CP248*((1-CP$2)*$H248+CP$2*$H249))</f>
        <v>3570.9040453119005</v>
      </c>
      <c r="CQ249" s="23">
        <f t="shared" ref="CQ249" si="5983">($O249*$Q249*$S249)^(1/3)/(CQ244*((1-CQ$2)*$H244+CQ$2*$H245) + CQ246*((1-CQ$2)*$H246+CQ$2*$H247) + CQ248*((1-CQ$2)*$H248+CQ$2*$H249))</f>
        <v>3700.4644700917406</v>
      </c>
      <c r="CS249" s="2">
        <f t="shared" ref="CS249" si="5984">100*$AF249/AF249</f>
        <v>99.999999999999986</v>
      </c>
      <c r="CT249" s="2">
        <f t="shared" ref="CT249" si="5985">100*$AF249/AG249</f>
        <v>94.330985915492931</v>
      </c>
      <c r="CU249" s="2">
        <f t="shared" ref="CU249" si="5986">100*$AF249/AH249</f>
        <v>87.922535211267601</v>
      </c>
      <c r="CV249" s="2">
        <f t="shared" ref="CV249" si="5987">100*$AF249/AI249</f>
        <v>70.528169014084511</v>
      </c>
      <c r="CW249" s="2">
        <f t="shared" ref="CW249" si="5988">100*$AF249/AJ249</f>
        <v>72.394366197183089</v>
      </c>
      <c r="CX249" s="2">
        <f t="shared" ref="CX249" si="5989">100*$AF249/AK249</f>
        <v>60.176056338028168</v>
      </c>
      <c r="CY249" s="2">
        <f t="shared" ref="CY249" si="5990">100*$AF249/AL249</f>
        <v>53.41549295774648</v>
      </c>
      <c r="CZ249" s="2">
        <f t="shared" ref="CZ249" si="5991">100*$AF249/AM249</f>
        <v>42.570422535211264</v>
      </c>
      <c r="DA249" s="2">
        <f t="shared" ref="DA249" si="5992">100*$AF249/AN249</f>
        <v>92.077464788732385</v>
      </c>
      <c r="DB249" s="2">
        <f t="shared" ref="DB249" si="5993">100*$AF249/AO249</f>
        <v>87.117077464788693</v>
      </c>
      <c r="DC249" s="2">
        <f t="shared" ref="DC249" si="5994">100*$AF249/AP249</f>
        <v>81.509683098591537</v>
      </c>
      <c r="DD249" s="2">
        <f t="shared" ref="DD249" si="5995">100*$AF249/AQ249</f>
        <v>65.831866197183075</v>
      </c>
      <c r="DE249" s="2">
        <f t="shared" ref="DE249" si="5996">100*$AF249/AR249</f>
        <v>67.922535211267586</v>
      </c>
      <c r="DF249" s="2">
        <f t="shared" ref="DF249" si="5997">100*$AF249/AS249</f>
        <v>56.7737676056338</v>
      </c>
      <c r="DG249" s="2">
        <f t="shared" ref="DG249" si="5998">100*$AF249/AT249</f>
        <v>51.316021126760553</v>
      </c>
      <c r="DH249" s="2">
        <f t="shared" ref="DH249" si="5999">100*$AF249/AU249</f>
        <v>41.826584507042242</v>
      </c>
      <c r="DI249" s="2">
        <f t="shared" ref="DI249" si="6000">100*$AF249/AV249</f>
        <v>84.15492957746477</v>
      </c>
      <c r="DJ249" s="2">
        <f t="shared" ref="DJ249" si="6001">100*$AF249/AW249</f>
        <v>79.903169014084483</v>
      </c>
      <c r="DK249" s="2">
        <f t="shared" ref="DK249" si="6002">100*$AF249/AX249</f>
        <v>75.096830985915474</v>
      </c>
      <c r="DL249" s="2">
        <f t="shared" ref="DL249" si="6003">100*$AF249/AY249</f>
        <v>61.135563380281681</v>
      </c>
      <c r="DM249" s="2">
        <f t="shared" ref="DM249" si="6004">100*$AF249/AZ249</f>
        <v>63.450704225352098</v>
      </c>
      <c r="DN249" s="2">
        <f t="shared" ref="DN249" si="6005">100*$AF249/BA249</f>
        <v>53.371478873239433</v>
      </c>
      <c r="DO249" s="2">
        <f t="shared" ref="DO249" si="6006">100*$AF249/BB249</f>
        <v>49.216549295774634</v>
      </c>
      <c r="DP249" s="2">
        <f t="shared" ref="DP249" si="6007">100*$AF249/BC249</f>
        <v>41.082746478873233</v>
      </c>
      <c r="DQ249" s="2">
        <f t="shared" ref="DQ249" si="6008">100*$AF249/BD249</f>
        <v>76.23239436619717</v>
      </c>
      <c r="DR249" s="2">
        <f t="shared" ref="DR249" si="6009">100*$AF249/BE249</f>
        <v>72.689260563380273</v>
      </c>
      <c r="DS249" s="2">
        <f t="shared" ref="DS249" si="6010">100*$AF249/BF249</f>
        <v>68.683978873239425</v>
      </c>
      <c r="DT249" s="2">
        <f t="shared" ref="DT249" si="6011">100*$AF249/BG249</f>
        <v>56.439260563380273</v>
      </c>
      <c r="DU249" s="2">
        <f t="shared" ref="DU249" si="6012">100*$AF249/BH249</f>
        <v>58.978873239436616</v>
      </c>
      <c r="DV249" s="2">
        <f t="shared" ref="DV249" si="6013">100*$AF249/BI249</f>
        <v>49.969190140845072</v>
      </c>
      <c r="DW249" s="2">
        <f t="shared" ref="DW249" si="6014">100*$AF249/BJ249</f>
        <v>47.117077464788728</v>
      </c>
      <c r="DX249" s="2">
        <f t="shared" ref="DX249" si="6015">100*$AF249/BK249</f>
        <v>40.338908450704224</v>
      </c>
      <c r="DY249" s="2">
        <f t="shared" ref="DY249" si="6016">100*$AF249/BL249</f>
        <v>68.309859154929555</v>
      </c>
      <c r="DZ249" s="2">
        <f t="shared" ref="DZ249" si="6017">100*$AF249/BM249</f>
        <v>65.475352112676035</v>
      </c>
      <c r="EA249" s="2">
        <f t="shared" ref="EA249" si="6018">100*$AF249/BN249</f>
        <v>62.271126760563362</v>
      </c>
      <c r="EB249" s="2">
        <f t="shared" ref="EB249" si="6019">100*$AF249/BO249</f>
        <v>51.742957746478858</v>
      </c>
      <c r="EC249" s="2">
        <f t="shared" ref="EC249" si="6020">100*$AF249/BP249</f>
        <v>54.507042253521121</v>
      </c>
      <c r="ED249" s="2">
        <f t="shared" ref="ED249" si="6021">100*$AF249/BQ249</f>
        <v>46.566901408450697</v>
      </c>
      <c r="EE249" s="2">
        <f t="shared" ref="EE249" si="6022">100*$AF249/BR249</f>
        <v>45.017605633802809</v>
      </c>
      <c r="EF249" s="2">
        <f t="shared" ref="EF249" si="6023">100*$AF249/BS249</f>
        <v>39.595070422535208</v>
      </c>
      <c r="EG249" s="2">
        <f t="shared" ref="EG249" si="6024">100*$AF249/BT249</f>
        <v>60.387323943661961</v>
      </c>
      <c r="EH249" s="2">
        <f t="shared" ref="EH249" si="6025">100*$AF249/BU249</f>
        <v>58.261443661971811</v>
      </c>
      <c r="EI249" s="2">
        <f t="shared" ref="EI249" si="6026">100*$AF249/BV249</f>
        <v>55.858274647887313</v>
      </c>
      <c r="EJ249" s="2">
        <f t="shared" ref="EJ249" si="6027">100*$AF249/BW249</f>
        <v>47.046654929577464</v>
      </c>
      <c r="EK249" s="2">
        <f t="shared" ref="EK249" si="6028">100*$AF249/BX249</f>
        <v>50.035211267605632</v>
      </c>
      <c r="EL249" s="2">
        <f t="shared" ref="EL249" si="6029">100*$AF249/BY249</f>
        <v>43.164612676056329</v>
      </c>
      <c r="EM249" s="2">
        <f t="shared" ref="EM249" si="6030">100*$AF249/BZ249</f>
        <v>42.918133802816897</v>
      </c>
      <c r="EN249" s="2">
        <f t="shared" ref="EN249" si="6031">100*$AF249/CA249</f>
        <v>38.8512323943662</v>
      </c>
      <c r="EO249" s="2">
        <f t="shared" ref="EO249" si="6032">100*$AF249/CB249</f>
        <v>52.464788732394361</v>
      </c>
      <c r="EP249" s="2">
        <f t="shared" ref="EP249" si="6033">100*$AF249/CC249</f>
        <v>51.047535211267601</v>
      </c>
      <c r="EQ249" s="2">
        <f t="shared" ref="EQ249" si="6034">100*$AF249/CD249</f>
        <v>49.445422535211272</v>
      </c>
      <c r="ER249" s="2">
        <f t="shared" ref="ER249" si="6035">100*$AF249/CE249</f>
        <v>42.350352112676049</v>
      </c>
      <c r="ES249" s="2">
        <f t="shared" ref="ES249" si="6036">100*$AF249/CF249</f>
        <v>45.563380281690144</v>
      </c>
      <c r="ET249" s="2">
        <f t="shared" ref="ET249" si="6037">100*$AF249/CG249</f>
        <v>39.762323943661976</v>
      </c>
      <c r="EU249" s="2">
        <f t="shared" ref="EU249" si="6038">100*$AF249/CH249</f>
        <v>40.818661971830984</v>
      </c>
      <c r="EV249" s="2">
        <f t="shared" ref="EV249" si="6039">100*$AF249/CI249</f>
        <v>38.107394366197184</v>
      </c>
      <c r="EW249" s="2">
        <f t="shared" ref="EW249" si="6040">100*$AF249/CJ249</f>
        <v>44.54225352112676</v>
      </c>
      <c r="EX249" s="2">
        <f t="shared" ref="EX249" si="6041">100*$AF249/CK249</f>
        <v>43.833626760563376</v>
      </c>
      <c r="EY249" s="2">
        <f t="shared" ref="EY249" si="6042">100*$AF249/CL249</f>
        <v>43.032570422535208</v>
      </c>
      <c r="EZ249" s="2">
        <f t="shared" ref="EZ249" si="6043">100*$AF249/CM249</f>
        <v>37.654049295774648</v>
      </c>
      <c r="FA249" s="2">
        <f t="shared" ref="FA249" si="6044">100*$AF249/CN249</f>
        <v>41.091549295774641</v>
      </c>
      <c r="FB249" s="2">
        <f t="shared" ref="FB249" si="6045">100*$AF249/CO249</f>
        <v>36.360035211267608</v>
      </c>
      <c r="FC249" s="2">
        <f t="shared" ref="FC249" si="6046">100*$AF249/CP249</f>
        <v>38.719190140845065</v>
      </c>
      <c r="FD249" s="2">
        <f t="shared" ref="FD249" si="6047">100*$AF249/CQ249</f>
        <v>37.363556338028168</v>
      </c>
    </row>
    <row r="250" spans="3:160" x14ac:dyDescent="0.4">
      <c r="C250" s="1" t="s">
        <v>51</v>
      </c>
      <c r="D250" s="1" t="s">
        <v>5</v>
      </c>
      <c r="E250" s="1">
        <v>0.25900000000000001</v>
      </c>
      <c r="F250" s="1">
        <v>0.15</v>
      </c>
      <c r="G250" s="1">
        <v>0.109</v>
      </c>
      <c r="H250" s="1">
        <v>7.0999999999999994E-2</v>
      </c>
      <c r="I250" s="1">
        <v>5947</v>
      </c>
      <c r="J250" s="1">
        <v>4677</v>
      </c>
      <c r="K250" s="1">
        <v>72</v>
      </c>
      <c r="L250" s="1">
        <v>6978</v>
      </c>
      <c r="M250" s="1">
        <v>6699</v>
      </c>
      <c r="N250" s="1">
        <v>76</v>
      </c>
      <c r="O250" s="1">
        <v>98</v>
      </c>
      <c r="P250" s="1">
        <v>91</v>
      </c>
      <c r="Q250" s="1">
        <v>98</v>
      </c>
      <c r="R250" s="1">
        <v>52</v>
      </c>
      <c r="S250" s="1">
        <v>98.5</v>
      </c>
      <c r="T250" s="4">
        <v>0</v>
      </c>
      <c r="U250" s="1">
        <v>1.6060000000000001</v>
      </c>
      <c r="V250" s="1">
        <v>0.08</v>
      </c>
      <c r="W250" s="1">
        <v>4.0199999999999996</v>
      </c>
      <c r="X250" s="1">
        <f t="shared" ref="X250" si="6048">H251</f>
        <v>2.5999999999999999E-2</v>
      </c>
      <c r="Y250" s="1">
        <f t="shared" ref="Y250" si="6049">H252</f>
        <v>6.4000000000000001E-2</v>
      </c>
      <c r="Z250" s="1">
        <f t="shared" ref="Z250" si="6050">H253</f>
        <v>2.7E-2</v>
      </c>
      <c r="AA250" s="1">
        <f t="shared" ref="AA250" si="6051">H254</f>
        <v>2.1999999999999999E-2</v>
      </c>
      <c r="AB250" s="1">
        <f t="shared" ref="AB250" si="6052">H255</f>
        <v>2.7E-2</v>
      </c>
      <c r="AC250" s="1">
        <f t="shared" si="4641"/>
        <v>3839.7991050694277</v>
      </c>
      <c r="AE250" s="1" t="s">
        <v>96</v>
      </c>
      <c r="AF250" s="1">
        <v>1</v>
      </c>
      <c r="AG250" s="1">
        <v>0.81499999999999995</v>
      </c>
      <c r="AH250" s="1">
        <v>0.64500000000000002</v>
      </c>
      <c r="AI250" s="1">
        <v>0.39500000000000002</v>
      </c>
      <c r="AJ250" s="1">
        <v>0.36</v>
      </c>
      <c r="AK250" s="1">
        <v>0.245</v>
      </c>
      <c r="AL250" s="1">
        <v>0.14499999999999999</v>
      </c>
      <c r="AM250" s="20">
        <v>6.5000000000000002E-2</v>
      </c>
      <c r="AN250" s="1">
        <v>1</v>
      </c>
      <c r="AO250" s="1">
        <v>0.81499999999999995</v>
      </c>
      <c r="AP250" s="1">
        <v>0.64500000000000002</v>
      </c>
      <c r="AQ250" s="1">
        <v>0.39500000000000002</v>
      </c>
      <c r="AR250" s="1">
        <v>0.36</v>
      </c>
      <c r="AS250" s="1">
        <v>0.245</v>
      </c>
      <c r="AT250" s="1">
        <v>0.14499999999999999</v>
      </c>
      <c r="AU250" s="20">
        <v>6.5000000000000002E-2</v>
      </c>
      <c r="AV250" s="1">
        <v>1</v>
      </c>
      <c r="AW250" s="1">
        <v>0.81499999999999995</v>
      </c>
      <c r="AX250" s="1">
        <v>0.64500000000000002</v>
      </c>
      <c r="AY250" s="1">
        <v>0.39500000000000002</v>
      </c>
      <c r="AZ250" s="1">
        <v>0.36</v>
      </c>
      <c r="BA250" s="1">
        <v>0.245</v>
      </c>
      <c r="BB250" s="1">
        <v>0.14499999999999999</v>
      </c>
      <c r="BC250" s="20">
        <v>6.5000000000000002E-2</v>
      </c>
      <c r="BD250" s="1">
        <v>1</v>
      </c>
      <c r="BE250" s="1">
        <v>0.81499999999999995</v>
      </c>
      <c r="BF250" s="1">
        <v>0.64500000000000002</v>
      </c>
      <c r="BG250" s="1">
        <v>0.39500000000000002</v>
      </c>
      <c r="BH250" s="1">
        <v>0.36</v>
      </c>
      <c r="BI250" s="1">
        <v>0.245</v>
      </c>
      <c r="BJ250" s="1">
        <v>0.14499999999999999</v>
      </c>
      <c r="BK250" s="20">
        <v>6.5000000000000002E-2</v>
      </c>
      <c r="BL250" s="1">
        <v>1</v>
      </c>
      <c r="BM250" s="1">
        <v>0.81499999999999995</v>
      </c>
      <c r="BN250" s="1">
        <v>0.64500000000000002</v>
      </c>
      <c r="BO250" s="1">
        <v>0.39500000000000002</v>
      </c>
      <c r="BP250" s="1">
        <v>0.36</v>
      </c>
      <c r="BQ250" s="1">
        <v>0.245</v>
      </c>
      <c r="BR250" s="1">
        <v>0.14499999999999999</v>
      </c>
      <c r="BS250" s="20">
        <v>6.5000000000000002E-2</v>
      </c>
      <c r="BT250" s="1">
        <v>1</v>
      </c>
      <c r="BU250" s="1">
        <v>0.81499999999999995</v>
      </c>
      <c r="BV250" s="1">
        <v>0.64500000000000002</v>
      </c>
      <c r="BW250" s="1">
        <v>0.39500000000000002</v>
      </c>
      <c r="BX250" s="1">
        <v>0.36</v>
      </c>
      <c r="BY250" s="1">
        <v>0.245</v>
      </c>
      <c r="BZ250" s="1">
        <v>0.14499999999999999</v>
      </c>
      <c r="CA250" s="20">
        <v>6.5000000000000002E-2</v>
      </c>
      <c r="CB250" s="1">
        <v>1</v>
      </c>
      <c r="CC250" s="1">
        <v>0.81499999999999995</v>
      </c>
      <c r="CD250" s="1">
        <v>0.64500000000000002</v>
      </c>
      <c r="CE250" s="1">
        <v>0.39500000000000002</v>
      </c>
      <c r="CF250" s="1">
        <v>0.36</v>
      </c>
      <c r="CG250" s="1">
        <v>0.245</v>
      </c>
      <c r="CH250" s="1">
        <v>0.14499999999999999</v>
      </c>
      <c r="CI250" s="20">
        <v>6.5000000000000002E-2</v>
      </c>
      <c r="CJ250" s="1">
        <v>1</v>
      </c>
      <c r="CK250" s="1">
        <v>0.81499999999999995</v>
      </c>
      <c r="CL250" s="1">
        <v>0.64500000000000002</v>
      </c>
      <c r="CM250" s="1">
        <v>0.39500000000000002</v>
      </c>
      <c r="CN250" s="1">
        <v>0.36</v>
      </c>
      <c r="CO250" s="1">
        <v>0.245</v>
      </c>
      <c r="CP250" s="1">
        <v>0.14499999999999999</v>
      </c>
      <c r="CQ250" s="20">
        <v>6.5000000000000002E-2</v>
      </c>
    </row>
    <row r="251" spans="3:160" x14ac:dyDescent="0.4">
      <c r="C251" s="1" t="s">
        <v>51</v>
      </c>
      <c r="D251" s="1" t="s">
        <v>6</v>
      </c>
      <c r="E251" s="1">
        <v>0.20499999999999999</v>
      </c>
      <c r="F251" s="1">
        <v>9.7000000000000003E-2</v>
      </c>
      <c r="G251" s="1">
        <v>0.108</v>
      </c>
      <c r="H251" s="1">
        <v>2.5999999999999999E-2</v>
      </c>
      <c r="I251" s="1">
        <v>5947</v>
      </c>
      <c r="J251" s="1">
        <v>4677</v>
      </c>
      <c r="K251" s="1">
        <v>72</v>
      </c>
      <c r="L251" s="1">
        <v>6978</v>
      </c>
      <c r="M251" s="1">
        <v>6699</v>
      </c>
      <c r="N251" s="1">
        <v>76</v>
      </c>
      <c r="O251" s="1">
        <v>98</v>
      </c>
      <c r="P251" s="1">
        <v>91</v>
      </c>
      <c r="Q251" s="1">
        <v>98</v>
      </c>
      <c r="R251" s="1">
        <v>52</v>
      </c>
      <c r="S251" s="1">
        <v>98.5</v>
      </c>
      <c r="T251" s="4">
        <v>0</v>
      </c>
      <c r="U251" s="1">
        <v>1.6060000000000001</v>
      </c>
      <c r="V251" s="1">
        <v>0.08</v>
      </c>
      <c r="W251" s="1">
        <v>4.0199999999999996</v>
      </c>
      <c r="X251" s="1">
        <f t="shared" ref="X251" si="6053">H251</f>
        <v>2.5999999999999999E-2</v>
      </c>
      <c r="Y251" s="1">
        <f t="shared" ref="Y251" si="6054">H252</f>
        <v>6.4000000000000001E-2</v>
      </c>
      <c r="Z251" s="1">
        <f t="shared" ref="Z251" si="6055">H253</f>
        <v>2.7E-2</v>
      </c>
      <c r="AA251" s="1">
        <f t="shared" ref="AA251" si="6056">H254</f>
        <v>2.1999999999999999E-2</v>
      </c>
      <c r="AB251" s="1">
        <f t="shared" ref="AB251" si="6057">H255</f>
        <v>2.7E-2</v>
      </c>
      <c r="AC251" s="1">
        <f t="shared" si="4641"/>
        <v>3839.7991050694277</v>
      </c>
      <c r="CQ251" s="20"/>
    </row>
    <row r="252" spans="3:160" x14ac:dyDescent="0.4">
      <c r="C252" s="1" t="s">
        <v>51</v>
      </c>
      <c r="D252" s="1" t="s">
        <v>7</v>
      </c>
      <c r="E252" s="1">
        <v>0.252</v>
      </c>
      <c r="F252" s="1">
        <v>0.14299999999999999</v>
      </c>
      <c r="G252" s="1">
        <v>0.109</v>
      </c>
      <c r="H252" s="1">
        <v>6.4000000000000001E-2</v>
      </c>
      <c r="I252" s="1">
        <v>5947</v>
      </c>
      <c r="J252" s="1">
        <v>4677</v>
      </c>
      <c r="K252" s="1">
        <v>72</v>
      </c>
      <c r="L252" s="1">
        <v>6978</v>
      </c>
      <c r="M252" s="1">
        <v>6699</v>
      </c>
      <c r="N252" s="1">
        <v>76</v>
      </c>
      <c r="O252" s="1">
        <v>98</v>
      </c>
      <c r="P252" s="1">
        <v>91</v>
      </c>
      <c r="Q252" s="1">
        <v>98</v>
      </c>
      <c r="R252" s="1">
        <v>52</v>
      </c>
      <c r="S252" s="1">
        <v>98.5</v>
      </c>
      <c r="T252" s="4">
        <v>0</v>
      </c>
      <c r="U252" s="1">
        <v>1.6060000000000001</v>
      </c>
      <c r="V252" s="1">
        <v>0.08</v>
      </c>
      <c r="W252" s="1">
        <v>4.0199999999999996</v>
      </c>
      <c r="X252" s="1">
        <f t="shared" ref="X252" si="6058">H251</f>
        <v>2.5999999999999999E-2</v>
      </c>
      <c r="Y252" s="1">
        <f t="shared" ref="Y252" si="6059">H252</f>
        <v>6.4000000000000001E-2</v>
      </c>
      <c r="Z252" s="1">
        <f t="shared" ref="Z252" si="6060">H253</f>
        <v>2.7E-2</v>
      </c>
      <c r="AA252" s="1">
        <f t="shared" ref="AA252" si="6061">H254</f>
        <v>2.1999999999999999E-2</v>
      </c>
      <c r="AB252" s="1">
        <f t="shared" ref="AB252" si="6062">H255</f>
        <v>2.7E-2</v>
      </c>
      <c r="AC252" s="1">
        <f t="shared" si="4641"/>
        <v>3839.7991050694277</v>
      </c>
      <c r="AE252" s="1" t="s">
        <v>97</v>
      </c>
      <c r="AF252" s="1">
        <v>0</v>
      </c>
      <c r="AG252" s="1">
        <v>0.12</v>
      </c>
      <c r="AH252" s="1">
        <v>0.21</v>
      </c>
      <c r="AI252" s="1">
        <v>0.26</v>
      </c>
      <c r="AJ252" s="1">
        <v>0.28000000000000003</v>
      </c>
      <c r="AK252" s="1">
        <v>0.26</v>
      </c>
      <c r="AL252" s="1">
        <v>0.21</v>
      </c>
      <c r="AM252" s="20">
        <v>0.12</v>
      </c>
      <c r="AN252" s="1">
        <v>0</v>
      </c>
      <c r="AO252" s="1">
        <v>0.12</v>
      </c>
      <c r="AP252" s="1">
        <v>0.21</v>
      </c>
      <c r="AQ252" s="1">
        <v>0.26</v>
      </c>
      <c r="AR252" s="1">
        <v>0.28000000000000003</v>
      </c>
      <c r="AS252" s="1">
        <v>0.26</v>
      </c>
      <c r="AT252" s="1">
        <v>0.21</v>
      </c>
      <c r="AU252" s="20">
        <v>0.12</v>
      </c>
      <c r="AV252" s="1">
        <v>0</v>
      </c>
      <c r="AW252" s="1">
        <v>0.12</v>
      </c>
      <c r="AX252" s="1">
        <v>0.21</v>
      </c>
      <c r="AY252" s="1">
        <v>0.26</v>
      </c>
      <c r="AZ252" s="1">
        <v>0.28000000000000003</v>
      </c>
      <c r="BA252" s="1">
        <v>0.26</v>
      </c>
      <c r="BB252" s="1">
        <v>0.21</v>
      </c>
      <c r="BC252" s="20">
        <v>0.12</v>
      </c>
      <c r="BD252" s="1">
        <v>0</v>
      </c>
      <c r="BE252" s="1">
        <v>0.12</v>
      </c>
      <c r="BF252" s="1">
        <v>0.21</v>
      </c>
      <c r="BG252" s="1">
        <v>0.26</v>
      </c>
      <c r="BH252" s="1">
        <v>0.28000000000000003</v>
      </c>
      <c r="BI252" s="1">
        <v>0.26</v>
      </c>
      <c r="BJ252" s="1">
        <v>0.21</v>
      </c>
      <c r="BK252" s="20">
        <v>0.12</v>
      </c>
      <c r="BL252" s="1">
        <v>0</v>
      </c>
      <c r="BM252" s="1">
        <v>0.12</v>
      </c>
      <c r="BN252" s="1">
        <v>0.21</v>
      </c>
      <c r="BO252" s="1">
        <v>0.26</v>
      </c>
      <c r="BP252" s="1">
        <v>0.28000000000000003</v>
      </c>
      <c r="BQ252" s="1">
        <v>0.26</v>
      </c>
      <c r="BR252" s="1">
        <v>0.21</v>
      </c>
      <c r="BS252" s="20">
        <v>0.12</v>
      </c>
      <c r="BT252" s="1">
        <v>0</v>
      </c>
      <c r="BU252" s="1">
        <v>0.12</v>
      </c>
      <c r="BV252" s="1">
        <v>0.21</v>
      </c>
      <c r="BW252" s="1">
        <v>0.26</v>
      </c>
      <c r="BX252" s="1">
        <v>0.28000000000000003</v>
      </c>
      <c r="BY252" s="1">
        <v>0.26</v>
      </c>
      <c r="BZ252" s="1">
        <v>0.21</v>
      </c>
      <c r="CA252" s="20">
        <v>0.12</v>
      </c>
      <c r="CB252" s="1">
        <v>0</v>
      </c>
      <c r="CC252" s="1">
        <v>0.12</v>
      </c>
      <c r="CD252" s="1">
        <v>0.21</v>
      </c>
      <c r="CE252" s="1">
        <v>0.26</v>
      </c>
      <c r="CF252" s="1">
        <v>0.28000000000000003</v>
      </c>
      <c r="CG252" s="1">
        <v>0.26</v>
      </c>
      <c r="CH252" s="1">
        <v>0.21</v>
      </c>
      <c r="CI252" s="20">
        <v>0.12</v>
      </c>
      <c r="CJ252" s="1">
        <v>0</v>
      </c>
      <c r="CK252" s="1">
        <v>0.12</v>
      </c>
      <c r="CL252" s="1">
        <v>0.21</v>
      </c>
      <c r="CM252" s="1">
        <v>0.26</v>
      </c>
      <c r="CN252" s="1">
        <v>0.28000000000000003</v>
      </c>
      <c r="CO252" s="1">
        <v>0.26</v>
      </c>
      <c r="CP252" s="1">
        <v>0.21</v>
      </c>
      <c r="CQ252" s="20">
        <v>0.12</v>
      </c>
    </row>
    <row r="253" spans="3:160" x14ac:dyDescent="0.4">
      <c r="C253" s="1" t="s">
        <v>51</v>
      </c>
      <c r="D253" s="1" t="s">
        <v>8</v>
      </c>
      <c r="E253" s="1">
        <v>0.20499999999999999</v>
      </c>
      <c r="F253" s="1">
        <v>9.7000000000000003E-2</v>
      </c>
      <c r="G253" s="1">
        <v>0.108</v>
      </c>
      <c r="H253" s="1">
        <v>2.7E-2</v>
      </c>
      <c r="I253" s="1">
        <v>5947</v>
      </c>
      <c r="J253" s="1">
        <v>4677</v>
      </c>
      <c r="K253" s="1">
        <v>72</v>
      </c>
      <c r="L253" s="1">
        <v>6978</v>
      </c>
      <c r="M253" s="1">
        <v>6699</v>
      </c>
      <c r="N253" s="1">
        <v>76</v>
      </c>
      <c r="O253" s="1">
        <v>98</v>
      </c>
      <c r="P253" s="1">
        <v>91</v>
      </c>
      <c r="Q253" s="1">
        <v>98</v>
      </c>
      <c r="R253" s="1">
        <v>52</v>
      </c>
      <c r="S253" s="1">
        <v>98.5</v>
      </c>
      <c r="T253" s="4">
        <v>0</v>
      </c>
      <c r="U253" s="1">
        <v>1.6060000000000001</v>
      </c>
      <c r="V253" s="1">
        <v>0.08</v>
      </c>
      <c r="W253" s="1">
        <v>4.0199999999999996</v>
      </c>
      <c r="X253" s="1">
        <f t="shared" ref="X253" si="6063">H251</f>
        <v>2.5999999999999999E-2</v>
      </c>
      <c r="Y253" s="1">
        <f t="shared" ref="Y253" si="6064">H252</f>
        <v>6.4000000000000001E-2</v>
      </c>
      <c r="Z253" s="1">
        <f t="shared" ref="Z253" si="6065">H253</f>
        <v>2.7E-2</v>
      </c>
      <c r="AA253" s="1">
        <f t="shared" ref="AA253" si="6066">H254</f>
        <v>2.1999999999999999E-2</v>
      </c>
      <c r="AB253" s="1">
        <f t="shared" ref="AB253" si="6067">H255</f>
        <v>2.7E-2</v>
      </c>
      <c r="AC253" s="1">
        <f t="shared" si="4641"/>
        <v>3839.7991050694277</v>
      </c>
      <c r="CQ253" s="20"/>
    </row>
    <row r="254" spans="3:160" x14ac:dyDescent="0.4">
      <c r="C254" s="1" t="s">
        <v>51</v>
      </c>
      <c r="D254" s="1" t="s">
        <v>9</v>
      </c>
      <c r="E254" s="1">
        <v>0.2</v>
      </c>
      <c r="F254" s="1">
        <v>9.1999999999999998E-2</v>
      </c>
      <c r="G254" s="1">
        <v>0.108</v>
      </c>
      <c r="H254" s="1">
        <v>2.1999999999999999E-2</v>
      </c>
      <c r="I254" s="1">
        <v>5947</v>
      </c>
      <c r="J254" s="1">
        <v>4677</v>
      </c>
      <c r="K254" s="1">
        <v>72</v>
      </c>
      <c r="L254" s="1">
        <v>6978</v>
      </c>
      <c r="M254" s="1">
        <v>6699</v>
      </c>
      <c r="N254" s="1">
        <v>76</v>
      </c>
      <c r="O254" s="1">
        <v>98</v>
      </c>
      <c r="P254" s="1">
        <v>91</v>
      </c>
      <c r="Q254" s="1">
        <v>98</v>
      </c>
      <c r="R254" s="1">
        <v>52</v>
      </c>
      <c r="S254" s="1">
        <v>98.5</v>
      </c>
      <c r="T254" s="4">
        <v>0</v>
      </c>
      <c r="U254" s="1">
        <v>1.6060000000000001</v>
      </c>
      <c r="V254" s="1">
        <v>0.08</v>
      </c>
      <c r="W254" s="1">
        <v>4.0199999999999996</v>
      </c>
      <c r="X254" s="1">
        <f t="shared" ref="X254" si="6068">H251</f>
        <v>2.5999999999999999E-2</v>
      </c>
      <c r="Y254" s="1">
        <f t="shared" ref="Y254" si="6069">H252</f>
        <v>6.4000000000000001E-2</v>
      </c>
      <c r="Z254" s="1">
        <f t="shared" ref="Z254" si="6070">H253</f>
        <v>2.7E-2</v>
      </c>
      <c r="AA254" s="1">
        <f t="shared" ref="AA254" si="6071">H254</f>
        <v>2.1999999999999999E-2</v>
      </c>
      <c r="AB254" s="1">
        <f t="shared" ref="AB254" si="6072">H255</f>
        <v>2.7E-2</v>
      </c>
      <c r="AC254" s="1">
        <f t="shared" si="4641"/>
        <v>3839.7991050694277</v>
      </c>
      <c r="AE254" s="1" t="s">
        <v>98</v>
      </c>
      <c r="AF254" s="1">
        <v>0</v>
      </c>
      <c r="AG254" s="1">
        <v>6.5000000000000002E-2</v>
      </c>
      <c r="AH254" s="1">
        <v>0.14499999999999999</v>
      </c>
      <c r="AI254" s="1">
        <v>0.245</v>
      </c>
      <c r="AJ254" s="1">
        <v>0.36</v>
      </c>
      <c r="AK254" s="1">
        <v>0.39500000000000002</v>
      </c>
      <c r="AL254" s="1">
        <v>0.64500000000000002</v>
      </c>
      <c r="AM254" s="20">
        <v>0.81499999999999995</v>
      </c>
      <c r="AN254" s="1">
        <v>0</v>
      </c>
      <c r="AO254" s="1">
        <v>6.5000000000000002E-2</v>
      </c>
      <c r="AP254" s="1">
        <v>0.14499999999999999</v>
      </c>
      <c r="AQ254" s="1">
        <v>0.245</v>
      </c>
      <c r="AR254" s="1">
        <v>0.36</v>
      </c>
      <c r="AS254" s="1">
        <v>0.39500000000000002</v>
      </c>
      <c r="AT254" s="1">
        <v>0.64500000000000002</v>
      </c>
      <c r="AU254" s="20">
        <v>0.81499999999999995</v>
      </c>
      <c r="AV254" s="1">
        <v>0</v>
      </c>
      <c r="AW254" s="1">
        <v>6.5000000000000002E-2</v>
      </c>
      <c r="AX254" s="1">
        <v>0.14499999999999999</v>
      </c>
      <c r="AY254" s="1">
        <v>0.245</v>
      </c>
      <c r="AZ254" s="1">
        <v>0.36</v>
      </c>
      <c r="BA254" s="1">
        <v>0.39500000000000002</v>
      </c>
      <c r="BB254" s="1">
        <v>0.64500000000000002</v>
      </c>
      <c r="BC254" s="20">
        <v>0.81499999999999995</v>
      </c>
      <c r="BD254" s="1">
        <v>0</v>
      </c>
      <c r="BE254" s="1">
        <v>6.5000000000000002E-2</v>
      </c>
      <c r="BF254" s="1">
        <v>0.14499999999999999</v>
      </c>
      <c r="BG254" s="1">
        <v>0.245</v>
      </c>
      <c r="BH254" s="1">
        <v>0.36</v>
      </c>
      <c r="BI254" s="1">
        <v>0.39500000000000002</v>
      </c>
      <c r="BJ254" s="1">
        <v>0.64500000000000002</v>
      </c>
      <c r="BK254" s="20">
        <v>0.81499999999999995</v>
      </c>
      <c r="BL254" s="1">
        <v>0</v>
      </c>
      <c r="BM254" s="1">
        <v>6.5000000000000002E-2</v>
      </c>
      <c r="BN254" s="1">
        <v>0.14499999999999999</v>
      </c>
      <c r="BO254" s="1">
        <v>0.245</v>
      </c>
      <c r="BP254" s="1">
        <v>0.36</v>
      </c>
      <c r="BQ254" s="1">
        <v>0.39500000000000002</v>
      </c>
      <c r="BR254" s="1">
        <v>0.64500000000000002</v>
      </c>
      <c r="BS254" s="20">
        <v>0.81499999999999995</v>
      </c>
      <c r="BT254" s="1">
        <v>0</v>
      </c>
      <c r="BU254" s="1">
        <v>6.5000000000000002E-2</v>
      </c>
      <c r="BV254" s="1">
        <v>0.14499999999999999</v>
      </c>
      <c r="BW254" s="1">
        <v>0.245</v>
      </c>
      <c r="BX254" s="1">
        <v>0.36</v>
      </c>
      <c r="BY254" s="1">
        <v>0.39500000000000002</v>
      </c>
      <c r="BZ254" s="1">
        <v>0.64500000000000002</v>
      </c>
      <c r="CA254" s="20">
        <v>0.81499999999999995</v>
      </c>
      <c r="CB254" s="1">
        <v>0</v>
      </c>
      <c r="CC254" s="1">
        <v>6.5000000000000002E-2</v>
      </c>
      <c r="CD254" s="1">
        <v>0.14499999999999999</v>
      </c>
      <c r="CE254" s="1">
        <v>0.245</v>
      </c>
      <c r="CF254" s="1">
        <v>0.36</v>
      </c>
      <c r="CG254" s="1">
        <v>0.39500000000000002</v>
      </c>
      <c r="CH254" s="1">
        <v>0.64500000000000002</v>
      </c>
      <c r="CI254" s="20">
        <v>0.81499999999999995</v>
      </c>
      <c r="CJ254" s="1">
        <v>0</v>
      </c>
      <c r="CK254" s="1">
        <v>6.5000000000000002E-2</v>
      </c>
      <c r="CL254" s="1">
        <v>0.14499999999999999</v>
      </c>
      <c r="CM254" s="1">
        <v>0.245</v>
      </c>
      <c r="CN254" s="1">
        <v>0.36</v>
      </c>
      <c r="CO254" s="1">
        <v>0.39500000000000002</v>
      </c>
      <c r="CP254" s="1">
        <v>0.64500000000000002</v>
      </c>
      <c r="CQ254" s="20">
        <v>0.81499999999999995</v>
      </c>
    </row>
    <row r="255" spans="3:160" s="2" customFormat="1" x14ac:dyDescent="0.4">
      <c r="C255" s="2" t="s">
        <v>51</v>
      </c>
      <c r="D255" s="2" t="s">
        <v>10</v>
      </c>
      <c r="E255" s="2">
        <v>0.20499999999999999</v>
      </c>
      <c r="F255" s="2">
        <v>9.7000000000000003E-2</v>
      </c>
      <c r="G255" s="2">
        <v>0.108</v>
      </c>
      <c r="H255" s="2">
        <v>2.7E-2</v>
      </c>
      <c r="I255" s="2">
        <v>5947</v>
      </c>
      <c r="J255" s="2">
        <v>4677</v>
      </c>
      <c r="K255" s="2">
        <v>72</v>
      </c>
      <c r="L255" s="2">
        <v>6978</v>
      </c>
      <c r="M255" s="2">
        <v>6699</v>
      </c>
      <c r="N255" s="2">
        <v>76</v>
      </c>
      <c r="O255" s="2">
        <v>98</v>
      </c>
      <c r="P255" s="2">
        <v>91</v>
      </c>
      <c r="Q255" s="2">
        <v>98</v>
      </c>
      <c r="R255" s="2">
        <v>52</v>
      </c>
      <c r="S255" s="2">
        <v>98.5</v>
      </c>
      <c r="T255" s="6">
        <f t="shared" ref="T255" si="6073">(N250*O250*P250*Q250*R250*S250)/(I250*J250*K250*(F250*H250 + F251*H251 + F252*H252 + F253*H253 + F254*H254 + F255*H255))</f>
        <v>5741.9929160205575</v>
      </c>
      <c r="U255" s="2">
        <v>1.6060000000000001</v>
      </c>
      <c r="V255" s="2">
        <v>0.08</v>
      </c>
      <c r="W255" s="2">
        <v>4.0199999999999996</v>
      </c>
      <c r="X255" s="2">
        <f t="shared" ref="X255" si="6074">H251</f>
        <v>2.5999999999999999E-2</v>
      </c>
      <c r="Y255" s="2">
        <f t="shared" ref="Y255" si="6075">H252</f>
        <v>6.4000000000000001E-2</v>
      </c>
      <c r="Z255" s="2">
        <f t="shared" ref="Z255" si="6076">H253</f>
        <v>2.7E-2</v>
      </c>
      <c r="AA255" s="2">
        <f t="shared" ref="AA255" si="6077">H254</f>
        <v>2.1999999999999999E-2</v>
      </c>
      <c r="AB255" s="2">
        <f t="shared" ref="AB255" si="6078">H255</f>
        <v>2.7E-2</v>
      </c>
      <c r="AC255" s="1">
        <f t="shared" si="4641"/>
        <v>3839.7991050694277</v>
      </c>
      <c r="AE255" s="2" t="s">
        <v>99</v>
      </c>
      <c r="AF255" s="23">
        <f>($O255*$Q255*$S255)^(1/3)/(AF250*((1-AF$2)*$H250+AF$2*$H251) + AF252*((1-AF$2)*$H252+AF$2*$H253) + AF254*((1-AF$2)*$H254+AF$2*$H255))</f>
        <v>1382.6251270514431</v>
      </c>
      <c r="AG255" s="23">
        <f t="shared" ref="AG255" si="6079">($O255*$Q255*$S255)^(1/3)/(AG250*((1-AG$2)*$H250+AG$2*$H251) + AG252*((1-AG$2)*$H252+AG$2*$H253) + AG254*((1-AG$2)*$H254+AG$2*$H255))</f>
        <v>1465.7168200172075</v>
      </c>
      <c r="AH255" s="23">
        <f t="shared" ref="AH255" si="6080">($O255*$Q255*$S255)^(1/3)/(AH250*((1-AH$2)*$H250+AH$2*$H251) + AH252*((1-AH$2)*$H252+AH$2*$H253) + AH254*((1-AH$2)*$H254+AH$2*$H255))</f>
        <v>1572.5492033744888</v>
      </c>
      <c r="AI255" s="23">
        <f t="shared" ref="AI255" si="6081">($O255*$Q255*$S255)^(1/3)/(AI250*((1-AI$2)*$H250+AI$2*$H251) + AI252*((1-AI$2)*$H252+AI$2*$H253) + AI254*((1-AI$2)*$H254+AI$2*$H255))</f>
        <v>1960.387099763404</v>
      </c>
      <c r="AJ255" s="23">
        <f t="shared" ref="AJ255" si="6082">($O255*$Q255*$S255)^(1/3)/(AJ250*((1-AJ$2)*$H250+AJ$2*$H251) + AJ252*((1-AJ$2)*$H252+AJ$2*$H253) + AJ254*((1-AJ$2)*$H254+AJ$2*$H255))</f>
        <v>1909.8518291955731</v>
      </c>
      <c r="AK255" s="23">
        <f t="shared" ref="AK255" si="6083">($O255*$Q255*$S255)^(1/3)/(AK250*((1-AK$2)*$H250+AK$2*$H251) + AK252*((1-AK$2)*$H252+AK$2*$H253) + AK254*((1-AK$2)*$H254+AK$2*$H255))</f>
        <v>2297.6333299157977</v>
      </c>
      <c r="AL255" s="23">
        <f t="shared" ref="AL255" si="6084">($O255*$Q255*$S255)^(1/3)/(AL250*((1-AL$2)*$H250+AL$2*$H251) + AL252*((1-AL$2)*$H252+AL$2*$H253) + AL254*((1-AL$2)*$H254+AL$2*$H255))</f>
        <v>2588.4346478748175</v>
      </c>
      <c r="AM255" s="23">
        <f t="shared" ref="AM255" si="6085">($O255*$Q255*$S255)^(1/3)/(AM250*((1-AM$2)*$H250+AM$2*$H251) + AM252*((1-AM$2)*$H252+AM$2*$H253) + AM254*((1-AM$2)*$H254+AM$2*$H255))</f>
        <v>3247.8538964649283</v>
      </c>
      <c r="AN255" s="23">
        <f t="shared" ref="AN255" si="6086">($O255*$Q255*$S255)^(1/3)/(AN250*((1-AN$2)*$H250+AN$2*$H251) + AN252*((1-AN$2)*$H252+AN$2*$H253) + AN254*((1-AN$2)*$H254+AN$2*$H255))</f>
        <v>1501.589048117055</v>
      </c>
      <c r="AO255" s="23">
        <f t="shared" ref="AO255" si="6087">($O255*$Q255*$S255)^(1/3)/(AO250*((1-AO$2)*$H250+AO$2*$H251) + AO252*((1-AO$2)*$H252+AO$2*$H253) + AO254*((1-AO$2)*$H254+AO$2*$H255))</f>
        <v>1586.4953681041188</v>
      </c>
      <c r="AP255" s="23">
        <f t="shared" ref="AP255" si="6088">($O255*$Q255*$S255)^(1/3)/(AP250*((1-AP$2)*$H250+AP$2*$H251) + AP252*((1-AP$2)*$H252+AP$2*$H253) + AP254*((1-AP$2)*$H254+AP$2*$H255))</f>
        <v>1694.9713425964642</v>
      </c>
      <c r="AQ255" s="23">
        <f t="shared" ref="AQ255" si="6089">($O255*$Q255*$S255)^(1/3)/(AQ250*((1-AQ$2)*$H250+AQ$2*$H251) + AQ252*((1-AQ$2)*$H252+AQ$2*$H253) + AQ254*((1-AQ$2)*$H254+AQ$2*$H255))</f>
        <v>2097.4042468958678</v>
      </c>
      <c r="AR255" s="23">
        <f t="shared" ref="AR255" si="6090">($O255*$Q255*$S255)^(1/3)/(AR250*((1-AR$2)*$H250+AR$2*$H251) + AR252*((1-AR$2)*$H252+AR$2*$H253) + AR254*((1-AR$2)*$H254+AR$2*$H255))</f>
        <v>2032.2199362519916</v>
      </c>
      <c r="AS255" s="23">
        <f t="shared" ref="AS255" si="6091">($O255*$Q255*$S255)^(1/3)/(AS250*((1-AS$2)*$H250+AS$2*$H251) + AS252*((1-AS$2)*$H252+AS$2*$H253) + AS254*((1-AS$2)*$H254+AS$2*$H255))</f>
        <v>2430.3873740142344</v>
      </c>
      <c r="AT255" s="23">
        <f t="shared" ref="AT255" si="6092">($O255*$Q255*$S255)^(1/3)/(AT250*((1-AT$2)*$H250+AT$2*$H251) + AT252*((1-AT$2)*$H252+AT$2*$H253) + AT254*((1-AT$2)*$H254+AT$2*$H255))</f>
        <v>2686.4539122403439</v>
      </c>
      <c r="AU255" s="23">
        <f t="shared" ref="AU255" si="6093">($O255*$Q255*$S255)^(1/3)/(AU250*((1-AU$2)*$H250+AU$2*$H251) + AU252*((1-AU$2)*$H252+AU$2*$H253) + AU254*((1-AU$2)*$H254+AU$2*$H255))</f>
        <v>3292.6546986089461</v>
      </c>
      <c r="AV255" s="23">
        <f t="shared" ref="AV255" si="6094">($O255*$Q255*$S255)^(1/3)/(AV250*((1-AV$2)*$H250+AV$2*$H251) + AV252*((1-AV$2)*$H252+AV$2*$H253) + AV254*((1-AV$2)*$H254+AV$2*$H255))</f>
        <v>1642.9520338184514</v>
      </c>
      <c r="AW255" s="23">
        <f t="shared" ref="AW255" si="6095">($O255*$Q255*$S255)^(1/3)/(AW250*((1-AW$2)*$H250+AW$2*$H251) + AW252*((1-AW$2)*$H252+AW$2*$H253) + AW254*((1-AW$2)*$H254+AW$2*$H255))</f>
        <v>1728.9662986333051</v>
      </c>
      <c r="AX255" s="23">
        <f t="shared" ref="AX255" si="6096">($O255*$Q255*$S255)^(1/3)/(AX250*((1-AX$2)*$H250+AX$2*$H251) + AX252*((1-AX$2)*$H252+AX$2*$H253) + AX254*((1-AX$2)*$H254+AX$2*$H255))</f>
        <v>1838.0636431335013</v>
      </c>
      <c r="AY255" s="23">
        <f t="shared" ref="AY255" si="6097">($O255*$Q255*$S255)^(1/3)/(AY250*((1-AY$2)*$H250+AY$2*$H251) + AY252*((1-AY$2)*$H252+AY$2*$H253) + AY254*((1-AY$2)*$H254+AY$2*$H255))</f>
        <v>2255.013702880663</v>
      </c>
      <c r="AZ255" s="23">
        <f t="shared" ref="AZ255" si="6098">($O255*$Q255*$S255)^(1/3)/(AZ250*((1-AZ$2)*$H250+AZ$2*$H251) + AZ252*((1-AZ$2)*$H252+AZ$2*$H253) + AZ254*((1-AZ$2)*$H254+AZ$2*$H255))</f>
        <v>2171.3422698662343</v>
      </c>
      <c r="BA255" s="23">
        <f t="shared" ref="BA255" si="6099">($O255*$Q255*$S255)^(1/3)/(BA250*((1-BA$2)*$H250+BA$2*$H251) + BA252*((1-BA$2)*$H252+BA$2*$H253) + BA254*((1-BA$2)*$H254+BA$2*$H255))</f>
        <v>2579.4228212744524</v>
      </c>
      <c r="BB255" s="23">
        <f t="shared" ref="BB255" si="6100">($O255*$Q255*$S255)^(1/3)/(BB250*((1-BB$2)*$H250+BB$2*$H251) + BB252*((1-BB$2)*$H252+BB$2*$H253) + BB254*((1-BB$2)*$H254+BB$2*$H255))</f>
        <v>2792.1889787570917</v>
      </c>
      <c r="BC255" s="23">
        <f t="shared" ref="BC255" si="6101">($O255*$Q255*$S255)^(1/3)/(BC250*((1-BC$2)*$H250+BC$2*$H251) + BC252*((1-BC$2)*$H252+BC$2*$H253) + BC254*((1-BC$2)*$H254+BC$2*$H255))</f>
        <v>3338.7087499584209</v>
      </c>
      <c r="BD255" s="23">
        <f t="shared" ref="BD255" si="6102">($O255*$Q255*$S255)^(1/3)/(BD250*((1-BD$2)*$H250+BD$2*$H251) + BD252*((1-BD$2)*$H252+BD$2*$H253) + BD254*((1-BD$2)*$H254+BD$2*$H255))</f>
        <v>1813.6976262476205</v>
      </c>
      <c r="BE255" s="23">
        <f t="shared" ref="BE255" si="6103">($O255*$Q255*$S255)^(1/3)/(BE250*((1-BE$2)*$H250+BE$2*$H251) + BE252*((1-BE$2)*$H252+BE$2*$H253) + BE254*((1-BE$2)*$H254+BE$2*$H255))</f>
        <v>1899.5502797697791</v>
      </c>
      <c r="BF255" s="23">
        <f t="shared" ref="BF255" si="6104">($O255*$Q255*$S255)^(1/3)/(BF250*((1-BF$2)*$H250+BF$2*$H251) + BF252*((1-BF$2)*$H252+BF$2*$H253) + BF254*((1-BF$2)*$H254+BF$2*$H255))</f>
        <v>2007.5438333424156</v>
      </c>
      <c r="BG255" s="23">
        <f t="shared" ref="BG255" si="6105">($O255*$Q255*$S255)^(1/3)/(BG250*((1-BG$2)*$H250+BG$2*$H251) + BG252*((1-BG$2)*$H252+BG$2*$H253) + BG254*((1-BG$2)*$H254+BG$2*$H255))</f>
        <v>2438.2348789630837</v>
      </c>
      <c r="BH255" s="23">
        <f t="shared" ref="BH255" si="6106">($O255*$Q255*$S255)^(1/3)/(BH250*((1-BH$2)*$H250+BH$2*$H251) + BH252*((1-BH$2)*$H252+BH$2*$H253) + BH254*((1-BH$2)*$H254+BH$2*$H255))</f>
        <v>2330.9125969524507</v>
      </c>
      <c r="BI255" s="23">
        <f t="shared" ref="BI255" si="6107">($O255*$Q255*$S255)^(1/3)/(BI250*((1-BI$2)*$H250+BI$2*$H251) + BI252*((1-BI$2)*$H252+BI$2*$H253) + BI254*((1-BI$2)*$H254+BI$2*$H255))</f>
        <v>2747.9305509822589</v>
      </c>
      <c r="BJ255" s="23">
        <f t="shared" ref="BJ255" si="6108">($O255*$Q255*$S255)^(1/3)/(BJ250*((1-BJ$2)*$H250+BJ$2*$H251) + BJ252*((1-BJ$2)*$H252+BJ$2*$H253) + BJ254*((1-BJ$2)*$H254+BJ$2*$H255))</f>
        <v>2906.5882237137557</v>
      </c>
      <c r="BK255" s="23">
        <f t="shared" ref="BK255" si="6109">($O255*$Q255*$S255)^(1/3)/(BK250*((1-BK$2)*$H250+BK$2*$H251) + BK252*((1-BK$2)*$H252+BK$2*$H253) + BK254*((1-BK$2)*$H254+BK$2*$H255))</f>
        <v>3386.069383715861</v>
      </c>
      <c r="BL255" s="23">
        <f t="shared" ref="BL255" si="6110">($O255*$Q255*$S255)^(1/3)/(BL250*((1-BL$2)*$H250+BL$2*$H251) + BL252*((1-BL$2)*$H252+BL$2*$H253) + BL254*((1-BL$2)*$H254+BL$2*$H255))</f>
        <v>2024.0491550649995</v>
      </c>
      <c r="BM255" s="23">
        <f t="shared" ref="BM255" si="6111">($O255*$Q255*$S255)^(1/3)/(BM250*((1-BM$2)*$H250+BM$2*$H251) + BM252*((1-BM$2)*$H252+BM$2*$H253) + BM254*((1-BM$2)*$H254+BM$2*$H255))</f>
        <v>2107.4792619289924</v>
      </c>
      <c r="BN255" s="23">
        <f t="shared" ref="BN255" si="6112">($O255*$Q255*$S255)^(1/3)/(BN250*((1-BN$2)*$H250+BN$2*$H251) + BN252*((1-BN$2)*$H252+BN$2*$H253) + BN254*((1-BN$2)*$H254+BN$2*$H255))</f>
        <v>2211.4526699854123</v>
      </c>
      <c r="BO255" s="23">
        <f t="shared" ref="BO255" si="6113">($O255*$Q255*$S255)^(1/3)/(BO250*((1-BO$2)*$H250+BO$2*$H251) + BO252*((1-BO$2)*$H252+BO$2*$H253) + BO254*((1-BO$2)*$H254+BO$2*$H255))</f>
        <v>2653.8627742809535</v>
      </c>
      <c r="BP255" s="23">
        <f t="shared" ref="BP255" si="6114">($O255*$Q255*$S255)^(1/3)/(BP250*((1-BP$2)*$H250+BP$2*$H251) + BP252*((1-BP$2)*$H252+BP$2*$H253) + BP254*((1-BP$2)*$H254+BP$2*$H255))</f>
        <v>2515.7966176487048</v>
      </c>
      <c r="BQ255" s="23">
        <f t="shared" ref="BQ255" si="6115">($O255*$Q255*$S255)^(1/3)/(BQ250*((1-BQ$2)*$H250+BQ$2*$H251) + BQ252*((1-BQ$2)*$H252+BQ$2*$H253) + BQ254*((1-BQ$2)*$H254+BQ$2*$H255))</f>
        <v>2939.9935316158271</v>
      </c>
      <c r="BR255" s="23">
        <f t="shared" ref="BR255" si="6116">($O255*$Q255*$S255)^(1/3)/(BR250*((1-BR$2)*$H250+BR$2*$H251) + BR252*((1-BR$2)*$H252+BR$2*$H253) + BR254*((1-BR$2)*$H254+BR$2*$H255))</f>
        <v>3030.762087701527</v>
      </c>
      <c r="BS255" s="23">
        <f t="shared" ref="BS255" si="6117">($O255*$Q255*$S255)^(1/3)/(BS250*((1-BS$2)*$H250+BS$2*$H251) + BS252*((1-BS$2)*$H252+BS$2*$H253) + BS254*((1-BS$2)*$H254+BS$2*$H255))</f>
        <v>3434.7930028219898</v>
      </c>
      <c r="BT255" s="23">
        <f t="shared" ref="BT255" si="6118">($O255*$Q255*$S255)^(1/3)/(BT250*((1-BT$2)*$H250+BT$2*$H251) + BT252*((1-BT$2)*$H252+BT$2*$H253) + BT254*((1-BT$2)*$H254+BT$2*$H255))</f>
        <v>2289.5949625808157</v>
      </c>
      <c r="BU255" s="23">
        <f t="shared" ref="BU255" si="6119">($O255*$Q255*$S255)^(1/3)/(BU250*((1-BU$2)*$H250+BU$2*$H251) + BU252*((1-BU$2)*$H252+BU$2*$H253) + BU254*((1-BU$2)*$H254+BU$2*$H255))</f>
        <v>2366.5242494055142</v>
      </c>
      <c r="BV255" s="23">
        <f t="shared" ref="BV255" si="6120">($O255*$Q255*$S255)^(1/3)/(BV250*((1-BV$2)*$H250+BV$2*$H251) + BV252*((1-BV$2)*$H252+BV$2*$H253) + BV254*((1-BV$2)*$H254+BV$2*$H255))</f>
        <v>2461.4670809127715</v>
      </c>
      <c r="BW255" s="23">
        <f t="shared" ref="BW255" si="6121">($O255*$Q255*$S255)^(1/3)/(BW250*((1-BW$2)*$H250+BW$2*$H251) + BW252*((1-BW$2)*$H252+BW$2*$H253) + BW254*((1-BW$2)*$H254+BW$2*$H255))</f>
        <v>2911.3292758673574</v>
      </c>
      <c r="BX255" s="23">
        <f t="shared" ref="BX255" si="6122">($O255*$Q255*$S255)^(1/3)/(BX250*((1-BX$2)*$H250+BX$2*$H251) + BX252*((1-BX$2)*$H252+BX$2*$H253) + BX254*((1-BX$2)*$H254+BX$2*$H255))</f>
        <v>2732.536785543562</v>
      </c>
      <c r="BY255" s="23">
        <f t="shared" ref="BY255" si="6123">($O255*$Q255*$S255)^(1/3)/(BY250*((1-BY$2)*$H250+BY$2*$H251) + BY252*((1-BY$2)*$H252+BY$2*$H253) + BY254*((1-BY$2)*$H254+BY$2*$H255))</f>
        <v>3160.9220050924519</v>
      </c>
      <c r="BZ255" s="23">
        <f t="shared" ref="BZ255" si="6124">($O255*$Q255*$S255)^(1/3)/(BZ250*((1-BZ$2)*$H250+BZ$2*$H251) + BZ252*((1-BZ$2)*$H252+BZ$2*$H253) + BZ254*((1-BZ$2)*$H254+BZ$2*$H255))</f>
        <v>3166.0192387229176</v>
      </c>
      <c r="CA255" s="23">
        <f t="shared" ref="CA255" si="6125">($O255*$Q255*$S255)^(1/3)/(CA250*((1-CA$2)*$H250+CA$2*$H251) + CA252*((1-CA$2)*$H252+CA$2*$H253) + CA254*((1-CA$2)*$H254+CA$2*$H255))</f>
        <v>3484.9393040391378</v>
      </c>
      <c r="CB255" s="23">
        <f t="shared" ref="CB255" si="6126">($O255*$Q255*$S255)^(1/3)/(CB250*((1-CB$2)*$H250+CB$2*$H251) + CB252*((1-CB$2)*$H252+CB$2*$H253) + CB254*((1-CB$2)*$H254+CB$2*$H255))</f>
        <v>2635.3391683396635</v>
      </c>
      <c r="CC255" s="23">
        <f t="shared" ref="CC255" si="6127">($O255*$Q255*$S255)^(1/3)/(CC250*((1-CC$2)*$H250+CC$2*$H251) + CC252*((1-CC$2)*$H252+CC$2*$H253) + CC254*((1-CC$2)*$H254+CC$2*$H255))</f>
        <v>2698.1758818292437</v>
      </c>
      <c r="CD255" s="23">
        <f t="shared" ref="CD255" si="6128">($O255*$Q255*$S255)^(1/3)/(CD250*((1-CD$2)*$H250+CD$2*$H251) + CD252*((1-CD$2)*$H252+CD$2*$H253) + CD254*((1-CD$2)*$H254+CD$2*$H255))</f>
        <v>2775.217584865431</v>
      </c>
      <c r="CE255" s="23">
        <f t="shared" ref="CE255" si="6129">($O255*$Q255*$S255)^(1/3)/(CE250*((1-CE$2)*$H250+CE$2*$H251) + CE252*((1-CE$2)*$H252+CE$2*$H253) + CE254*((1-CE$2)*$H254+CE$2*$H255))</f>
        <v>3224.1196820971327</v>
      </c>
      <c r="CF255" s="23">
        <f t="shared" ref="CF255" si="6130">($O255*$Q255*$S255)^(1/3)/(CF250*((1-CF$2)*$H250+CF$2*$H251) + CF252*((1-CF$2)*$H252+CF$2*$H253) + CF254*((1-CF$2)*$H254+CF$2*$H255))</f>
        <v>2990.1426750122591</v>
      </c>
      <c r="CG255" s="23">
        <f t="shared" ref="CG255" si="6131">($O255*$Q255*$S255)^(1/3)/(CG250*((1-CG$2)*$H250+CG$2*$H251) + CG252*((1-CG$2)*$H252+CG$2*$H253) + CG254*((1-CG$2)*$H254+CG$2*$H255))</f>
        <v>3417.7520766177199</v>
      </c>
      <c r="CH255" s="23">
        <f t="shared" ref="CH255" si="6132">($O255*$Q255*$S255)^(1/3)/(CH250*((1-CH$2)*$H250+CH$2*$H251) + CH252*((1-CH$2)*$H252+CH$2*$H253) + CH254*((1-CH$2)*$H254+CH$2*$H255))</f>
        <v>3313.9128709816</v>
      </c>
      <c r="CI255" s="23">
        <f t="shared" ref="CI255" si="6133">($O255*$Q255*$S255)^(1/3)/(CI250*((1-CI$2)*$H250+CI$2*$H251) + CI252*((1-CI$2)*$H252+CI$2*$H253) + CI254*((1-CI$2)*$H254+CI$2*$H255))</f>
        <v>3536.571521954515</v>
      </c>
      <c r="CJ255" s="23">
        <f t="shared" ref="CJ255" si="6134">($O255*$Q255*$S255)^(1/3)/(CJ250*((1-CJ$2)*$H250+CJ$2*$H251) + CJ252*((1-CJ$2)*$H252+CJ$2*$H253) + CJ254*((1-CJ$2)*$H254+CJ$2*$H255))</f>
        <v>3104.0753840522516</v>
      </c>
      <c r="CK255" s="23">
        <f t="shared" ref="CK255" si="6135">($O255*$Q255*$S255)^(1/3)/(CK250*((1-CK$2)*$H250+CK$2*$H251) + CK252*((1-CK$2)*$H252+CK$2*$H253) + CK254*((1-CK$2)*$H254+CK$2*$H255))</f>
        <v>3137.9353185168807</v>
      </c>
      <c r="CL255" s="23">
        <f t="shared" ref="CL255" si="6136">($O255*$Q255*$S255)^(1/3)/(CL250*((1-CL$2)*$H250+CL$2*$H251) + CL252*((1-CL$2)*$H252+CL$2*$H253) + CL254*((1-CL$2)*$H254+CL$2*$H255))</f>
        <v>3180.6369615050821</v>
      </c>
      <c r="CM255" s="23">
        <f t="shared" ref="CM255" si="6137">($O255*$Q255*$S255)^(1/3)/(CM250*((1-CM$2)*$H250+CM$2*$H251) + CM252*((1-CM$2)*$H252+CM$2*$H253) + CM254*((1-CM$2)*$H254+CM$2*$H255))</f>
        <v>3612.2122817037839</v>
      </c>
      <c r="CN255" s="23">
        <f t="shared" ref="CN255" si="6138">($O255*$Q255*$S255)^(1/3)/(CN250*((1-CN$2)*$H250+CN$2*$H251) + CN252*((1-CN$2)*$H252+CN$2*$H253) + CN254*((1-CN$2)*$H254+CN$2*$H255))</f>
        <v>3301.3749460451472</v>
      </c>
      <c r="CO255" s="23">
        <f t="shared" ref="CO255" si="6139">($O255*$Q255*$S255)^(1/3)/(CO250*((1-CO$2)*$H250+CO$2*$H251) + CO252*((1-CO$2)*$H252+CO$2*$H253) + CO254*((1-CO$2)*$H254+CO$2*$H255))</f>
        <v>3720.0088681977149</v>
      </c>
      <c r="CP255" s="23">
        <f t="shared" ref="CP255" si="6140">($O255*$Q255*$S255)^(1/3)/(CP250*((1-CP$2)*$H250+CP$2*$H251) + CP252*((1-CP$2)*$H252+CP$2*$H253) + CP254*((1-CP$2)*$H254+CP$2*$H255))</f>
        <v>3476.3006160206264</v>
      </c>
      <c r="CQ255" s="23">
        <f t="shared" ref="CQ255" si="6141">($O255*$Q255*$S255)^(1/3)/(CQ250*((1-CQ$2)*$H250+CQ$2*$H251) + CQ252*((1-CQ$2)*$H252+CQ$2*$H253) + CQ254*((1-CQ$2)*$H254+CQ$2*$H255))</f>
        <v>3589.7566950003188</v>
      </c>
      <c r="CS255" s="2">
        <f t="shared" ref="CS255" si="6142">100*$AF255/AF255</f>
        <v>99.999999999999986</v>
      </c>
      <c r="CT255" s="2">
        <f t="shared" ref="CT255" si="6143">100*$AF255/AG255</f>
        <v>94.330985915492931</v>
      </c>
      <c r="CU255" s="2">
        <f t="shared" ref="CU255" si="6144">100*$AF255/AH255</f>
        <v>87.922535211267601</v>
      </c>
      <c r="CV255" s="2">
        <f t="shared" ref="CV255" si="6145">100*$AF255/AI255</f>
        <v>70.528169014084511</v>
      </c>
      <c r="CW255" s="2">
        <f t="shared" ref="CW255" si="6146">100*$AF255/AJ255</f>
        <v>72.394366197183089</v>
      </c>
      <c r="CX255" s="2">
        <f t="shared" ref="CX255" si="6147">100*$AF255/AK255</f>
        <v>60.176056338028168</v>
      </c>
      <c r="CY255" s="2">
        <f t="shared" ref="CY255" si="6148">100*$AF255/AL255</f>
        <v>53.41549295774648</v>
      </c>
      <c r="CZ255" s="2">
        <f t="shared" ref="CZ255" si="6149">100*$AF255/AM255</f>
        <v>42.570422535211264</v>
      </c>
      <c r="DA255" s="2">
        <f t="shared" ref="DA255" si="6150">100*$AF255/AN255</f>
        <v>92.077464788732385</v>
      </c>
      <c r="DB255" s="2">
        <f t="shared" ref="DB255" si="6151">100*$AF255/AO255</f>
        <v>87.149647887323923</v>
      </c>
      <c r="DC255" s="2">
        <f t="shared" ref="DC255" si="6152">100*$AF255/AP255</f>
        <v>81.572183098591537</v>
      </c>
      <c r="DD255" s="2">
        <f t="shared" ref="DD255" si="6153">100*$AF255/AQ255</f>
        <v>65.920774647887313</v>
      </c>
      <c r="DE255" s="2">
        <f t="shared" ref="DE255" si="6154">100*$AF255/AR255</f>
        <v>68.035211267605632</v>
      </c>
      <c r="DF255" s="2">
        <f t="shared" ref="DF255" si="6155">100*$AF255/AS255</f>
        <v>56.889084507042256</v>
      </c>
      <c r="DG255" s="2">
        <f t="shared" ref="DG255" si="6156">100*$AF255/AT255</f>
        <v>51.466549295774641</v>
      </c>
      <c r="DH255" s="2">
        <f t="shared" ref="DH255" si="6157">100*$AF255/AU255</f>
        <v>41.991197183098585</v>
      </c>
      <c r="DI255" s="2">
        <f t="shared" ref="DI255" si="6158">100*$AF255/AV255</f>
        <v>84.15492957746477</v>
      </c>
      <c r="DJ255" s="2">
        <f t="shared" ref="DJ255" si="6159">100*$AF255/AW255</f>
        <v>79.9683098591549</v>
      </c>
      <c r="DK255" s="2">
        <f t="shared" ref="DK255" si="6160">100*$AF255/AX255</f>
        <v>75.221830985915474</v>
      </c>
      <c r="DL255" s="2">
        <f t="shared" ref="DL255" si="6161">100*$AF255/AY255</f>
        <v>61.313380281690137</v>
      </c>
      <c r="DM255" s="2">
        <f t="shared" ref="DM255" si="6162">100*$AF255/AZ255</f>
        <v>63.676056338028168</v>
      </c>
      <c r="DN255" s="2">
        <f t="shared" ref="DN255" si="6163">100*$AF255/BA255</f>
        <v>53.602112676056329</v>
      </c>
      <c r="DO255" s="2">
        <f t="shared" ref="DO255" si="6164">100*$AF255/BB255</f>
        <v>49.517605633802816</v>
      </c>
      <c r="DP255" s="2">
        <f t="shared" ref="DP255" si="6165">100*$AF255/BC255</f>
        <v>41.411971830985905</v>
      </c>
      <c r="DQ255" s="2">
        <f t="shared" ref="DQ255" si="6166">100*$AF255/BD255</f>
        <v>76.23239436619717</v>
      </c>
      <c r="DR255" s="2">
        <f t="shared" ref="DR255" si="6167">100*$AF255/BE255</f>
        <v>72.786971830985905</v>
      </c>
      <c r="DS255" s="2">
        <f t="shared" ref="DS255" si="6168">100*$AF255/BF255</f>
        <v>68.87147887323944</v>
      </c>
      <c r="DT255" s="2">
        <f t="shared" ref="DT255" si="6169">100*$AF255/BG255</f>
        <v>56.70598591549296</v>
      </c>
      <c r="DU255" s="2">
        <f t="shared" ref="DU255" si="6170">100*$AF255/BH255</f>
        <v>59.316901408450697</v>
      </c>
      <c r="DV255" s="2">
        <f t="shared" ref="DV255" si="6171">100*$AF255/BI255</f>
        <v>50.31514084507041</v>
      </c>
      <c r="DW255" s="2">
        <f t="shared" ref="DW255" si="6172">100*$AF255/BJ255</f>
        <v>47.568661971830984</v>
      </c>
      <c r="DX255" s="2">
        <f t="shared" ref="DX255" si="6173">100*$AF255/BK255</f>
        <v>40.83274647887324</v>
      </c>
      <c r="DY255" s="2">
        <f t="shared" ref="DY255" si="6174">100*$AF255/BL255</f>
        <v>68.309859154929555</v>
      </c>
      <c r="DZ255" s="2">
        <f t="shared" ref="DZ255" si="6175">100*$AF255/BM255</f>
        <v>65.605633802816897</v>
      </c>
      <c r="EA255" s="2">
        <f t="shared" ref="EA255" si="6176">100*$AF255/BN255</f>
        <v>62.521126760563384</v>
      </c>
      <c r="EB255" s="2">
        <f t="shared" ref="EB255" si="6177">100*$AF255/BO255</f>
        <v>52.098591549295762</v>
      </c>
      <c r="EC255" s="2">
        <f t="shared" ref="EC255" si="6178">100*$AF255/BP255</f>
        <v>54.957746478873233</v>
      </c>
      <c r="ED255" s="2">
        <f t="shared" ref="ED255" si="6179">100*$AF255/BQ255</f>
        <v>47.028169014084497</v>
      </c>
      <c r="EE255" s="2">
        <f t="shared" ref="EE255" si="6180">100*$AF255/BR255</f>
        <v>45.619718309859152</v>
      </c>
      <c r="EF255" s="2">
        <f t="shared" ref="EF255" si="6181">100*$AF255/BS255</f>
        <v>40.253521126760553</v>
      </c>
      <c r="EG255" s="2">
        <f t="shared" ref="EG255" si="6182">100*$AF255/BT255</f>
        <v>60.387323943661961</v>
      </c>
      <c r="EH255" s="2">
        <f t="shared" ref="EH255" si="6183">100*$AF255/BU255</f>
        <v>58.424295774647867</v>
      </c>
      <c r="EI255" s="2">
        <f t="shared" ref="EI255" si="6184">100*$AF255/BV255</f>
        <v>56.170774647887313</v>
      </c>
      <c r="EJ255" s="2">
        <f t="shared" ref="EJ255" si="6185">100*$AF255/BW255</f>
        <v>47.491197183098592</v>
      </c>
      <c r="EK255" s="2">
        <f t="shared" ref="EK255" si="6186">100*$AF255/BX255</f>
        <v>50.598591549295769</v>
      </c>
      <c r="EL255" s="2">
        <f t="shared" ref="EL255" si="6187">100*$AF255/BY255</f>
        <v>43.741197183098592</v>
      </c>
      <c r="EM255" s="2">
        <f t="shared" ref="EM255" si="6188">100*$AF255/BZ255</f>
        <v>43.67077464788732</v>
      </c>
      <c r="EN255" s="2">
        <f t="shared" ref="EN255" si="6189">100*$AF255/CA255</f>
        <v>39.674295774647881</v>
      </c>
      <c r="EO255" s="2">
        <f t="shared" ref="EO255" si="6190">100*$AF255/CB255</f>
        <v>52.464788732394361</v>
      </c>
      <c r="EP255" s="2">
        <f t="shared" ref="EP255" si="6191">100*$AF255/CC255</f>
        <v>51.242957746478872</v>
      </c>
      <c r="EQ255" s="2">
        <f t="shared" ref="EQ255" si="6192">100*$AF255/CD255</f>
        <v>49.820422535211264</v>
      </c>
      <c r="ER255" s="2">
        <f t="shared" ref="ER255" si="6193">100*$AF255/CE255</f>
        <v>42.883802816901408</v>
      </c>
      <c r="ES255" s="2">
        <f t="shared" ref="ES255" si="6194">100*$AF255/CF255</f>
        <v>46.239436619718305</v>
      </c>
      <c r="ET255" s="2">
        <f t="shared" ref="ET255" si="6195">100*$AF255/CG255</f>
        <v>40.454225352112672</v>
      </c>
      <c r="EU255" s="2">
        <f t="shared" ref="EU255" si="6196">100*$AF255/CH255</f>
        <v>41.721830985915496</v>
      </c>
      <c r="EV255" s="2">
        <f t="shared" ref="EV255" si="6197">100*$AF255/CI255</f>
        <v>39.095070422535208</v>
      </c>
      <c r="EW255" s="2">
        <f t="shared" ref="EW255" si="6198">100*$AF255/CJ255</f>
        <v>44.54225352112676</v>
      </c>
      <c r="EX255" s="2">
        <f t="shared" ref="EX255" si="6199">100*$AF255/CK255</f>
        <v>44.061619718309849</v>
      </c>
      <c r="EY255" s="2">
        <f t="shared" ref="EY255" si="6200">100*$AF255/CL255</f>
        <v>43.470070422535201</v>
      </c>
      <c r="EZ255" s="2">
        <f t="shared" ref="EZ255" si="6201">100*$AF255/CM255</f>
        <v>38.276408450704224</v>
      </c>
      <c r="FA255" s="2">
        <f t="shared" ref="FA255" si="6202">100*$AF255/CN255</f>
        <v>41.880281690140848</v>
      </c>
      <c r="FB255" s="2">
        <f t="shared" ref="FB255" si="6203">100*$AF255/CO255</f>
        <v>37.16725352112676</v>
      </c>
      <c r="FC255" s="2">
        <f t="shared" ref="FC255" si="6204">100*$AF255/CP255</f>
        <v>39.772887323943657</v>
      </c>
      <c r="FD255" s="2">
        <f t="shared" ref="FD255" si="6205">100*$AF255/CQ255</f>
        <v>38.515845070422529</v>
      </c>
    </row>
    <row r="256" spans="3:160" x14ac:dyDescent="0.4">
      <c r="C256" s="1" t="s">
        <v>52</v>
      </c>
      <c r="D256" s="1" t="s">
        <v>5</v>
      </c>
      <c r="E256" s="1">
        <v>0.25900000000000001</v>
      </c>
      <c r="F256" s="1">
        <v>0.15</v>
      </c>
      <c r="G256" s="1">
        <v>0.109</v>
      </c>
      <c r="H256" s="1">
        <v>7.0999999999999994E-2</v>
      </c>
      <c r="I256" s="1">
        <v>5968</v>
      </c>
      <c r="J256" s="1">
        <v>4693</v>
      </c>
      <c r="K256" s="1">
        <v>72</v>
      </c>
      <c r="L256" s="1">
        <v>7055</v>
      </c>
      <c r="M256" s="1">
        <v>6715</v>
      </c>
      <c r="N256" s="1">
        <v>76</v>
      </c>
      <c r="O256" s="1">
        <v>98</v>
      </c>
      <c r="P256" s="1">
        <v>91</v>
      </c>
      <c r="Q256" s="1">
        <v>98</v>
      </c>
      <c r="R256" s="1">
        <v>52</v>
      </c>
      <c r="S256" s="1">
        <v>98.5</v>
      </c>
      <c r="T256" s="4">
        <v>0</v>
      </c>
      <c r="U256" s="1">
        <v>1.6</v>
      </c>
      <c r="V256" s="1">
        <v>7.1999999999999995E-2</v>
      </c>
      <c r="W256" s="1">
        <v>4.0199999999999996</v>
      </c>
      <c r="X256" s="1">
        <f t="shared" ref="X256" si="6206">H257</f>
        <v>3.4000000000000002E-2</v>
      </c>
      <c r="Y256" s="1">
        <f t="shared" ref="Y256" si="6207">H258</f>
        <v>6.4000000000000001E-2</v>
      </c>
      <c r="Z256" s="1">
        <f t="shared" ref="Z256" si="6208">H259</f>
        <v>3.5000000000000003E-2</v>
      </c>
      <c r="AA256" s="1">
        <f t="shared" ref="AA256" si="6209">H260</f>
        <v>2.3E-2</v>
      </c>
      <c r="AB256" s="1">
        <f t="shared" ref="AB256" si="6210">H261</f>
        <v>3.5000000000000003E-2</v>
      </c>
      <c r="AC256" s="1">
        <f t="shared" si="4641"/>
        <v>3835.4483979234778</v>
      </c>
      <c r="AE256" s="1" t="s">
        <v>96</v>
      </c>
      <c r="AF256" s="1">
        <v>1</v>
      </c>
      <c r="AG256" s="1">
        <v>0.81499999999999995</v>
      </c>
      <c r="AH256" s="1">
        <v>0.64500000000000002</v>
      </c>
      <c r="AI256" s="1">
        <v>0.39500000000000002</v>
      </c>
      <c r="AJ256" s="1">
        <v>0.36</v>
      </c>
      <c r="AK256" s="1">
        <v>0.245</v>
      </c>
      <c r="AL256" s="1">
        <v>0.14499999999999999</v>
      </c>
      <c r="AM256" s="20">
        <v>6.5000000000000002E-2</v>
      </c>
      <c r="AN256" s="1">
        <v>1</v>
      </c>
      <c r="AO256" s="1">
        <v>0.81499999999999995</v>
      </c>
      <c r="AP256" s="1">
        <v>0.64500000000000002</v>
      </c>
      <c r="AQ256" s="1">
        <v>0.39500000000000002</v>
      </c>
      <c r="AR256" s="1">
        <v>0.36</v>
      </c>
      <c r="AS256" s="1">
        <v>0.245</v>
      </c>
      <c r="AT256" s="1">
        <v>0.14499999999999999</v>
      </c>
      <c r="AU256" s="20">
        <v>6.5000000000000002E-2</v>
      </c>
      <c r="AV256" s="1">
        <v>1</v>
      </c>
      <c r="AW256" s="1">
        <v>0.81499999999999995</v>
      </c>
      <c r="AX256" s="1">
        <v>0.64500000000000002</v>
      </c>
      <c r="AY256" s="1">
        <v>0.39500000000000002</v>
      </c>
      <c r="AZ256" s="1">
        <v>0.36</v>
      </c>
      <c r="BA256" s="1">
        <v>0.245</v>
      </c>
      <c r="BB256" s="1">
        <v>0.14499999999999999</v>
      </c>
      <c r="BC256" s="20">
        <v>6.5000000000000002E-2</v>
      </c>
      <c r="BD256" s="1">
        <v>1</v>
      </c>
      <c r="BE256" s="1">
        <v>0.81499999999999995</v>
      </c>
      <c r="BF256" s="1">
        <v>0.64500000000000002</v>
      </c>
      <c r="BG256" s="1">
        <v>0.39500000000000002</v>
      </c>
      <c r="BH256" s="1">
        <v>0.36</v>
      </c>
      <c r="BI256" s="1">
        <v>0.245</v>
      </c>
      <c r="BJ256" s="1">
        <v>0.14499999999999999</v>
      </c>
      <c r="BK256" s="20">
        <v>6.5000000000000002E-2</v>
      </c>
      <c r="BL256" s="1">
        <v>1</v>
      </c>
      <c r="BM256" s="1">
        <v>0.81499999999999995</v>
      </c>
      <c r="BN256" s="1">
        <v>0.64500000000000002</v>
      </c>
      <c r="BO256" s="1">
        <v>0.39500000000000002</v>
      </c>
      <c r="BP256" s="1">
        <v>0.36</v>
      </c>
      <c r="BQ256" s="1">
        <v>0.245</v>
      </c>
      <c r="BR256" s="1">
        <v>0.14499999999999999</v>
      </c>
      <c r="BS256" s="20">
        <v>6.5000000000000002E-2</v>
      </c>
      <c r="BT256" s="1">
        <v>1</v>
      </c>
      <c r="BU256" s="1">
        <v>0.81499999999999995</v>
      </c>
      <c r="BV256" s="1">
        <v>0.64500000000000002</v>
      </c>
      <c r="BW256" s="1">
        <v>0.39500000000000002</v>
      </c>
      <c r="BX256" s="1">
        <v>0.36</v>
      </c>
      <c r="BY256" s="1">
        <v>0.245</v>
      </c>
      <c r="BZ256" s="1">
        <v>0.14499999999999999</v>
      </c>
      <c r="CA256" s="20">
        <v>6.5000000000000002E-2</v>
      </c>
      <c r="CB256" s="1">
        <v>1</v>
      </c>
      <c r="CC256" s="1">
        <v>0.81499999999999995</v>
      </c>
      <c r="CD256" s="1">
        <v>0.64500000000000002</v>
      </c>
      <c r="CE256" s="1">
        <v>0.39500000000000002</v>
      </c>
      <c r="CF256" s="1">
        <v>0.36</v>
      </c>
      <c r="CG256" s="1">
        <v>0.245</v>
      </c>
      <c r="CH256" s="1">
        <v>0.14499999999999999</v>
      </c>
      <c r="CI256" s="20">
        <v>6.5000000000000002E-2</v>
      </c>
      <c r="CJ256" s="1">
        <v>1</v>
      </c>
      <c r="CK256" s="1">
        <v>0.81499999999999995</v>
      </c>
      <c r="CL256" s="1">
        <v>0.64500000000000002</v>
      </c>
      <c r="CM256" s="1">
        <v>0.39500000000000002</v>
      </c>
      <c r="CN256" s="1">
        <v>0.36</v>
      </c>
      <c r="CO256" s="1">
        <v>0.245</v>
      </c>
      <c r="CP256" s="1">
        <v>0.14499999999999999</v>
      </c>
      <c r="CQ256" s="20">
        <v>6.5000000000000002E-2</v>
      </c>
    </row>
    <row r="257" spans="3:160" x14ac:dyDescent="0.4">
      <c r="C257" s="1" t="s">
        <v>52</v>
      </c>
      <c r="D257" s="1" t="s">
        <v>6</v>
      </c>
      <c r="E257" s="1">
        <v>0.21199999999999999</v>
      </c>
      <c r="F257" s="1">
        <v>0.104</v>
      </c>
      <c r="G257" s="1">
        <v>0.108</v>
      </c>
      <c r="H257" s="1">
        <v>3.4000000000000002E-2</v>
      </c>
      <c r="I257" s="1">
        <v>5968</v>
      </c>
      <c r="J257" s="1">
        <v>4693</v>
      </c>
      <c r="K257" s="1">
        <v>72</v>
      </c>
      <c r="L257" s="1">
        <v>7055</v>
      </c>
      <c r="M257" s="1">
        <v>6715</v>
      </c>
      <c r="N257" s="1">
        <v>76</v>
      </c>
      <c r="O257" s="1">
        <v>98</v>
      </c>
      <c r="P257" s="1">
        <v>91</v>
      </c>
      <c r="Q257" s="1">
        <v>98</v>
      </c>
      <c r="R257" s="1">
        <v>52</v>
      </c>
      <c r="S257" s="1">
        <v>98.5</v>
      </c>
      <c r="T257" s="4">
        <v>0</v>
      </c>
      <c r="U257" s="1">
        <v>1.6</v>
      </c>
      <c r="V257" s="1">
        <v>7.1999999999999995E-2</v>
      </c>
      <c r="W257" s="1">
        <v>4.0199999999999996</v>
      </c>
      <c r="X257" s="1">
        <f t="shared" ref="X257" si="6211">H257</f>
        <v>3.4000000000000002E-2</v>
      </c>
      <c r="Y257" s="1">
        <f t="shared" ref="Y257" si="6212">H258</f>
        <v>6.4000000000000001E-2</v>
      </c>
      <c r="Z257" s="1">
        <f t="shared" ref="Z257" si="6213">H259</f>
        <v>3.5000000000000003E-2</v>
      </c>
      <c r="AA257" s="1">
        <f t="shared" ref="AA257" si="6214">H260</f>
        <v>2.3E-2</v>
      </c>
      <c r="AB257" s="1">
        <f t="shared" ref="AB257" si="6215">H261</f>
        <v>3.5000000000000003E-2</v>
      </c>
      <c r="AC257" s="1">
        <f t="shared" si="4641"/>
        <v>3835.4483979234778</v>
      </c>
      <c r="CQ257" s="20"/>
    </row>
    <row r="258" spans="3:160" x14ac:dyDescent="0.4">
      <c r="C258" s="1" t="s">
        <v>52</v>
      </c>
      <c r="D258" s="1" t="s">
        <v>7</v>
      </c>
      <c r="E258" s="1">
        <v>0.252</v>
      </c>
      <c r="F258" s="1">
        <v>0.14299999999999999</v>
      </c>
      <c r="G258" s="1">
        <v>0.109</v>
      </c>
      <c r="H258" s="1">
        <v>6.4000000000000001E-2</v>
      </c>
      <c r="I258" s="1">
        <v>5968</v>
      </c>
      <c r="J258" s="1">
        <v>4693</v>
      </c>
      <c r="K258" s="1">
        <v>72</v>
      </c>
      <c r="L258" s="1">
        <v>7055</v>
      </c>
      <c r="M258" s="1">
        <v>6715</v>
      </c>
      <c r="N258" s="1">
        <v>76</v>
      </c>
      <c r="O258" s="1">
        <v>98</v>
      </c>
      <c r="P258" s="1">
        <v>91</v>
      </c>
      <c r="Q258" s="1">
        <v>98</v>
      </c>
      <c r="R258" s="1">
        <v>52</v>
      </c>
      <c r="S258" s="1">
        <v>98.5</v>
      </c>
      <c r="T258" s="4">
        <v>0</v>
      </c>
      <c r="U258" s="1">
        <v>1.6</v>
      </c>
      <c r="V258" s="1">
        <v>7.1999999999999995E-2</v>
      </c>
      <c r="W258" s="1">
        <v>4.0199999999999996</v>
      </c>
      <c r="X258" s="1">
        <f t="shared" ref="X258" si="6216">H257</f>
        <v>3.4000000000000002E-2</v>
      </c>
      <c r="Y258" s="1">
        <f t="shared" ref="Y258" si="6217">H258</f>
        <v>6.4000000000000001E-2</v>
      </c>
      <c r="Z258" s="1">
        <f t="shared" ref="Z258" si="6218">H259</f>
        <v>3.5000000000000003E-2</v>
      </c>
      <c r="AA258" s="1">
        <f t="shared" ref="AA258" si="6219">H260</f>
        <v>2.3E-2</v>
      </c>
      <c r="AB258" s="1">
        <f t="shared" ref="AB258" si="6220">H261</f>
        <v>3.5000000000000003E-2</v>
      </c>
      <c r="AC258" s="1">
        <f t="shared" si="4641"/>
        <v>3835.4483979234778</v>
      </c>
      <c r="AE258" s="1" t="s">
        <v>97</v>
      </c>
      <c r="AF258" s="1">
        <v>0</v>
      </c>
      <c r="AG258" s="1">
        <v>0.12</v>
      </c>
      <c r="AH258" s="1">
        <v>0.21</v>
      </c>
      <c r="AI258" s="1">
        <v>0.26</v>
      </c>
      <c r="AJ258" s="1">
        <v>0.28000000000000003</v>
      </c>
      <c r="AK258" s="1">
        <v>0.26</v>
      </c>
      <c r="AL258" s="1">
        <v>0.21</v>
      </c>
      <c r="AM258" s="20">
        <v>0.12</v>
      </c>
      <c r="AN258" s="1">
        <v>0</v>
      </c>
      <c r="AO258" s="1">
        <v>0.12</v>
      </c>
      <c r="AP258" s="1">
        <v>0.21</v>
      </c>
      <c r="AQ258" s="1">
        <v>0.26</v>
      </c>
      <c r="AR258" s="1">
        <v>0.28000000000000003</v>
      </c>
      <c r="AS258" s="1">
        <v>0.26</v>
      </c>
      <c r="AT258" s="1">
        <v>0.21</v>
      </c>
      <c r="AU258" s="20">
        <v>0.12</v>
      </c>
      <c r="AV258" s="1">
        <v>0</v>
      </c>
      <c r="AW258" s="1">
        <v>0.12</v>
      </c>
      <c r="AX258" s="1">
        <v>0.21</v>
      </c>
      <c r="AY258" s="1">
        <v>0.26</v>
      </c>
      <c r="AZ258" s="1">
        <v>0.28000000000000003</v>
      </c>
      <c r="BA258" s="1">
        <v>0.26</v>
      </c>
      <c r="BB258" s="1">
        <v>0.21</v>
      </c>
      <c r="BC258" s="20">
        <v>0.12</v>
      </c>
      <c r="BD258" s="1">
        <v>0</v>
      </c>
      <c r="BE258" s="1">
        <v>0.12</v>
      </c>
      <c r="BF258" s="1">
        <v>0.21</v>
      </c>
      <c r="BG258" s="1">
        <v>0.26</v>
      </c>
      <c r="BH258" s="1">
        <v>0.28000000000000003</v>
      </c>
      <c r="BI258" s="1">
        <v>0.26</v>
      </c>
      <c r="BJ258" s="1">
        <v>0.21</v>
      </c>
      <c r="BK258" s="20">
        <v>0.12</v>
      </c>
      <c r="BL258" s="1">
        <v>0</v>
      </c>
      <c r="BM258" s="1">
        <v>0.12</v>
      </c>
      <c r="BN258" s="1">
        <v>0.21</v>
      </c>
      <c r="BO258" s="1">
        <v>0.26</v>
      </c>
      <c r="BP258" s="1">
        <v>0.28000000000000003</v>
      </c>
      <c r="BQ258" s="1">
        <v>0.26</v>
      </c>
      <c r="BR258" s="1">
        <v>0.21</v>
      </c>
      <c r="BS258" s="20">
        <v>0.12</v>
      </c>
      <c r="BT258" s="1">
        <v>0</v>
      </c>
      <c r="BU258" s="1">
        <v>0.12</v>
      </c>
      <c r="BV258" s="1">
        <v>0.21</v>
      </c>
      <c r="BW258" s="1">
        <v>0.26</v>
      </c>
      <c r="BX258" s="1">
        <v>0.28000000000000003</v>
      </c>
      <c r="BY258" s="1">
        <v>0.26</v>
      </c>
      <c r="BZ258" s="1">
        <v>0.21</v>
      </c>
      <c r="CA258" s="20">
        <v>0.12</v>
      </c>
      <c r="CB258" s="1">
        <v>0</v>
      </c>
      <c r="CC258" s="1">
        <v>0.12</v>
      </c>
      <c r="CD258" s="1">
        <v>0.21</v>
      </c>
      <c r="CE258" s="1">
        <v>0.26</v>
      </c>
      <c r="CF258" s="1">
        <v>0.28000000000000003</v>
      </c>
      <c r="CG258" s="1">
        <v>0.26</v>
      </c>
      <c r="CH258" s="1">
        <v>0.21</v>
      </c>
      <c r="CI258" s="20">
        <v>0.12</v>
      </c>
      <c r="CJ258" s="1">
        <v>0</v>
      </c>
      <c r="CK258" s="1">
        <v>0.12</v>
      </c>
      <c r="CL258" s="1">
        <v>0.21</v>
      </c>
      <c r="CM258" s="1">
        <v>0.26</v>
      </c>
      <c r="CN258" s="1">
        <v>0.28000000000000003</v>
      </c>
      <c r="CO258" s="1">
        <v>0.26</v>
      </c>
      <c r="CP258" s="1">
        <v>0.21</v>
      </c>
      <c r="CQ258" s="20">
        <v>0.12</v>
      </c>
    </row>
    <row r="259" spans="3:160" x14ac:dyDescent="0.4">
      <c r="C259" s="1" t="s">
        <v>52</v>
      </c>
      <c r="D259" s="1" t="s">
        <v>8</v>
      </c>
      <c r="E259" s="1">
        <v>0.21299999999999999</v>
      </c>
      <c r="F259" s="1">
        <v>0.105</v>
      </c>
      <c r="G259" s="1">
        <v>0.108</v>
      </c>
      <c r="H259" s="1">
        <v>3.5000000000000003E-2</v>
      </c>
      <c r="I259" s="1">
        <v>5968</v>
      </c>
      <c r="J259" s="1">
        <v>4693</v>
      </c>
      <c r="K259" s="1">
        <v>72</v>
      </c>
      <c r="L259" s="1">
        <v>7055</v>
      </c>
      <c r="M259" s="1">
        <v>6715</v>
      </c>
      <c r="N259" s="1">
        <v>76</v>
      </c>
      <c r="O259" s="1">
        <v>98</v>
      </c>
      <c r="P259" s="1">
        <v>91</v>
      </c>
      <c r="Q259" s="1">
        <v>98</v>
      </c>
      <c r="R259" s="1">
        <v>52</v>
      </c>
      <c r="S259" s="1">
        <v>98.5</v>
      </c>
      <c r="T259" s="4">
        <v>0</v>
      </c>
      <c r="U259" s="1">
        <v>1.6</v>
      </c>
      <c r="V259" s="1">
        <v>7.1999999999999995E-2</v>
      </c>
      <c r="W259" s="1">
        <v>4.0199999999999996</v>
      </c>
      <c r="X259" s="1">
        <f t="shared" ref="X259" si="6221">H257</f>
        <v>3.4000000000000002E-2</v>
      </c>
      <c r="Y259" s="1">
        <f t="shared" ref="Y259" si="6222">H258</f>
        <v>6.4000000000000001E-2</v>
      </c>
      <c r="Z259" s="1">
        <f t="shared" ref="Z259" si="6223">H259</f>
        <v>3.5000000000000003E-2</v>
      </c>
      <c r="AA259" s="1">
        <f t="shared" ref="AA259" si="6224">H260</f>
        <v>2.3E-2</v>
      </c>
      <c r="AB259" s="1">
        <f t="shared" ref="AB259" si="6225">H261</f>
        <v>3.5000000000000003E-2</v>
      </c>
      <c r="AC259" s="1">
        <f t="shared" si="4641"/>
        <v>3835.4483979234778</v>
      </c>
      <c r="CQ259" s="20"/>
    </row>
    <row r="260" spans="3:160" x14ac:dyDescent="0.4">
      <c r="C260" s="1" t="s">
        <v>52</v>
      </c>
      <c r="D260" s="1" t="s">
        <v>9</v>
      </c>
      <c r="E260" s="1">
        <v>0.2</v>
      </c>
      <c r="F260" s="1">
        <v>9.2999999999999999E-2</v>
      </c>
      <c r="G260" s="1">
        <v>0.108</v>
      </c>
      <c r="H260" s="1">
        <v>2.3E-2</v>
      </c>
      <c r="I260" s="1">
        <v>5968</v>
      </c>
      <c r="J260" s="1">
        <v>4693</v>
      </c>
      <c r="K260" s="1">
        <v>72</v>
      </c>
      <c r="L260" s="1">
        <v>7055</v>
      </c>
      <c r="M260" s="1">
        <v>6715</v>
      </c>
      <c r="N260" s="1">
        <v>76</v>
      </c>
      <c r="O260" s="1">
        <v>98</v>
      </c>
      <c r="P260" s="1">
        <v>91</v>
      </c>
      <c r="Q260" s="1">
        <v>98</v>
      </c>
      <c r="R260" s="1">
        <v>52</v>
      </c>
      <c r="S260" s="1">
        <v>98.5</v>
      </c>
      <c r="T260" s="4">
        <v>0</v>
      </c>
      <c r="U260" s="1">
        <v>1.6</v>
      </c>
      <c r="V260" s="1">
        <v>7.1999999999999995E-2</v>
      </c>
      <c r="W260" s="1">
        <v>4.0199999999999996</v>
      </c>
      <c r="X260" s="1">
        <f t="shared" ref="X260" si="6226">H257</f>
        <v>3.4000000000000002E-2</v>
      </c>
      <c r="Y260" s="1">
        <f t="shared" ref="Y260" si="6227">H258</f>
        <v>6.4000000000000001E-2</v>
      </c>
      <c r="Z260" s="1">
        <f t="shared" ref="Z260" si="6228">H259</f>
        <v>3.5000000000000003E-2</v>
      </c>
      <c r="AA260" s="1">
        <f t="shared" ref="AA260" si="6229">H260</f>
        <v>2.3E-2</v>
      </c>
      <c r="AB260" s="1">
        <f t="shared" ref="AB260" si="6230">H261</f>
        <v>3.5000000000000003E-2</v>
      </c>
      <c r="AC260" s="1">
        <f t="shared" si="4641"/>
        <v>3835.4483979234778</v>
      </c>
      <c r="AE260" s="1" t="s">
        <v>98</v>
      </c>
      <c r="AF260" s="1">
        <v>0</v>
      </c>
      <c r="AG260" s="1">
        <v>6.5000000000000002E-2</v>
      </c>
      <c r="AH260" s="1">
        <v>0.14499999999999999</v>
      </c>
      <c r="AI260" s="1">
        <v>0.245</v>
      </c>
      <c r="AJ260" s="1">
        <v>0.36</v>
      </c>
      <c r="AK260" s="1">
        <v>0.39500000000000002</v>
      </c>
      <c r="AL260" s="1">
        <v>0.64500000000000002</v>
      </c>
      <c r="AM260" s="20">
        <v>0.81499999999999995</v>
      </c>
      <c r="AN260" s="1">
        <v>0</v>
      </c>
      <c r="AO260" s="1">
        <v>6.5000000000000002E-2</v>
      </c>
      <c r="AP260" s="1">
        <v>0.14499999999999999</v>
      </c>
      <c r="AQ260" s="1">
        <v>0.245</v>
      </c>
      <c r="AR260" s="1">
        <v>0.36</v>
      </c>
      <c r="AS260" s="1">
        <v>0.39500000000000002</v>
      </c>
      <c r="AT260" s="1">
        <v>0.64500000000000002</v>
      </c>
      <c r="AU260" s="20">
        <v>0.81499999999999995</v>
      </c>
      <c r="AV260" s="1">
        <v>0</v>
      </c>
      <c r="AW260" s="1">
        <v>6.5000000000000002E-2</v>
      </c>
      <c r="AX260" s="1">
        <v>0.14499999999999999</v>
      </c>
      <c r="AY260" s="1">
        <v>0.245</v>
      </c>
      <c r="AZ260" s="1">
        <v>0.36</v>
      </c>
      <c r="BA260" s="1">
        <v>0.39500000000000002</v>
      </c>
      <c r="BB260" s="1">
        <v>0.64500000000000002</v>
      </c>
      <c r="BC260" s="20">
        <v>0.81499999999999995</v>
      </c>
      <c r="BD260" s="1">
        <v>0</v>
      </c>
      <c r="BE260" s="1">
        <v>6.5000000000000002E-2</v>
      </c>
      <c r="BF260" s="1">
        <v>0.14499999999999999</v>
      </c>
      <c r="BG260" s="1">
        <v>0.245</v>
      </c>
      <c r="BH260" s="1">
        <v>0.36</v>
      </c>
      <c r="BI260" s="1">
        <v>0.39500000000000002</v>
      </c>
      <c r="BJ260" s="1">
        <v>0.64500000000000002</v>
      </c>
      <c r="BK260" s="20">
        <v>0.81499999999999995</v>
      </c>
      <c r="BL260" s="1">
        <v>0</v>
      </c>
      <c r="BM260" s="1">
        <v>6.5000000000000002E-2</v>
      </c>
      <c r="BN260" s="1">
        <v>0.14499999999999999</v>
      </c>
      <c r="BO260" s="1">
        <v>0.245</v>
      </c>
      <c r="BP260" s="1">
        <v>0.36</v>
      </c>
      <c r="BQ260" s="1">
        <v>0.39500000000000002</v>
      </c>
      <c r="BR260" s="1">
        <v>0.64500000000000002</v>
      </c>
      <c r="BS260" s="20">
        <v>0.81499999999999995</v>
      </c>
      <c r="BT260" s="1">
        <v>0</v>
      </c>
      <c r="BU260" s="1">
        <v>6.5000000000000002E-2</v>
      </c>
      <c r="BV260" s="1">
        <v>0.14499999999999999</v>
      </c>
      <c r="BW260" s="1">
        <v>0.245</v>
      </c>
      <c r="BX260" s="1">
        <v>0.36</v>
      </c>
      <c r="BY260" s="1">
        <v>0.39500000000000002</v>
      </c>
      <c r="BZ260" s="1">
        <v>0.64500000000000002</v>
      </c>
      <c r="CA260" s="20">
        <v>0.81499999999999995</v>
      </c>
      <c r="CB260" s="1">
        <v>0</v>
      </c>
      <c r="CC260" s="1">
        <v>6.5000000000000002E-2</v>
      </c>
      <c r="CD260" s="1">
        <v>0.14499999999999999</v>
      </c>
      <c r="CE260" s="1">
        <v>0.245</v>
      </c>
      <c r="CF260" s="1">
        <v>0.36</v>
      </c>
      <c r="CG260" s="1">
        <v>0.39500000000000002</v>
      </c>
      <c r="CH260" s="1">
        <v>0.64500000000000002</v>
      </c>
      <c r="CI260" s="20">
        <v>0.81499999999999995</v>
      </c>
      <c r="CJ260" s="1">
        <v>0</v>
      </c>
      <c r="CK260" s="1">
        <v>6.5000000000000002E-2</v>
      </c>
      <c r="CL260" s="1">
        <v>0.14499999999999999</v>
      </c>
      <c r="CM260" s="1">
        <v>0.245</v>
      </c>
      <c r="CN260" s="1">
        <v>0.36</v>
      </c>
      <c r="CO260" s="1">
        <v>0.39500000000000002</v>
      </c>
      <c r="CP260" s="1">
        <v>0.64500000000000002</v>
      </c>
      <c r="CQ260" s="20">
        <v>0.81499999999999995</v>
      </c>
    </row>
    <row r="261" spans="3:160" s="2" customFormat="1" x14ac:dyDescent="0.4">
      <c r="C261" s="2" t="s">
        <v>52</v>
      </c>
      <c r="D261" s="2" t="s">
        <v>10</v>
      </c>
      <c r="E261" s="2">
        <v>0.21299999999999999</v>
      </c>
      <c r="F261" s="2">
        <v>0.105</v>
      </c>
      <c r="G261" s="2">
        <v>0.108</v>
      </c>
      <c r="H261" s="2">
        <v>3.5000000000000003E-2</v>
      </c>
      <c r="I261" s="2">
        <v>5968</v>
      </c>
      <c r="J261" s="2">
        <v>4693</v>
      </c>
      <c r="K261" s="2">
        <v>72</v>
      </c>
      <c r="L261" s="2">
        <v>7055</v>
      </c>
      <c r="M261" s="2">
        <v>6715</v>
      </c>
      <c r="N261" s="2">
        <v>76</v>
      </c>
      <c r="O261" s="2">
        <v>98</v>
      </c>
      <c r="P261" s="2">
        <v>91</v>
      </c>
      <c r="Q261" s="2">
        <v>98</v>
      </c>
      <c r="R261" s="2">
        <v>52</v>
      </c>
      <c r="S261" s="2">
        <v>98.5</v>
      </c>
      <c r="T261" s="6">
        <f t="shared" ref="T261" si="6231">(N256*O256*P256*Q256*R256*S256)/(I256*J256*K256*(F256*H256 + F257*H257 + F258*H258 + F259*H259 + F260*H260 + F261*H261))</f>
        <v>5139.2962138006951</v>
      </c>
      <c r="U261" s="2">
        <v>1.6</v>
      </c>
      <c r="V261" s="2">
        <v>7.1999999999999995E-2</v>
      </c>
      <c r="W261" s="2">
        <v>4.0199999999999996</v>
      </c>
      <c r="X261" s="2">
        <f t="shared" ref="X261" si="6232">H257</f>
        <v>3.4000000000000002E-2</v>
      </c>
      <c r="Y261" s="2">
        <f t="shared" ref="Y261" si="6233">H258</f>
        <v>6.4000000000000001E-2</v>
      </c>
      <c r="Z261" s="2">
        <f t="shared" ref="Z261" si="6234">H259</f>
        <v>3.5000000000000003E-2</v>
      </c>
      <c r="AA261" s="2">
        <f t="shared" ref="AA261" si="6235">H260</f>
        <v>2.3E-2</v>
      </c>
      <c r="AB261" s="2">
        <f t="shared" ref="AB261" si="6236">H261</f>
        <v>3.5000000000000003E-2</v>
      </c>
      <c r="AC261" s="1">
        <f t="shared" ref="AC261:AC273" si="6237">1000000*(O261*Q261*S261)^(1/3)/(I261+0.5*J261+240*K261)</f>
        <v>3835.4483979234778</v>
      </c>
      <c r="AE261" s="2" t="s">
        <v>99</v>
      </c>
      <c r="AF261" s="23">
        <f>($O261*$Q261*$S261)^(1/3)/(AF256*((1-AF$2)*$H256+AF$2*$H257) + AF258*((1-AF$2)*$H258+AF$2*$H259) + AF260*((1-AF$2)*$H260+AF$2*$H261))</f>
        <v>1382.6251270514431</v>
      </c>
      <c r="AG261" s="23">
        <f t="shared" ref="AG261" si="6238">($O261*$Q261*$S261)^(1/3)/(AG256*((1-AG$2)*$H256+AG$2*$H257) + AG258*((1-AG$2)*$H258+AG$2*$H259) + AG260*((1-AG$2)*$H260+AG$2*$H261))</f>
        <v>1464.2957043653412</v>
      </c>
      <c r="AH261" s="23">
        <f t="shared" ref="AH261" si="6239">($O261*$Q261*$S261)^(1/3)/(AH256*((1-AH$2)*$H256+AH$2*$H257) + AH258*((1-AH$2)*$H258+AH$2*$H259) + AH260*((1-AH$2)*$H260+AH$2*$H261))</f>
        <v>1568.9049707631846</v>
      </c>
      <c r="AI261" s="23">
        <f t="shared" ref="AI261" si="6240">($O261*$Q261*$S261)^(1/3)/(AI256*((1-AI$2)*$H256+AI$2*$H257) + AI258*((1-AI$2)*$H258+AI$2*$H259) + AI260*((1-AI$2)*$H260+AI$2*$H261))</f>
        <v>1950.842289758594</v>
      </c>
      <c r="AJ261" s="23">
        <f t="shared" ref="AJ261" si="6241">($O261*$Q261*$S261)^(1/3)/(AJ256*((1-AJ$2)*$H256+AJ$2*$H257) + AJ258*((1-AJ$2)*$H258+AJ$2*$H259) + AJ260*((1-AJ$2)*$H260+AJ$2*$H261))</f>
        <v>1896.5684702599006</v>
      </c>
      <c r="AK261" s="23">
        <f t="shared" ref="AK261" si="6242">($O261*$Q261*$S261)^(1/3)/(AK256*((1-AK$2)*$H256+AK$2*$H257) + AK258*((1-AK$2)*$H258+AK$2*$H259) + AK260*((1-AK$2)*$H260+AK$2*$H261))</f>
        <v>2276.5859002934244</v>
      </c>
      <c r="AL261" s="23">
        <f t="shared" ref="AL261" si="6243">($O261*$Q261*$S261)^(1/3)/(AL256*((1-AL$2)*$H256+AL$2*$H257) + AL258*((1-AL$2)*$H258+AL$2*$H259) + AL260*((1-AL$2)*$H260+AL$2*$H261))</f>
        <v>2545.1486653008155</v>
      </c>
      <c r="AM261" s="23">
        <f t="shared" ref="AM261" si="6244">($O261*$Q261*$S261)^(1/3)/(AM256*((1-AM$2)*$H256+AM$2*$H257) + AM258*((1-AM$2)*$H258+AM$2*$H259) + AM260*((1-AM$2)*$H260+AM$2*$H261))</f>
        <v>3162.5768047890615</v>
      </c>
      <c r="AN261" s="23">
        <f t="shared" ref="AN261" si="6245">($O261*$Q261*$S261)^(1/3)/(AN256*((1-AN$2)*$H256+AN$2*$H257) + AN258*((1-AN$2)*$H258+AN$2*$H259) + AN260*((1-AN$2)*$H260+AN$2*$H261))</f>
        <v>1478.9662375992839</v>
      </c>
      <c r="AO261" s="23">
        <f t="shared" ref="AO261" si="6246">($O261*$Q261*$S261)^(1/3)/(AO256*((1-AO$2)*$H256+AO$2*$H257) + AO258*((1-AO$2)*$H258+AO$2*$H259) + AO260*((1-AO$2)*$H260+AO$2*$H261))</f>
        <v>1559.8523674241899</v>
      </c>
      <c r="AP261" s="23">
        <f t="shared" ref="AP261" si="6247">($O261*$Q261*$S261)^(1/3)/(AP256*((1-AP$2)*$H256+AP$2*$H257) + AP258*((1-AP$2)*$H258+AP$2*$H259) + AP260*((1-AP$2)*$H260+AP$2*$H261))</f>
        <v>1662.6217535174922</v>
      </c>
      <c r="AQ261" s="23">
        <f t="shared" ref="AQ261" si="6248">($O261*$Q261*$S261)^(1/3)/(AQ256*((1-AQ$2)*$H256+AQ$2*$H257) + AQ258*((1-AQ$2)*$H258+AQ$2*$H259) + AQ260*((1-AQ$2)*$H260+AQ$2*$H261))</f>
        <v>2048.6274039448008</v>
      </c>
      <c r="AR261" s="23">
        <f t="shared" ref="AR261" si="6249">($O261*$Q261*$S261)^(1/3)/(AR256*((1-AR$2)*$H256+AR$2*$H257) + AR258*((1-AR$2)*$H258+AR$2*$H259) + AR260*((1-AR$2)*$H260+AR$2*$H261))</f>
        <v>1978.3632410449911</v>
      </c>
      <c r="AS261" s="23">
        <f t="shared" ref="AS261" si="6250">($O261*$Q261*$S261)^(1/3)/(AS256*((1-AS$2)*$H256+AS$2*$H257) + AS258*((1-AS$2)*$H258+AS$2*$H259) + AS260*((1-AS$2)*$H260+AS$2*$H261))</f>
        <v>2357.6789569498783</v>
      </c>
      <c r="AT261" s="23">
        <f t="shared" ref="AT261" si="6251">($O261*$Q261*$S261)^(1/3)/(AT256*((1-AT$2)*$H256+AT$2*$H257) + AT258*((1-AT$2)*$H258+AT$2*$H259) + AT260*((1-AT$2)*$H260+AT$2*$H261))</f>
        <v>2576.1651730066746</v>
      </c>
      <c r="AU261" s="23">
        <f t="shared" ref="AU261" si="6252">($O261*$Q261*$S261)^(1/3)/(AU256*((1-AU$2)*$H256+AU$2*$H257) + AU258*((1-AU$2)*$H258+AU$2*$H259) + AU260*((1-AU$2)*$H260+AU$2*$H261))</f>
        <v>3113.7365825395782</v>
      </c>
      <c r="AV261" s="23">
        <f t="shared" ref="AV261" si="6253">($O261*$Q261*$S261)^(1/3)/(AV256*((1-AV$2)*$H256+AV$2*$H257) + AV258*((1-AV$2)*$H258+AV$2*$H259) + AV260*((1-AV$2)*$H260+AV$2*$H261))</f>
        <v>1589.7390124802018</v>
      </c>
      <c r="AW261" s="23">
        <f t="shared" ref="AW261" si="6254">($O261*$Q261*$S261)^(1/3)/(AW256*((1-AW$2)*$H256+AW$2*$H257) + AW258*((1-AW$2)*$H258+AW$2*$H259) + AW260*((1-AW$2)*$H260+AW$2*$H261))</f>
        <v>1668.7513486012194</v>
      </c>
      <c r="AX261" s="23">
        <f t="shared" ref="AX261" si="6255">($O261*$Q261*$S261)^(1/3)/(AX256*((1-AX$2)*$H256+AX$2*$H257) + AX258*((1-AX$2)*$H258+AX$2*$H259) + AX260*((1-AX$2)*$H260+AX$2*$H261))</f>
        <v>1768.2459463788073</v>
      </c>
      <c r="AY261" s="23">
        <f t="shared" ref="AY261" si="6256">($O261*$Q261*$S261)^(1/3)/(AY256*((1-AY$2)*$H256+AY$2*$H257) + AY258*((1-AY$2)*$H258+AY$2*$H259) + AY260*((1-AY$2)*$H260+AY$2*$H261))</f>
        <v>2156.7326838360468</v>
      </c>
      <c r="AZ261" s="23">
        <f t="shared" ref="AZ261" si="6257">($O261*$Q261*$S261)^(1/3)/(AZ256*((1-AZ$2)*$H256+AZ$2*$H257) + AZ258*((1-AZ$2)*$H258+AZ$2*$H259) + AZ260*((1-AZ$2)*$H260+AZ$2*$H261))</f>
        <v>2067.5312557003467</v>
      </c>
      <c r="BA261" s="23">
        <f t="shared" ref="BA261" si="6258">($O261*$Q261*$S261)^(1/3)/(BA256*((1-BA$2)*$H256+BA$2*$H257) + BA258*((1-BA$2)*$H258+BA$2*$H259) + BA260*((1-BA$2)*$H260+BA$2*$H261))</f>
        <v>2444.7625444859436</v>
      </c>
      <c r="BB261" s="23">
        <f t="shared" ref="BB261" si="6259">($O261*$Q261*$S261)^(1/3)/(BB256*((1-BB$2)*$H256+BB$2*$H257) + BB258*((1-BB$2)*$H258+BB$2*$H259) + BB260*((1-BB$2)*$H260+BB$2*$H261))</f>
        <v>2607.9469736167757</v>
      </c>
      <c r="BC261" s="23">
        <f t="shared" ref="BC261" si="6260">($O261*$Q261*$S261)^(1/3)/(BC256*((1-BC$2)*$H256+BC$2*$H257) + BC258*((1-BC$2)*$H258+BC$2*$H259) + BC260*((1-BC$2)*$H260+BC$2*$H261))</f>
        <v>3066.3819146664309</v>
      </c>
      <c r="BD261" s="23">
        <f t="shared" ref="BD261" si="6261">($O261*$Q261*$S261)^(1/3)/(BD256*((1-BD$2)*$H256+BD$2*$H257) + BD258*((1-BD$2)*$H258+BD$2*$H259) + BD260*((1-BD$2)*$H260+BD$2*$H261))</f>
        <v>1718.4487355912904</v>
      </c>
      <c r="BE261" s="23">
        <f t="shared" ref="BE261" si="6262">($O261*$Q261*$S261)^(1/3)/(BE256*((1-BE$2)*$H256+BE$2*$H257) + BE258*((1-BE$2)*$H258+BE$2*$H259) + BE260*((1-BE$2)*$H260+BE$2*$H261))</f>
        <v>1793.9968068102473</v>
      </c>
      <c r="BF261" s="23">
        <f t="shared" ref="BF261" si="6263">($O261*$Q261*$S261)^(1/3)/(BF256*((1-BF$2)*$H256+BF$2*$H257) + BF258*((1-BF$2)*$H258+BF$2*$H259) + BF260*((1-BF$2)*$H260+BF$2*$H261))</f>
        <v>1888.2008875977535</v>
      </c>
      <c r="BG261" s="23">
        <f t="shared" ref="BG261" si="6264">($O261*$Q261*$S261)^(1/3)/(BG256*((1-BG$2)*$H256+BG$2*$H257) + BG258*((1-BG$2)*$H258+BG$2*$H259) + BG260*((1-BG$2)*$H260+BG$2*$H261))</f>
        <v>2276.8829194590539</v>
      </c>
      <c r="BH261" s="23">
        <f t="shared" ref="BH261" si="6265">($O261*$Q261*$S261)^(1/3)/(BH256*((1-BH$2)*$H256+BH$2*$H257) + BH258*((1-BH$2)*$H258+BH$2*$H259) + BH260*((1-BH$2)*$H260+BH$2*$H261))</f>
        <v>2165.1165421405485</v>
      </c>
      <c r="BI261" s="23">
        <f t="shared" ref="BI261" si="6266">($O261*$Q261*$S261)^(1/3)/(BI256*((1-BI$2)*$H256+BI$2*$H257) + BI258*((1-BI$2)*$H258+BI$2*$H259) + BI260*((1-BI$2)*$H260+BI$2*$H261))</f>
        <v>2538.5259229881199</v>
      </c>
      <c r="BJ261" s="23">
        <f t="shared" ref="BJ261" si="6267">($O261*$Q261*$S261)^(1/3)/(BJ256*((1-BJ$2)*$H256+BJ$2*$H257) + BJ258*((1-BJ$2)*$H258+BJ$2*$H259) + BJ260*((1-BJ$2)*$H260+BJ$2*$H261))</f>
        <v>2640.5227448690202</v>
      </c>
      <c r="BK261" s="23">
        <f t="shared" ref="BK261" si="6268">($O261*$Q261*$S261)^(1/3)/(BK256*((1-BK$2)*$H256+BK$2*$H257) + BK258*((1-BK$2)*$H258+BK$2*$H259) + BK260*((1-BK$2)*$H260+BK$2*$H261))</f>
        <v>3020.4460382116486</v>
      </c>
      <c r="BL261" s="23">
        <f t="shared" ref="BL261" si="6269">($O261*$Q261*$S261)^(1/3)/(BL256*((1-BL$2)*$H256+BL$2*$H257) + BL258*((1-BL$2)*$H258+BL$2*$H259) + BL260*((1-BL$2)*$H260+BL$2*$H261))</f>
        <v>1869.8358861076658</v>
      </c>
      <c r="BM261" s="23">
        <f t="shared" ref="BM261" si="6270">($O261*$Q261*$S261)^(1/3)/(BM256*((1-BM$2)*$H256+BM$2*$H257) + BM258*((1-BM$2)*$H258+BM$2*$H259) + BM260*((1-BM$2)*$H260+BM$2*$H261))</f>
        <v>1939.5679727469001</v>
      </c>
      <c r="BN261" s="23">
        <f t="shared" ref="BN261" si="6271">($O261*$Q261*$S261)^(1/3)/(BN256*((1-BN$2)*$H256+BN$2*$H257) + BN258*((1-BN$2)*$H258+BN$2*$H259) + BN260*((1-BN$2)*$H260+BN$2*$H261))</f>
        <v>2025.6153525025011</v>
      </c>
      <c r="BO261" s="23">
        <f t="shared" ref="BO261" si="6272">($O261*$Q261*$S261)^(1/3)/(BO256*((1-BO$2)*$H256+BO$2*$H257) + BO258*((1-BO$2)*$H258+BO$2*$H259) + BO260*((1-BO$2)*$H260+BO$2*$H261))</f>
        <v>2411.2099237495231</v>
      </c>
      <c r="BP261" s="23">
        <f t="shared" ref="BP261" si="6273">($O261*$Q261*$S261)^(1/3)/(BP256*((1-BP$2)*$H256+BP$2*$H257) + BP258*((1-BP$2)*$H258+BP$2*$H259) + BP260*((1-BP$2)*$H260+BP$2*$H261))</f>
        <v>2272.3700004780662</v>
      </c>
      <c r="BQ261" s="23">
        <f t="shared" ref="BQ261" si="6274">($O261*$Q261*$S261)^(1/3)/(BQ256*((1-BQ$2)*$H256+BQ$2*$H257) + BQ258*((1-BQ$2)*$H258+BQ$2*$H259) + BQ260*((1-BQ$2)*$H260+BQ$2*$H261))</f>
        <v>2639.768309799058</v>
      </c>
      <c r="BR261" s="23">
        <f t="shared" ref="BR261" si="6275">($O261*$Q261*$S261)^(1/3)/(BR256*((1-BR$2)*$H256+BR$2*$H257) + BR258*((1-BR$2)*$H258+BR$2*$H259) + BR260*((1-BR$2)*$H260+BR$2*$H261))</f>
        <v>2673.9226154757221</v>
      </c>
      <c r="BS261" s="23">
        <f t="shared" ref="BS261" si="6276">($O261*$Q261*$S261)^(1/3)/(BS256*((1-BS$2)*$H256+BS$2*$H257) + BS258*((1-BS$2)*$H258+BS$2*$H259) + BS260*((1-BS$2)*$H260+BS$2*$H261))</f>
        <v>2975.866131736338</v>
      </c>
      <c r="BT261" s="23">
        <f t="shared" ref="BT261" si="6277">($O261*$Q261*$S261)^(1/3)/(BT256*((1-BT$2)*$H256+BT$2*$H257) + BT258*((1-BT$2)*$H258+BT$2*$H259) + BT260*((1-BT$2)*$H260+BT$2*$H261))</f>
        <v>2050.4727732773358</v>
      </c>
      <c r="BU261" s="23">
        <f t="shared" ref="BU261" si="6278">($O261*$Q261*$S261)^(1/3)/(BU256*((1-BU$2)*$H256+BU$2*$H257) + BU258*((1-BU$2)*$H258+BU$2*$H259) + BU260*((1-BU$2)*$H260+BU$2*$H261))</f>
        <v>2110.8496879818831</v>
      </c>
      <c r="BV261" s="23">
        <f t="shared" ref="BV261" si="6279">($O261*$Q261*$S261)^(1/3)/(BV256*((1-BV$2)*$H256+BV$2*$H257) + BV258*((1-BV$2)*$H258+BV$2*$H259) + BV260*((1-BV$2)*$H260+BV$2*$H261))</f>
        <v>2184.6003926873714</v>
      </c>
      <c r="BW261" s="23">
        <f t="shared" ref="BW261" si="6280">($O261*$Q261*$S261)^(1/3)/(BW256*((1-BW$2)*$H256+BW$2*$H257) + BW258*((1-BW$2)*$H258+BW$2*$H259) + BW260*((1-BW$2)*$H260+BW$2*$H261))</f>
        <v>2562.3801235467304</v>
      </c>
      <c r="BX261" s="23">
        <f t="shared" ref="BX261" si="6281">($O261*$Q261*$S261)^(1/3)/(BX256*((1-BX$2)*$H256+BX$2*$H257) + BX258*((1-BX$2)*$H258+BX$2*$H259) + BX260*((1-BX$2)*$H260+BX$2*$H261))</f>
        <v>2390.8033127289932</v>
      </c>
      <c r="BY261" s="23">
        <f t="shared" ref="BY261" si="6282">($O261*$Q261*$S261)^(1/3)/(BY256*((1-BY$2)*$H256+BY$2*$H257) + BY258*((1-BY$2)*$H258+BY$2*$H259) + BY260*((1-BY$2)*$H260+BY$2*$H261))</f>
        <v>2749.4217171047653</v>
      </c>
      <c r="BZ261" s="23">
        <f t="shared" ref="BZ261" si="6283">($O261*$Q261*$S261)^(1/3)/(BZ256*((1-BZ$2)*$H256+BZ$2*$H257) + BZ258*((1-BZ$2)*$H258+BZ$2*$H259) + BZ260*((1-BZ$2)*$H260+BZ$2*$H261))</f>
        <v>2708.1782580658296</v>
      </c>
      <c r="CA261" s="23">
        <f t="shared" ref="CA261" si="6284">($O261*$Q261*$S261)^(1/3)/(CA256*((1-CA$2)*$H256+CA$2*$H257) + CA258*((1-CA$2)*$H258+CA$2*$H259) + CA260*((1-CA$2)*$H260+CA$2*$H261))</f>
        <v>2932.5830286794735</v>
      </c>
      <c r="CB261" s="23">
        <f t="shared" ref="CB261" si="6285">($O261*$Q261*$S261)^(1/3)/(CB256*((1-CB$2)*$H256+CB$2*$H257) + CB258*((1-CB$2)*$H258+CB$2*$H259) + CB260*((1-CB$2)*$H260+CB$2*$H261))</f>
        <v>2269.7429831364734</v>
      </c>
      <c r="CC261" s="23">
        <f t="shared" ref="CC261" si="6286">($O261*$Q261*$S261)^(1/3)/(CC256*((1-CC$2)*$H256+CC$2*$H257) + CC258*((1-CC$2)*$H258+CC$2*$H259) + CC260*((1-CC$2)*$H260+CC$2*$H261))</f>
        <v>2315.3131642006538</v>
      </c>
      <c r="CD261" s="23">
        <f t="shared" ref="CD261" si="6287">($O261*$Q261*$S261)^(1/3)/(CD256*((1-CD$2)*$H256+CD$2*$H257) + CD258*((1-CD$2)*$H258+CD$2*$H259) + CD260*((1-CD$2)*$H260+CD$2*$H261))</f>
        <v>2370.6676492444826</v>
      </c>
      <c r="CE261" s="23">
        <f t="shared" ref="CE261" si="6288">($O261*$Q261*$S261)^(1/3)/(CE256*((1-CE$2)*$H256+CE$2*$H257) + CE258*((1-CE$2)*$H258+CE$2*$H259) + CE260*((1-CE$2)*$H260+CE$2*$H261))</f>
        <v>2733.773356651302</v>
      </c>
      <c r="CF261" s="23">
        <f t="shared" ref="CF261" si="6289">($O261*$Q261*$S261)^(1/3)/(CF256*((1-CF$2)*$H256+CF$2*$H257) + CF258*((1-CF$2)*$H258+CF$2*$H259) + CF260*((1-CF$2)*$H260+CF$2*$H261))</f>
        <v>2522.2606377351613</v>
      </c>
      <c r="CG261" s="23">
        <f t="shared" ref="CG261" si="6290">($O261*$Q261*$S261)^(1/3)/(CG256*((1-CG$2)*$H256+CG$2*$H257) + CG258*((1-CG$2)*$H258+CG$2*$H259) + CG260*((1-CG$2)*$H260+CG$2*$H261))</f>
        <v>2868.5797281119903</v>
      </c>
      <c r="CH261" s="23">
        <f t="shared" ref="CH261" si="6291">($O261*$Q261*$S261)^(1/3)/(CH256*((1-CH$2)*$H256+CH$2*$H257) + CH258*((1-CH$2)*$H258+CH$2*$H259) + CH260*((1-CH$2)*$H260+CH$2*$H261))</f>
        <v>2743.3229893639559</v>
      </c>
      <c r="CI261" s="23">
        <f t="shared" ref="CI261" si="6292">($O261*$Q261*$S261)^(1/3)/(CI256*((1-CI$2)*$H256+CI$2*$H257) + CI258*((1-CI$2)*$H258+CI$2*$H259) + CI260*((1-CI$2)*$H260+CI$2*$H261))</f>
        <v>2890.54095537274</v>
      </c>
      <c r="CJ261" s="23">
        <f t="shared" ref="CJ261" si="6293">($O261*$Q261*$S261)^(1/3)/(CJ256*((1-CJ$2)*$H256+CJ$2*$H257) + CJ258*((1-CJ$2)*$H258+CJ$2*$H259) + CJ260*((1-CJ$2)*$H260+CJ$2*$H261))</f>
        <v>2541.5245053890603</v>
      </c>
      <c r="CK261" s="23">
        <f t="shared" ref="CK261" si="6294">($O261*$Q261*$S261)^(1/3)/(CK256*((1-CK$2)*$H256+CK$2*$H257) + CK258*((1-CK$2)*$H258+CK$2*$H259) + CK260*((1-CK$2)*$H260+CK$2*$H261))</f>
        <v>2563.6348186306486</v>
      </c>
      <c r="CL261" s="23">
        <f t="shared" ref="CL261" si="6295">($O261*$Q261*$S261)^(1/3)/(CL256*((1-CL$2)*$H256+CL$2*$H257) + CL258*((1-CL$2)*$H258+CL$2*$H259) + CL260*((1-CL$2)*$H260+CL$2*$H261))</f>
        <v>2591.3813405659685</v>
      </c>
      <c r="CM261" s="23">
        <f t="shared" ref="CM261" si="6296">($O261*$Q261*$S261)^(1/3)/(CM256*((1-CM$2)*$H256+CM$2*$H257) + CM258*((1-CM$2)*$H258+CM$2*$H259) + CM260*((1-CM$2)*$H260+CM$2*$H261))</f>
        <v>2929.7385691937084</v>
      </c>
      <c r="CN261" s="23">
        <f t="shared" ref="CN261" si="6297">($O261*$Q261*$S261)^(1/3)/(CN256*((1-CN$2)*$H256+CN$2*$H257) + CN258*((1-CN$2)*$H258+CN$2*$H259) + CN260*((1-CN$2)*$H260+CN$2*$H261))</f>
        <v>2669.0153349823941</v>
      </c>
      <c r="CO261" s="23">
        <f t="shared" ref="CO261" si="6298">($O261*$Q261*$S261)^(1/3)/(CO256*((1-CO$2)*$H256+CO$2*$H257) + CO258*((1-CO$2)*$H258+CO$2*$H259) + CO260*((1-CO$2)*$H260+CO$2*$H261))</f>
        <v>2998.5340950543882</v>
      </c>
      <c r="CP261" s="23">
        <f t="shared" ref="CP261" si="6299">($O261*$Q261*$S261)^(1/3)/(CP256*((1-CP$2)*$H256+CP$2*$H257) + CP258*((1-CP$2)*$H258+CP$2*$H259) + CP260*((1-CP$2)*$H260+CP$2*$H261))</f>
        <v>2779.3918782722644</v>
      </c>
      <c r="CQ261" s="23">
        <f t="shared" ref="CQ261" si="6300">($O261*$Q261*$S261)^(1/3)/(CQ256*((1-CQ$2)*$H256+CQ$2*$H257) + CQ258*((1-CQ$2)*$H258+CQ$2*$H259) + CQ260*((1-CQ$2)*$H260+CQ$2*$H261))</f>
        <v>2849.6872912720924</v>
      </c>
      <c r="CS261" s="2">
        <f t="shared" ref="CS261" si="6301">100*$AF261/AF261</f>
        <v>99.999999999999986</v>
      </c>
      <c r="CT261" s="2">
        <f t="shared" ref="CT261" si="6302">100*$AF261/AG261</f>
        <v>94.422535211267586</v>
      </c>
      <c r="CU261" s="2">
        <f t="shared" ref="CU261" si="6303">100*$AF261/AH261</f>
        <v>88.126760563380273</v>
      </c>
      <c r="CV261" s="2">
        <f t="shared" ref="CV261" si="6304">100*$AF261/AI261</f>
        <v>70.873239436619713</v>
      </c>
      <c r="CW261" s="2">
        <f t="shared" ref="CW261" si="6305">100*$AF261/AJ261</f>
        <v>72.901408450704224</v>
      </c>
      <c r="CX261" s="2">
        <f t="shared" ref="CX261" si="6306">100*$AF261/AK261</f>
        <v>60.732394366197177</v>
      </c>
      <c r="CY261" s="2">
        <f t="shared" ref="CY261" si="6307">100*$AF261/AL261</f>
        <v>54.323943661971832</v>
      </c>
      <c r="CZ261" s="2">
        <f t="shared" ref="CZ261" si="6308">100*$AF261/AM261</f>
        <v>43.718309859154921</v>
      </c>
      <c r="DA261" s="2">
        <f t="shared" ref="DA261" si="6309">100*$AF261/AN261</f>
        <v>93.48591549295773</v>
      </c>
      <c r="DB261" s="2">
        <f t="shared" ref="DB261" si="6310">100*$AF261/AO261</f>
        <v>88.638204225352098</v>
      </c>
      <c r="DC261" s="2">
        <f t="shared" ref="DC261" si="6311">100*$AF261/AP261</f>
        <v>83.159330985915474</v>
      </c>
      <c r="DD261" s="2">
        <f t="shared" ref="DD261" si="6312">100*$AF261/AQ261</f>
        <v>67.490316901408448</v>
      </c>
      <c r="DE261" s="2">
        <f t="shared" ref="DE261" si="6313">100*$AF261/AR261</f>
        <v>69.887323943661968</v>
      </c>
      <c r="DF261" s="2">
        <f t="shared" ref="DF261" si="6314">100*$AF261/AS261</f>
        <v>58.643485915492953</v>
      </c>
      <c r="DG261" s="2">
        <f t="shared" ref="DG261" si="6315">100*$AF261/AT261</f>
        <v>53.669894366197177</v>
      </c>
      <c r="DH261" s="2">
        <f t="shared" ref="DH261" si="6316">100*$AF261/AU261</f>
        <v>44.404049295774641</v>
      </c>
      <c r="DI261" s="2">
        <f t="shared" ref="DI261" si="6317">100*$AF261/AV261</f>
        <v>86.971830985915489</v>
      </c>
      <c r="DJ261" s="2">
        <f t="shared" ref="DJ261" si="6318">100*$AF261/AW261</f>
        <v>82.853873239436595</v>
      </c>
      <c r="DK261" s="2">
        <f t="shared" ref="DK261" si="6319">100*$AF261/AX261</f>
        <v>78.191901408450704</v>
      </c>
      <c r="DL261" s="2">
        <f t="shared" ref="DL261" si="6320">100*$AF261/AY261</f>
        <v>64.10739436619717</v>
      </c>
      <c r="DM261" s="2">
        <f t="shared" ref="DM261" si="6321">100*$AF261/AZ261</f>
        <v>66.873239436619713</v>
      </c>
      <c r="DN261" s="2">
        <f t="shared" ref="DN261" si="6322">100*$AF261/BA261</f>
        <v>56.554577464788728</v>
      </c>
      <c r="DO261" s="2">
        <f t="shared" ref="DO261" si="6323">100*$AF261/BB261</f>
        <v>53.015845070422529</v>
      </c>
      <c r="DP261" s="2">
        <f t="shared" ref="DP261" si="6324">100*$AF261/BC261</f>
        <v>45.089788732394368</v>
      </c>
      <c r="DQ261" s="2">
        <f t="shared" ref="DQ261" si="6325">100*$AF261/BD261</f>
        <v>80.457746478873233</v>
      </c>
      <c r="DR261" s="2">
        <f t="shared" ref="DR261" si="6326">100*$AF261/BE261</f>
        <v>77.069542253521107</v>
      </c>
      <c r="DS261" s="2">
        <f t="shared" ref="DS261" si="6327">100*$AF261/BF261</f>
        <v>73.224471830985905</v>
      </c>
      <c r="DT261" s="2">
        <f t="shared" ref="DT261" si="6328">100*$AF261/BG261</f>
        <v>60.724471830985919</v>
      </c>
      <c r="DU261" s="2">
        <f t="shared" ref="DU261" si="6329">100*$AF261/BH261</f>
        <v>63.85915492957745</v>
      </c>
      <c r="DV261" s="2">
        <f t="shared" ref="DV261" si="6330">100*$AF261/BI261</f>
        <v>54.465669014084497</v>
      </c>
      <c r="DW261" s="2">
        <f t="shared" ref="DW261" si="6331">100*$AF261/BJ261</f>
        <v>52.361795774647888</v>
      </c>
      <c r="DX261" s="2">
        <f t="shared" ref="DX261" si="6332">100*$AF261/BK261</f>
        <v>45.775528169014081</v>
      </c>
      <c r="DY261" s="2">
        <f t="shared" ref="DY261" si="6333">100*$AF261/BL261</f>
        <v>73.943661971830977</v>
      </c>
      <c r="DZ261" s="2">
        <f t="shared" ref="DZ261" si="6334">100*$AF261/BM261</f>
        <v>71.285211267605618</v>
      </c>
      <c r="EA261" s="2">
        <f t="shared" ref="EA261" si="6335">100*$AF261/BN261</f>
        <v>68.257042253521121</v>
      </c>
      <c r="EB261" s="2">
        <f t="shared" ref="EB261" si="6336">100*$AF261/BO261</f>
        <v>57.341549295774641</v>
      </c>
      <c r="EC261" s="2">
        <f t="shared" ref="EC261" si="6337">100*$AF261/BP261</f>
        <v>60.845070422535208</v>
      </c>
      <c r="ED261" s="2">
        <f t="shared" ref="ED261" si="6338">100*$AF261/BQ261</f>
        <v>52.376760563380273</v>
      </c>
      <c r="EE261" s="2">
        <f t="shared" ref="EE261" si="6339">100*$AF261/BR261</f>
        <v>51.70774647887324</v>
      </c>
      <c r="EF261" s="2">
        <f t="shared" ref="EF261" si="6340">100*$AF261/BS261</f>
        <v>46.4612676056338</v>
      </c>
      <c r="EG261" s="2">
        <f t="shared" ref="EG261" si="6341">100*$AF261/BT261</f>
        <v>67.429577464788736</v>
      </c>
      <c r="EH261" s="2">
        <f t="shared" ref="EH261" si="6342">100*$AF261/BU261</f>
        <v>65.500880281690129</v>
      </c>
      <c r="EI261" s="2">
        <f t="shared" ref="EI261" si="6343">100*$AF261/BV261</f>
        <v>63.289612676056329</v>
      </c>
      <c r="EJ261" s="2">
        <f t="shared" ref="EJ261" si="6344">100*$AF261/BW261</f>
        <v>53.958626760563376</v>
      </c>
      <c r="EK261" s="2">
        <f t="shared" ref="EK261" si="6345">100*$AF261/BX261</f>
        <v>57.830985915492953</v>
      </c>
      <c r="EL261" s="2">
        <f t="shared" ref="EL261" si="6346">100*$AF261/BY261</f>
        <v>50.287852112676056</v>
      </c>
      <c r="EM261" s="2">
        <f t="shared" ref="EM261" si="6347">100*$AF261/BZ261</f>
        <v>51.053697183098592</v>
      </c>
      <c r="EN261" s="2">
        <f t="shared" ref="EN261" si="6348">100*$AF261/CA261</f>
        <v>47.14700704225352</v>
      </c>
      <c r="EO261" s="2">
        <f t="shared" ref="EO261" si="6349">100*$AF261/CB261</f>
        <v>60.915492957746466</v>
      </c>
      <c r="EP261" s="2">
        <f t="shared" ref="EP261" si="6350">100*$AF261/CC261</f>
        <v>59.716549295774634</v>
      </c>
      <c r="EQ261" s="2">
        <f t="shared" ref="EQ261" si="6351">100*$AF261/CD261</f>
        <v>58.322183098591537</v>
      </c>
      <c r="ER261" s="2">
        <f t="shared" ref="ER261" si="6352">100*$AF261/CE261</f>
        <v>50.575704225352119</v>
      </c>
      <c r="ES261" s="2">
        <f t="shared" ref="ES261" si="6353">100*$AF261/CF261</f>
        <v>54.81690140845069</v>
      </c>
      <c r="ET261" s="2">
        <f t="shared" ref="ET261" si="6354">100*$AF261/CG261</f>
        <v>48.198943661971832</v>
      </c>
      <c r="EU261" s="2">
        <f t="shared" ref="EU261" si="6355">100*$AF261/CH261</f>
        <v>50.399647887323944</v>
      </c>
      <c r="EV261" s="2">
        <f t="shared" ref="EV261" si="6356">100*$AF261/CI261</f>
        <v>47.832746478873233</v>
      </c>
      <c r="EW261" s="2">
        <f t="shared" ref="EW261" si="6357">100*$AF261/CJ261</f>
        <v>54.401408450704224</v>
      </c>
      <c r="EX261" s="2">
        <f t="shared" ref="EX261" si="6358">100*$AF261/CK261</f>
        <v>53.932218309859145</v>
      </c>
      <c r="EY261" s="2">
        <f t="shared" ref="EY261" si="6359">100*$AF261/CL261</f>
        <v>53.35475352112676</v>
      </c>
      <c r="EZ261" s="2">
        <f t="shared" ref="EZ261" si="6360">100*$AF261/CM261</f>
        <v>47.192781690140855</v>
      </c>
      <c r="FA261" s="2">
        <f t="shared" ref="FA261" si="6361">100*$AF261/CN261</f>
        <v>51.802816901408448</v>
      </c>
      <c r="FB261" s="2">
        <f t="shared" ref="FB261" si="6362">100*$AF261/CO261</f>
        <v>46.110035211267608</v>
      </c>
      <c r="FC261" s="2">
        <f t="shared" ref="FC261" si="6363">100*$AF261/CP261</f>
        <v>49.745598591549289</v>
      </c>
      <c r="FD261" s="2">
        <f t="shared" ref="FD261" si="6364">100*$AF261/CQ261</f>
        <v>48.51848591549296</v>
      </c>
    </row>
    <row r="262" spans="3:160" x14ac:dyDescent="0.4">
      <c r="C262" s="1" t="s">
        <v>53</v>
      </c>
      <c r="D262" s="1" t="s">
        <v>5</v>
      </c>
      <c r="E262" s="1">
        <v>0.25900000000000001</v>
      </c>
      <c r="F262" s="1">
        <v>0.151</v>
      </c>
      <c r="G262" s="1">
        <v>0.109</v>
      </c>
      <c r="H262" s="1">
        <v>7.0999999999999994E-2</v>
      </c>
      <c r="I262" s="1">
        <v>5960</v>
      </c>
      <c r="J262" s="1">
        <v>4613</v>
      </c>
      <c r="K262" s="1">
        <v>72</v>
      </c>
      <c r="L262" s="1">
        <v>6992</v>
      </c>
      <c r="M262" s="1">
        <v>6635</v>
      </c>
      <c r="N262" s="1">
        <v>76</v>
      </c>
      <c r="O262" s="1">
        <v>98</v>
      </c>
      <c r="P262" s="1">
        <v>91</v>
      </c>
      <c r="Q262" s="1">
        <v>98</v>
      </c>
      <c r="R262" s="1">
        <v>52</v>
      </c>
      <c r="S262" s="1">
        <v>98.5</v>
      </c>
      <c r="T262" s="4">
        <v>0</v>
      </c>
      <c r="U262" s="1">
        <v>1.603</v>
      </c>
      <c r="V262" s="1">
        <v>7.6999999999999999E-2</v>
      </c>
      <c r="W262" s="1">
        <v>4.0199999999999996</v>
      </c>
      <c r="X262" s="1">
        <f t="shared" ref="X262" si="6365">H263</f>
        <v>2.7E-2</v>
      </c>
      <c r="Y262" s="1">
        <f t="shared" ref="Y262" si="6366">H264</f>
        <v>6.5000000000000002E-2</v>
      </c>
      <c r="Z262" s="1">
        <f t="shared" ref="Z262" si="6367">H265</f>
        <v>2.7E-2</v>
      </c>
      <c r="AA262" s="1">
        <f t="shared" ref="AA262" si="6368">H266</f>
        <v>2.3E-2</v>
      </c>
      <c r="AB262" s="1">
        <f t="shared" ref="AB262" si="6369">H267</f>
        <v>2.7E-2</v>
      </c>
      <c r="AC262" s="1">
        <f t="shared" si="6237"/>
        <v>3842.6549241834482</v>
      </c>
      <c r="AE262" s="1" t="s">
        <v>96</v>
      </c>
      <c r="AF262" s="1">
        <v>1</v>
      </c>
      <c r="AG262" s="1">
        <v>0.81499999999999995</v>
      </c>
      <c r="AH262" s="1">
        <v>0.64500000000000002</v>
      </c>
      <c r="AI262" s="1">
        <v>0.39500000000000002</v>
      </c>
      <c r="AJ262" s="1">
        <v>0.36</v>
      </c>
      <c r="AK262" s="1">
        <v>0.245</v>
      </c>
      <c r="AL262" s="1">
        <v>0.14499999999999999</v>
      </c>
      <c r="AM262" s="20">
        <v>6.5000000000000002E-2</v>
      </c>
      <c r="AN262" s="1">
        <v>1</v>
      </c>
      <c r="AO262" s="1">
        <v>0.81499999999999995</v>
      </c>
      <c r="AP262" s="1">
        <v>0.64500000000000002</v>
      </c>
      <c r="AQ262" s="1">
        <v>0.39500000000000002</v>
      </c>
      <c r="AR262" s="1">
        <v>0.36</v>
      </c>
      <c r="AS262" s="1">
        <v>0.245</v>
      </c>
      <c r="AT262" s="1">
        <v>0.14499999999999999</v>
      </c>
      <c r="AU262" s="20">
        <v>6.5000000000000002E-2</v>
      </c>
      <c r="AV262" s="1">
        <v>1</v>
      </c>
      <c r="AW262" s="1">
        <v>0.81499999999999995</v>
      </c>
      <c r="AX262" s="1">
        <v>0.64500000000000002</v>
      </c>
      <c r="AY262" s="1">
        <v>0.39500000000000002</v>
      </c>
      <c r="AZ262" s="1">
        <v>0.36</v>
      </c>
      <c r="BA262" s="1">
        <v>0.245</v>
      </c>
      <c r="BB262" s="1">
        <v>0.14499999999999999</v>
      </c>
      <c r="BC262" s="20">
        <v>6.5000000000000002E-2</v>
      </c>
      <c r="BD262" s="1">
        <v>1</v>
      </c>
      <c r="BE262" s="1">
        <v>0.81499999999999995</v>
      </c>
      <c r="BF262" s="1">
        <v>0.64500000000000002</v>
      </c>
      <c r="BG262" s="1">
        <v>0.39500000000000002</v>
      </c>
      <c r="BH262" s="1">
        <v>0.36</v>
      </c>
      <c r="BI262" s="1">
        <v>0.245</v>
      </c>
      <c r="BJ262" s="1">
        <v>0.14499999999999999</v>
      </c>
      <c r="BK262" s="20">
        <v>6.5000000000000002E-2</v>
      </c>
      <c r="BL262" s="1">
        <v>1</v>
      </c>
      <c r="BM262" s="1">
        <v>0.81499999999999995</v>
      </c>
      <c r="BN262" s="1">
        <v>0.64500000000000002</v>
      </c>
      <c r="BO262" s="1">
        <v>0.39500000000000002</v>
      </c>
      <c r="BP262" s="1">
        <v>0.36</v>
      </c>
      <c r="BQ262" s="1">
        <v>0.245</v>
      </c>
      <c r="BR262" s="1">
        <v>0.14499999999999999</v>
      </c>
      <c r="BS262" s="20">
        <v>6.5000000000000002E-2</v>
      </c>
      <c r="BT262" s="1">
        <v>1</v>
      </c>
      <c r="BU262" s="1">
        <v>0.81499999999999995</v>
      </c>
      <c r="BV262" s="1">
        <v>0.64500000000000002</v>
      </c>
      <c r="BW262" s="1">
        <v>0.39500000000000002</v>
      </c>
      <c r="BX262" s="1">
        <v>0.36</v>
      </c>
      <c r="BY262" s="1">
        <v>0.245</v>
      </c>
      <c r="BZ262" s="1">
        <v>0.14499999999999999</v>
      </c>
      <c r="CA262" s="20">
        <v>6.5000000000000002E-2</v>
      </c>
      <c r="CB262" s="1">
        <v>1</v>
      </c>
      <c r="CC262" s="1">
        <v>0.81499999999999995</v>
      </c>
      <c r="CD262" s="1">
        <v>0.64500000000000002</v>
      </c>
      <c r="CE262" s="1">
        <v>0.39500000000000002</v>
      </c>
      <c r="CF262" s="1">
        <v>0.36</v>
      </c>
      <c r="CG262" s="1">
        <v>0.245</v>
      </c>
      <c r="CH262" s="1">
        <v>0.14499999999999999</v>
      </c>
      <c r="CI262" s="20">
        <v>6.5000000000000002E-2</v>
      </c>
      <c r="CJ262" s="1">
        <v>1</v>
      </c>
      <c r="CK262" s="1">
        <v>0.81499999999999995</v>
      </c>
      <c r="CL262" s="1">
        <v>0.64500000000000002</v>
      </c>
      <c r="CM262" s="1">
        <v>0.39500000000000002</v>
      </c>
      <c r="CN262" s="1">
        <v>0.36</v>
      </c>
      <c r="CO262" s="1">
        <v>0.245</v>
      </c>
      <c r="CP262" s="1">
        <v>0.14499999999999999</v>
      </c>
      <c r="CQ262" s="20">
        <v>6.5000000000000002E-2</v>
      </c>
    </row>
    <row r="263" spans="3:160" x14ac:dyDescent="0.4">
      <c r="C263" s="1" t="s">
        <v>53</v>
      </c>
      <c r="D263" s="1" t="s">
        <v>6</v>
      </c>
      <c r="E263" s="1">
        <v>0.20499999999999999</v>
      </c>
      <c r="F263" s="1">
        <v>9.8000000000000004E-2</v>
      </c>
      <c r="G263" s="1">
        <v>0.108</v>
      </c>
      <c r="H263" s="1">
        <v>2.7E-2</v>
      </c>
      <c r="I263" s="1">
        <v>5960</v>
      </c>
      <c r="J263" s="1">
        <v>4613</v>
      </c>
      <c r="K263" s="1">
        <v>72</v>
      </c>
      <c r="L263" s="1">
        <v>6992</v>
      </c>
      <c r="M263" s="1">
        <v>6635</v>
      </c>
      <c r="N263" s="1">
        <v>76</v>
      </c>
      <c r="O263" s="1">
        <v>98</v>
      </c>
      <c r="P263" s="1">
        <v>91</v>
      </c>
      <c r="Q263" s="1">
        <v>98</v>
      </c>
      <c r="R263" s="1">
        <v>52</v>
      </c>
      <c r="S263" s="1">
        <v>98.5</v>
      </c>
      <c r="T263" s="4">
        <v>0</v>
      </c>
      <c r="U263" s="1">
        <v>1.603</v>
      </c>
      <c r="V263" s="1">
        <v>7.6999999999999999E-2</v>
      </c>
      <c r="W263" s="1">
        <v>4.0199999999999996</v>
      </c>
      <c r="X263" s="1">
        <f t="shared" ref="X263" si="6370">H263</f>
        <v>2.7E-2</v>
      </c>
      <c r="Y263" s="1">
        <f t="shared" ref="Y263" si="6371">H264</f>
        <v>6.5000000000000002E-2</v>
      </c>
      <c r="Z263" s="1">
        <f t="shared" ref="Z263" si="6372">H265</f>
        <v>2.7E-2</v>
      </c>
      <c r="AA263" s="1">
        <f t="shared" ref="AA263" si="6373">H266</f>
        <v>2.3E-2</v>
      </c>
      <c r="AB263" s="1">
        <f t="shared" ref="AB263" si="6374">H267</f>
        <v>2.7E-2</v>
      </c>
      <c r="AC263" s="1">
        <f t="shared" si="6237"/>
        <v>3842.6549241834482</v>
      </c>
      <c r="CQ263" s="20"/>
    </row>
    <row r="264" spans="3:160" x14ac:dyDescent="0.4">
      <c r="C264" s="1" t="s">
        <v>53</v>
      </c>
      <c r="D264" s="1" t="s">
        <v>7</v>
      </c>
      <c r="E264" s="1">
        <v>0.253</v>
      </c>
      <c r="F264" s="1">
        <v>0.14399999999999999</v>
      </c>
      <c r="G264" s="1">
        <v>0.109</v>
      </c>
      <c r="H264" s="1">
        <v>6.5000000000000002E-2</v>
      </c>
      <c r="I264" s="1">
        <v>5960</v>
      </c>
      <c r="J264" s="1">
        <v>4613</v>
      </c>
      <c r="K264" s="1">
        <v>72</v>
      </c>
      <c r="L264" s="1">
        <v>6992</v>
      </c>
      <c r="M264" s="1">
        <v>6635</v>
      </c>
      <c r="N264" s="1">
        <v>76</v>
      </c>
      <c r="O264" s="1">
        <v>98</v>
      </c>
      <c r="P264" s="1">
        <v>91</v>
      </c>
      <c r="Q264" s="1">
        <v>98</v>
      </c>
      <c r="R264" s="1">
        <v>52</v>
      </c>
      <c r="S264" s="1">
        <v>98.5</v>
      </c>
      <c r="T264" s="4">
        <v>0</v>
      </c>
      <c r="U264" s="1">
        <v>1.603</v>
      </c>
      <c r="V264" s="1">
        <v>7.6999999999999999E-2</v>
      </c>
      <c r="W264" s="1">
        <v>4.0199999999999996</v>
      </c>
      <c r="X264" s="1">
        <f t="shared" ref="X264" si="6375">H263</f>
        <v>2.7E-2</v>
      </c>
      <c r="Y264" s="1">
        <f t="shared" ref="Y264" si="6376">H264</f>
        <v>6.5000000000000002E-2</v>
      </c>
      <c r="Z264" s="1">
        <f t="shared" ref="Z264" si="6377">H265</f>
        <v>2.7E-2</v>
      </c>
      <c r="AA264" s="1">
        <f t="shared" ref="AA264" si="6378">H266</f>
        <v>2.3E-2</v>
      </c>
      <c r="AB264" s="1">
        <f t="shared" ref="AB264" si="6379">H267</f>
        <v>2.7E-2</v>
      </c>
      <c r="AC264" s="1">
        <f t="shared" si="6237"/>
        <v>3842.6549241834482</v>
      </c>
      <c r="AE264" s="1" t="s">
        <v>97</v>
      </c>
      <c r="AF264" s="1">
        <v>0</v>
      </c>
      <c r="AG264" s="1">
        <v>0.12</v>
      </c>
      <c r="AH264" s="1">
        <v>0.21</v>
      </c>
      <c r="AI264" s="1">
        <v>0.26</v>
      </c>
      <c r="AJ264" s="1">
        <v>0.28000000000000003</v>
      </c>
      <c r="AK264" s="1">
        <v>0.26</v>
      </c>
      <c r="AL264" s="1">
        <v>0.21</v>
      </c>
      <c r="AM264" s="20">
        <v>0.12</v>
      </c>
      <c r="AN264" s="1">
        <v>0</v>
      </c>
      <c r="AO264" s="1">
        <v>0.12</v>
      </c>
      <c r="AP264" s="1">
        <v>0.21</v>
      </c>
      <c r="AQ264" s="1">
        <v>0.26</v>
      </c>
      <c r="AR264" s="1">
        <v>0.28000000000000003</v>
      </c>
      <c r="AS264" s="1">
        <v>0.26</v>
      </c>
      <c r="AT264" s="1">
        <v>0.21</v>
      </c>
      <c r="AU264" s="20">
        <v>0.12</v>
      </c>
      <c r="AV264" s="1">
        <v>0</v>
      </c>
      <c r="AW264" s="1">
        <v>0.12</v>
      </c>
      <c r="AX264" s="1">
        <v>0.21</v>
      </c>
      <c r="AY264" s="1">
        <v>0.26</v>
      </c>
      <c r="AZ264" s="1">
        <v>0.28000000000000003</v>
      </c>
      <c r="BA264" s="1">
        <v>0.26</v>
      </c>
      <c r="BB264" s="1">
        <v>0.21</v>
      </c>
      <c r="BC264" s="20">
        <v>0.12</v>
      </c>
      <c r="BD264" s="1">
        <v>0</v>
      </c>
      <c r="BE264" s="1">
        <v>0.12</v>
      </c>
      <c r="BF264" s="1">
        <v>0.21</v>
      </c>
      <c r="BG264" s="1">
        <v>0.26</v>
      </c>
      <c r="BH264" s="1">
        <v>0.28000000000000003</v>
      </c>
      <c r="BI264" s="1">
        <v>0.26</v>
      </c>
      <c r="BJ264" s="1">
        <v>0.21</v>
      </c>
      <c r="BK264" s="20">
        <v>0.12</v>
      </c>
      <c r="BL264" s="1">
        <v>0</v>
      </c>
      <c r="BM264" s="1">
        <v>0.12</v>
      </c>
      <c r="BN264" s="1">
        <v>0.21</v>
      </c>
      <c r="BO264" s="1">
        <v>0.26</v>
      </c>
      <c r="BP264" s="1">
        <v>0.28000000000000003</v>
      </c>
      <c r="BQ264" s="1">
        <v>0.26</v>
      </c>
      <c r="BR264" s="1">
        <v>0.21</v>
      </c>
      <c r="BS264" s="20">
        <v>0.12</v>
      </c>
      <c r="BT264" s="1">
        <v>0</v>
      </c>
      <c r="BU264" s="1">
        <v>0.12</v>
      </c>
      <c r="BV264" s="1">
        <v>0.21</v>
      </c>
      <c r="BW264" s="1">
        <v>0.26</v>
      </c>
      <c r="BX264" s="1">
        <v>0.28000000000000003</v>
      </c>
      <c r="BY264" s="1">
        <v>0.26</v>
      </c>
      <c r="BZ264" s="1">
        <v>0.21</v>
      </c>
      <c r="CA264" s="20">
        <v>0.12</v>
      </c>
      <c r="CB264" s="1">
        <v>0</v>
      </c>
      <c r="CC264" s="1">
        <v>0.12</v>
      </c>
      <c r="CD264" s="1">
        <v>0.21</v>
      </c>
      <c r="CE264" s="1">
        <v>0.26</v>
      </c>
      <c r="CF264" s="1">
        <v>0.28000000000000003</v>
      </c>
      <c r="CG264" s="1">
        <v>0.26</v>
      </c>
      <c r="CH264" s="1">
        <v>0.21</v>
      </c>
      <c r="CI264" s="20">
        <v>0.12</v>
      </c>
      <c r="CJ264" s="1">
        <v>0</v>
      </c>
      <c r="CK264" s="1">
        <v>0.12</v>
      </c>
      <c r="CL264" s="1">
        <v>0.21</v>
      </c>
      <c r="CM264" s="1">
        <v>0.26</v>
      </c>
      <c r="CN264" s="1">
        <v>0.28000000000000003</v>
      </c>
      <c r="CO264" s="1">
        <v>0.26</v>
      </c>
      <c r="CP264" s="1">
        <v>0.21</v>
      </c>
      <c r="CQ264" s="20">
        <v>0.12</v>
      </c>
    </row>
    <row r="265" spans="3:160" x14ac:dyDescent="0.4">
      <c r="C265" s="1" t="s">
        <v>53</v>
      </c>
      <c r="D265" s="1" t="s">
        <v>8</v>
      </c>
      <c r="E265" s="1">
        <v>0.20599999999999999</v>
      </c>
      <c r="F265" s="1">
        <v>9.8000000000000004E-2</v>
      </c>
      <c r="G265" s="1">
        <v>0.108</v>
      </c>
      <c r="H265" s="1">
        <v>2.7E-2</v>
      </c>
      <c r="I265" s="1">
        <v>5960</v>
      </c>
      <c r="J265" s="1">
        <v>4613</v>
      </c>
      <c r="K265" s="1">
        <v>72</v>
      </c>
      <c r="L265" s="1">
        <v>6992</v>
      </c>
      <c r="M265" s="1">
        <v>6635</v>
      </c>
      <c r="N265" s="1">
        <v>76</v>
      </c>
      <c r="O265" s="1">
        <v>98</v>
      </c>
      <c r="P265" s="1">
        <v>91</v>
      </c>
      <c r="Q265" s="1">
        <v>98</v>
      </c>
      <c r="R265" s="1">
        <v>52</v>
      </c>
      <c r="S265" s="1">
        <v>98.5</v>
      </c>
      <c r="T265" s="4">
        <v>0</v>
      </c>
      <c r="U265" s="1">
        <v>1.603</v>
      </c>
      <c r="V265" s="1">
        <v>7.6999999999999999E-2</v>
      </c>
      <c r="W265" s="1">
        <v>4.0199999999999996</v>
      </c>
      <c r="X265" s="1">
        <f t="shared" ref="X265" si="6380">H263</f>
        <v>2.7E-2</v>
      </c>
      <c r="Y265" s="1">
        <f t="shared" ref="Y265" si="6381">H264</f>
        <v>6.5000000000000002E-2</v>
      </c>
      <c r="Z265" s="1">
        <f t="shared" ref="Z265" si="6382">H265</f>
        <v>2.7E-2</v>
      </c>
      <c r="AA265" s="1">
        <f t="shared" ref="AA265" si="6383">H266</f>
        <v>2.3E-2</v>
      </c>
      <c r="AB265" s="1">
        <f t="shared" ref="AB265" si="6384">H267</f>
        <v>2.7E-2</v>
      </c>
      <c r="AC265" s="1">
        <f t="shared" si="6237"/>
        <v>3842.6549241834482</v>
      </c>
      <c r="CQ265" s="20"/>
    </row>
    <row r="266" spans="3:160" x14ac:dyDescent="0.4">
      <c r="C266" s="1" t="s">
        <v>53</v>
      </c>
      <c r="D266" s="1" t="s">
        <v>9</v>
      </c>
      <c r="E266" s="1">
        <v>0.20100000000000001</v>
      </c>
      <c r="F266" s="1">
        <v>9.2999999999999999E-2</v>
      </c>
      <c r="G266" s="1">
        <v>0.108</v>
      </c>
      <c r="H266" s="1">
        <v>2.3E-2</v>
      </c>
      <c r="I266" s="1">
        <v>5960</v>
      </c>
      <c r="J266" s="1">
        <v>4613</v>
      </c>
      <c r="K266" s="1">
        <v>72</v>
      </c>
      <c r="L266" s="1">
        <v>6992</v>
      </c>
      <c r="M266" s="1">
        <v>6635</v>
      </c>
      <c r="N266" s="1">
        <v>76</v>
      </c>
      <c r="O266" s="1">
        <v>98</v>
      </c>
      <c r="P266" s="1">
        <v>91</v>
      </c>
      <c r="Q266" s="1">
        <v>98</v>
      </c>
      <c r="R266" s="1">
        <v>52</v>
      </c>
      <c r="S266" s="1">
        <v>98.5</v>
      </c>
      <c r="T266" s="4">
        <v>0</v>
      </c>
      <c r="U266" s="1">
        <v>1.603</v>
      </c>
      <c r="V266" s="1">
        <v>7.6999999999999999E-2</v>
      </c>
      <c r="W266" s="1">
        <v>4.0199999999999996</v>
      </c>
      <c r="X266" s="1">
        <f t="shared" ref="X266" si="6385">H263</f>
        <v>2.7E-2</v>
      </c>
      <c r="Y266" s="1">
        <f t="shared" ref="Y266" si="6386">H264</f>
        <v>6.5000000000000002E-2</v>
      </c>
      <c r="Z266" s="1">
        <f t="shared" ref="Z266" si="6387">H265</f>
        <v>2.7E-2</v>
      </c>
      <c r="AA266" s="1">
        <f t="shared" ref="AA266" si="6388">H266</f>
        <v>2.3E-2</v>
      </c>
      <c r="AB266" s="1">
        <f t="shared" ref="AB266" si="6389">H267</f>
        <v>2.7E-2</v>
      </c>
      <c r="AC266" s="1">
        <f t="shared" si="6237"/>
        <v>3842.6549241834482</v>
      </c>
      <c r="AE266" s="1" t="s">
        <v>98</v>
      </c>
      <c r="AF266" s="1">
        <v>0</v>
      </c>
      <c r="AG266" s="1">
        <v>6.5000000000000002E-2</v>
      </c>
      <c r="AH266" s="1">
        <v>0.14499999999999999</v>
      </c>
      <c r="AI266" s="1">
        <v>0.245</v>
      </c>
      <c r="AJ266" s="1">
        <v>0.36</v>
      </c>
      <c r="AK266" s="1">
        <v>0.39500000000000002</v>
      </c>
      <c r="AL266" s="1">
        <v>0.64500000000000002</v>
      </c>
      <c r="AM266" s="20">
        <v>0.81499999999999995</v>
      </c>
      <c r="AN266" s="1">
        <v>0</v>
      </c>
      <c r="AO266" s="1">
        <v>6.5000000000000002E-2</v>
      </c>
      <c r="AP266" s="1">
        <v>0.14499999999999999</v>
      </c>
      <c r="AQ266" s="1">
        <v>0.245</v>
      </c>
      <c r="AR266" s="1">
        <v>0.36</v>
      </c>
      <c r="AS266" s="1">
        <v>0.39500000000000002</v>
      </c>
      <c r="AT266" s="1">
        <v>0.64500000000000002</v>
      </c>
      <c r="AU266" s="20">
        <v>0.81499999999999995</v>
      </c>
      <c r="AV266" s="1">
        <v>0</v>
      </c>
      <c r="AW266" s="1">
        <v>6.5000000000000002E-2</v>
      </c>
      <c r="AX266" s="1">
        <v>0.14499999999999999</v>
      </c>
      <c r="AY266" s="1">
        <v>0.245</v>
      </c>
      <c r="AZ266" s="1">
        <v>0.36</v>
      </c>
      <c r="BA266" s="1">
        <v>0.39500000000000002</v>
      </c>
      <c r="BB266" s="1">
        <v>0.64500000000000002</v>
      </c>
      <c r="BC266" s="20">
        <v>0.81499999999999995</v>
      </c>
      <c r="BD266" s="1">
        <v>0</v>
      </c>
      <c r="BE266" s="1">
        <v>6.5000000000000002E-2</v>
      </c>
      <c r="BF266" s="1">
        <v>0.14499999999999999</v>
      </c>
      <c r="BG266" s="1">
        <v>0.245</v>
      </c>
      <c r="BH266" s="1">
        <v>0.36</v>
      </c>
      <c r="BI266" s="1">
        <v>0.39500000000000002</v>
      </c>
      <c r="BJ266" s="1">
        <v>0.64500000000000002</v>
      </c>
      <c r="BK266" s="20">
        <v>0.81499999999999995</v>
      </c>
      <c r="BL266" s="1">
        <v>0</v>
      </c>
      <c r="BM266" s="1">
        <v>6.5000000000000002E-2</v>
      </c>
      <c r="BN266" s="1">
        <v>0.14499999999999999</v>
      </c>
      <c r="BO266" s="1">
        <v>0.245</v>
      </c>
      <c r="BP266" s="1">
        <v>0.36</v>
      </c>
      <c r="BQ266" s="1">
        <v>0.39500000000000002</v>
      </c>
      <c r="BR266" s="1">
        <v>0.64500000000000002</v>
      </c>
      <c r="BS266" s="20">
        <v>0.81499999999999995</v>
      </c>
      <c r="BT266" s="1">
        <v>0</v>
      </c>
      <c r="BU266" s="1">
        <v>6.5000000000000002E-2</v>
      </c>
      <c r="BV266" s="1">
        <v>0.14499999999999999</v>
      </c>
      <c r="BW266" s="1">
        <v>0.245</v>
      </c>
      <c r="BX266" s="1">
        <v>0.36</v>
      </c>
      <c r="BY266" s="1">
        <v>0.39500000000000002</v>
      </c>
      <c r="BZ266" s="1">
        <v>0.64500000000000002</v>
      </c>
      <c r="CA266" s="20">
        <v>0.81499999999999995</v>
      </c>
      <c r="CB266" s="1">
        <v>0</v>
      </c>
      <c r="CC266" s="1">
        <v>6.5000000000000002E-2</v>
      </c>
      <c r="CD266" s="1">
        <v>0.14499999999999999</v>
      </c>
      <c r="CE266" s="1">
        <v>0.245</v>
      </c>
      <c r="CF266" s="1">
        <v>0.36</v>
      </c>
      <c r="CG266" s="1">
        <v>0.39500000000000002</v>
      </c>
      <c r="CH266" s="1">
        <v>0.64500000000000002</v>
      </c>
      <c r="CI266" s="20">
        <v>0.81499999999999995</v>
      </c>
      <c r="CJ266" s="1">
        <v>0</v>
      </c>
      <c r="CK266" s="1">
        <v>6.5000000000000002E-2</v>
      </c>
      <c r="CL266" s="1">
        <v>0.14499999999999999</v>
      </c>
      <c r="CM266" s="1">
        <v>0.245</v>
      </c>
      <c r="CN266" s="1">
        <v>0.36</v>
      </c>
      <c r="CO266" s="1">
        <v>0.39500000000000002</v>
      </c>
      <c r="CP266" s="1">
        <v>0.64500000000000002</v>
      </c>
      <c r="CQ266" s="20">
        <v>0.81499999999999995</v>
      </c>
    </row>
    <row r="267" spans="3:160" s="2" customFormat="1" x14ac:dyDescent="0.4">
      <c r="C267" s="2" t="s">
        <v>53</v>
      </c>
      <c r="D267" s="2" t="s">
        <v>10</v>
      </c>
      <c r="E267" s="2">
        <v>0.20599999999999999</v>
      </c>
      <c r="F267" s="2">
        <v>9.8000000000000004E-2</v>
      </c>
      <c r="G267" s="2">
        <v>0.108</v>
      </c>
      <c r="H267" s="2">
        <v>2.7E-2</v>
      </c>
      <c r="I267" s="2">
        <v>5960</v>
      </c>
      <c r="J267" s="2">
        <v>4613</v>
      </c>
      <c r="K267" s="2">
        <v>72</v>
      </c>
      <c r="L267" s="2">
        <v>6992</v>
      </c>
      <c r="M267" s="2">
        <v>6635</v>
      </c>
      <c r="N267" s="2">
        <v>76</v>
      </c>
      <c r="O267" s="2">
        <v>98</v>
      </c>
      <c r="P267" s="2">
        <v>91</v>
      </c>
      <c r="Q267" s="2">
        <v>98</v>
      </c>
      <c r="R267" s="2">
        <v>52</v>
      </c>
      <c r="S267" s="2">
        <v>98.5</v>
      </c>
      <c r="T267" s="6">
        <f t="shared" ref="T267" si="6390">(N262*O262*P262*Q262*R262*S262)/(I262*J262*K262*(F262*H262 + F263*H263 + F264*H264 + F265*H265 + F266*H266 + F267*H267))</f>
        <v>5698.7809316532357</v>
      </c>
      <c r="U267" s="2">
        <v>1.603</v>
      </c>
      <c r="V267" s="2">
        <v>7.6999999999999999E-2</v>
      </c>
      <c r="W267" s="2">
        <v>4.0199999999999996</v>
      </c>
      <c r="X267" s="2">
        <f t="shared" ref="X267" si="6391">H263</f>
        <v>2.7E-2</v>
      </c>
      <c r="Y267" s="2">
        <f t="shared" ref="Y267" si="6392">H264</f>
        <v>6.5000000000000002E-2</v>
      </c>
      <c r="Z267" s="2">
        <f t="shared" ref="Z267" si="6393">H265</f>
        <v>2.7E-2</v>
      </c>
      <c r="AA267" s="2">
        <f t="shared" ref="AA267" si="6394">H266</f>
        <v>2.3E-2</v>
      </c>
      <c r="AB267" s="2">
        <f t="shared" ref="AB267" si="6395">H267</f>
        <v>2.7E-2</v>
      </c>
      <c r="AC267" s="1">
        <f t="shared" si="6237"/>
        <v>3842.6549241834482</v>
      </c>
      <c r="AE267" s="2" t="s">
        <v>99</v>
      </c>
      <c r="AF267" s="23">
        <f>($O267*$Q267*$S267)^(1/3)/(AF262*((1-AF$2)*$H262+AF$2*$H263) + AF264*((1-AF$2)*$H264+AF$2*$H265) + AF266*((1-AF$2)*$H266+AF$2*$H267))</f>
        <v>1382.6251270514431</v>
      </c>
      <c r="AG267" s="23">
        <f t="shared" ref="AG267" si="6396">($O267*$Q267*$S267)^(1/3)/(AG262*((1-AG$2)*$H262+AG$2*$H263) + AG264*((1-AG$2)*$H264+AG$2*$H265) + AG266*((1-AG$2)*$H266+AG$2*$H267))</f>
        <v>1461.6793332437833</v>
      </c>
      <c r="AH267" s="23">
        <f t="shared" ref="AH267" si="6397">($O267*$Q267*$S267)^(1/3)/(AH262*((1-AH$2)*$H262+AH$2*$H263) + AH264*((1-AH$2)*$H264+AH$2*$H265) + AH266*((1-AH$2)*$H266+AH$2*$H267))</f>
        <v>1563.6569611445118</v>
      </c>
      <c r="AI267" s="23">
        <f t="shared" ref="AI267" si="6398">($O267*$Q267*$S267)^(1/3)/(AI262*((1-AI$2)*$H262+AI$2*$H263) + AI264*((1-AI$2)*$H264+AI$2*$H265) + AI266*((1-AI$2)*$H266+AI$2*$H267))</f>
        <v>1940.8142352837576</v>
      </c>
      <c r="AJ267" s="23">
        <f t="shared" ref="AJ267" si="6399">($O267*$Q267*$S267)^(1/3)/(AJ262*((1-AJ$2)*$H262+AJ$2*$H263) + AJ264*((1-AJ$2)*$H264+AJ$2*$H265) + AJ266*((1-AJ$2)*$H266+AJ$2*$H267))</f>
        <v>1886.3640280678801</v>
      </c>
      <c r="AK267" s="23">
        <f t="shared" ref="AK267" si="6400">($O267*$Q267*$S267)^(1/3)/(AK262*((1-AK$2)*$H262+AK$2*$H263) + AK264*((1-AK$2)*$H264+AK$2*$H265) + AK266*((1-AK$2)*$H266+AK$2*$H267))</f>
        <v>2262.9410793142565</v>
      </c>
      <c r="AL267" s="23">
        <f t="shared" ref="AL267" si="6401">($O267*$Q267*$S267)^(1/3)/(AL262*((1-AL$2)*$H262+AL$2*$H263) + AL264*((1-AL$2)*$H264+AL$2*$H265) + AL266*((1-AL$2)*$H266+AL$2*$H267))</f>
        <v>2531.3662718064065</v>
      </c>
      <c r="AM267" s="23">
        <f t="shared" ref="AM267" si="6402">($O267*$Q267*$S267)^(1/3)/(AM262*((1-AM$2)*$H262+AM$2*$H263) + AM264*((1-AM$2)*$H264+AM$2*$H265) + AM266*((1-AM$2)*$H266+AM$2*$H267))</f>
        <v>3150.397433268693</v>
      </c>
      <c r="AN267" s="23">
        <f t="shared" ref="AN267" si="6403">($O267*$Q267*$S267)^(1/3)/(AN262*((1-AN$2)*$H262+AN$2*$H263) + AN264*((1-AN$2)*$H264+AN$2*$H265) + AN266*((1-AN$2)*$H266+AN$2*$H267))</f>
        <v>1498.7234201626331</v>
      </c>
      <c r="AO267" s="23">
        <f t="shared" ref="AO267" si="6404">($O267*$Q267*$S267)^(1/3)/(AO262*((1-AO$2)*$H262+AO$2*$H263) + AO264*((1-AO$2)*$H264+AO$2*$H265) + AO266*((1-AO$2)*$H266+AO$2*$H267))</f>
        <v>1579.7615709792804</v>
      </c>
      <c r="AP267" s="23">
        <f t="shared" ref="AP267" si="6405">($O267*$Q267*$S267)^(1/3)/(AP262*((1-AP$2)*$H262+AP$2*$H263) + AP264*((1-AP$2)*$H264+AP$2*$H265) + AP266*((1-AP$2)*$H266+AP$2*$H267))</f>
        <v>1683.5978908485611</v>
      </c>
      <c r="AQ267" s="23">
        <f t="shared" ref="AQ267" si="6406">($O267*$Q267*$S267)^(1/3)/(AQ262*((1-AQ$2)*$H262+AQ$2*$H263) + AQ264*((1-AQ$2)*$H264+AQ$2*$H265) + AQ266*((1-AQ$2)*$H266+AQ$2*$H267))</f>
        <v>2075.6186493424775</v>
      </c>
      <c r="AR267" s="23">
        <f t="shared" ref="AR267" si="6407">($O267*$Q267*$S267)^(1/3)/(AR262*((1-AR$2)*$H262+AR$2*$H263) + AR264*((1-AR$2)*$H264+AR$2*$H265) + AR266*((1-AR$2)*$H266+AR$2*$H267))</f>
        <v>2007.0820695287764</v>
      </c>
      <c r="AS267" s="23">
        <f t="shared" ref="AS267" si="6408">($O267*$Q267*$S267)^(1/3)/(AS262*((1-AS$2)*$H262+AS$2*$H263) + AS264*((1-AS$2)*$H264+AS$2*$H265) + AS266*((1-AS$2)*$H266+AS$2*$H267))</f>
        <v>2394.5940729516396</v>
      </c>
      <c r="AT267" s="23">
        <f t="shared" ref="AT267" si="6409">($O267*$Q267*$S267)^(1/3)/(AT262*((1-AT$2)*$H262+AT$2*$H263) + AT264*((1-AT$2)*$H264+AT$2*$H265) + AT266*((1-AT$2)*$H266+AT$2*$H267))</f>
        <v>2631.2774648704008</v>
      </c>
      <c r="AU267" s="23">
        <f t="shared" ref="AU267" si="6410">($O267*$Q267*$S267)^(1/3)/(AU262*((1-AU$2)*$H262+AU$2*$H263) + AU264*((1-AU$2)*$H264+AU$2*$H265) + AU266*((1-AU$2)*$H266+AU$2*$H267))</f>
        <v>3203.8637082458372</v>
      </c>
      <c r="AV267" s="23">
        <f t="shared" ref="AV267" si="6411">($O267*$Q267*$S267)^(1/3)/(AV262*((1-AV$2)*$H262+AV$2*$H263) + AV264*((1-AV$2)*$H264+AV$2*$H265) + AV266*((1-AV$2)*$H266+AV$2*$H267))</f>
        <v>1636.1064003442079</v>
      </c>
      <c r="AW267" s="23">
        <f t="shared" ref="AW267" si="6412">($O267*$Q267*$S267)^(1/3)/(AW262*((1-AW$2)*$H262+AW$2*$H263) + AW264*((1-AW$2)*$H264+AW$2*$H265) + AW266*((1-AW$2)*$H266+AW$2*$H267))</f>
        <v>1718.5991600254285</v>
      </c>
      <c r="AX267" s="23">
        <f t="shared" ref="AX267" si="6413">($O267*$Q267*$S267)^(1/3)/(AX262*((1-AX$2)*$H262+AX$2*$H263) + AX264*((1-AX$2)*$H264+AX$2*$H265) + AX266*((1-AX$2)*$H266+AX$2*$H267))</f>
        <v>1823.4677072657653</v>
      </c>
      <c r="AY267" s="23">
        <f t="shared" ref="AY267" si="6414">($O267*$Q267*$S267)^(1/3)/(AY262*((1-AY$2)*$H262+AY$2*$H263) + AY264*((1-AY$2)*$H264+AY$2*$H265) + AY266*((1-AY$2)*$H266+AY$2*$H267))</f>
        <v>2230.5472397330714</v>
      </c>
      <c r="AZ267" s="23">
        <f t="shared" ref="AZ267" si="6415">($O267*$Q267*$S267)^(1/3)/(AZ262*((1-AZ$2)*$H262+AZ$2*$H263) + AZ264*((1-AZ$2)*$H264+AZ$2*$H265) + AZ266*((1-AZ$2)*$H266+AZ$2*$H267))</f>
        <v>2144.3072088390668</v>
      </c>
      <c r="BA267" s="23">
        <f t="shared" ref="BA267" si="6416">($O267*$Q267*$S267)^(1/3)/(BA262*((1-BA$2)*$H262+BA$2*$H263) + BA264*((1-BA$2)*$H264+BA$2*$H265) + BA266*((1-BA$2)*$H266+BA$2*$H267))</f>
        <v>2542.5118886467876</v>
      </c>
      <c r="BB267" s="23">
        <f t="shared" ref="BB267" si="6417">($O267*$Q267*$S267)^(1/3)/(BB262*((1-BB$2)*$H262+BB$2*$H263) + BB264*((1-BB$2)*$H264+BB$2*$H265) + BB266*((1-BB$2)*$H266+BB$2*$H267))</f>
        <v>2739.3995819911388</v>
      </c>
      <c r="BC267" s="23">
        <f t="shared" ref="BC267" si="6418">($O267*$Q267*$S267)^(1/3)/(BC262*((1-BC$2)*$H262+BC$2*$H263) + BC264*((1-BC$2)*$H264+BC$2*$H265) + BC266*((1-BC$2)*$H266+BC$2*$H267))</f>
        <v>3259.1760963032029</v>
      </c>
      <c r="BD267" s="23">
        <f t="shared" ref="BD267" si="6419">($O267*$Q267*$S267)^(1/3)/(BD262*((1-BD$2)*$H262+BD$2*$H263) + BD264*((1-BD$2)*$H264+BD$2*$H265) + BD266*((1-BD$2)*$H266+BD$2*$H267))</f>
        <v>1801.2180554248157</v>
      </c>
      <c r="BE267" s="23">
        <f t="shared" ref="BE267" si="6420">($O267*$Q267*$S267)^(1/3)/(BE262*((1-BE$2)*$H262+BE$2*$H263) + BE264*((1-BE$2)*$H264+BE$2*$H265) + BE266*((1-BE$2)*$H266+BE$2*$H267))</f>
        <v>1884.1916318743276</v>
      </c>
      <c r="BF267" s="23">
        <f t="shared" ref="BF267" si="6421">($O267*$Q267*$S267)^(1/3)/(BF262*((1-BF$2)*$H262+BF$2*$H263) + BF264*((1-BF$2)*$H264+BF$2*$H265) + BF266*((1-BF$2)*$H266+BF$2*$H267))</f>
        <v>1988.683393682501</v>
      </c>
      <c r="BG267" s="23">
        <f t="shared" ref="BG267" si="6422">($O267*$Q267*$S267)^(1/3)/(BG262*((1-BG$2)*$H262+BG$2*$H263) + BG264*((1-BG$2)*$H264+BG$2*$H265) + BG266*((1-BG$2)*$H266+BG$2*$H267))</f>
        <v>2410.4698347612634</v>
      </c>
      <c r="BH267" s="23">
        <f t="shared" ref="BH267" si="6423">($O267*$Q267*$S267)^(1/3)/(BH262*((1-BH$2)*$H262+BH$2*$H263) + BH264*((1-BH$2)*$H264+BH$2*$H265) + BH266*((1-BH$2)*$H266+BH$2*$H267))</f>
        <v>2301.6737167796591</v>
      </c>
      <c r="BI267" s="23">
        <f t="shared" ref="BI267" si="6424">($O267*$Q267*$S267)^(1/3)/(BI262*((1-BI$2)*$H262+BI$2*$H263) + BI264*((1-BI$2)*$H264+BI$2*$H265) + BI266*((1-BI$2)*$H266+BI$2*$H267))</f>
        <v>2709.9070813154576</v>
      </c>
      <c r="BJ267" s="23">
        <f t="shared" ref="BJ267" si="6425">($O267*$Q267*$S267)^(1/3)/(BJ262*((1-BJ$2)*$H262+BJ$2*$H263) + BJ264*((1-BJ$2)*$H264+BJ$2*$H265) + BJ266*((1-BJ$2)*$H266+BJ$2*$H267))</f>
        <v>2856.7881853954877</v>
      </c>
      <c r="BK267" s="23">
        <f t="shared" ref="BK267" si="6426">($O267*$Q267*$S267)^(1/3)/(BK262*((1-BK$2)*$H262+BK$2*$H263) + BK264*((1-BK$2)*$H264+BK$2*$H265) + BK266*((1-BK$2)*$H266+BK$2*$H267))</f>
        <v>3316.43189258961</v>
      </c>
      <c r="BL267" s="23">
        <f t="shared" ref="BL267" si="6427">($O267*$Q267*$S267)^(1/3)/(BL262*((1-BL$2)*$H262+BL$2*$H263) + BL264*((1-BL$2)*$H264+BL$2*$H265) + BL266*((1-BL$2)*$H266+BL$2*$H267))</f>
        <v>2003.3955922582136</v>
      </c>
      <c r="BM267" s="23">
        <f t="shared" ref="BM267" si="6428">($O267*$Q267*$S267)^(1/3)/(BM262*((1-BM$2)*$H262+BM$2*$H263) + BM264*((1-BM$2)*$H264+BM$2*$H265) + BM266*((1-BM$2)*$H266+BM$2*$H267))</f>
        <v>2085.0973666238842</v>
      </c>
      <c r="BN267" s="23">
        <f t="shared" ref="BN267" si="6429">($O267*$Q267*$S267)^(1/3)/(BN262*((1-BN$2)*$H262+BN$2*$H263) + BN264*((1-BN$2)*$H264+BN$2*$H265) + BN266*((1-BN$2)*$H266+BN$2*$H267))</f>
        <v>2186.8207623223984</v>
      </c>
      <c r="BO267" s="23">
        <f t="shared" ref="BO267" si="6430">($O267*$Q267*$S267)^(1/3)/(BO262*((1-BO$2)*$H262+BO$2*$H263) + BO264*((1-BO$2)*$H264+BO$2*$H265) + BO266*((1-BO$2)*$H266+BO$2*$H267))</f>
        <v>2621.965385167</v>
      </c>
      <c r="BP267" s="23">
        <f t="shared" ref="BP267" si="6431">($O267*$Q267*$S267)^(1/3)/(BP262*((1-BP$2)*$H262+BP$2*$H263) + BP264*((1-BP$2)*$H264+BP$2*$H265) + BP266*((1-BP$2)*$H266+BP$2*$H267))</f>
        <v>2483.9672070003153</v>
      </c>
      <c r="BQ267" s="23">
        <f t="shared" ref="BQ267" si="6432">($O267*$Q267*$S267)^(1/3)/(BQ262*((1-BQ$2)*$H262+BQ$2*$H263) + BQ264*((1-BQ$2)*$H264+BQ$2*$H265) + BQ266*((1-BQ$2)*$H266+BQ$2*$H267))</f>
        <v>2900.8978729507226</v>
      </c>
      <c r="BR267" s="23">
        <f t="shared" ref="BR267" si="6433">($O267*$Q267*$S267)^(1/3)/(BR262*((1-BR$2)*$H262+BR$2*$H263) + BR264*((1-BR$2)*$H264+BR$2*$H265) + BR266*((1-BR$2)*$H266+BR$2*$H267))</f>
        <v>2984.687869281011</v>
      </c>
      <c r="BS267" s="23">
        <f t="shared" ref="BS267" si="6434">($O267*$Q267*$S267)^(1/3)/(BS262*((1-BS$2)*$H262+BS$2*$H263) + BS264*((1-BS$2)*$H264+BS$2*$H265) + BS266*((1-BS$2)*$H266+BS$2*$H267))</f>
        <v>3375.7353514667279</v>
      </c>
      <c r="BT267" s="23">
        <f t="shared" ref="BT267" si="6435">($O267*$Q267*$S267)^(1/3)/(BT262*((1-BT$2)*$H262+BT$2*$H263) + BT264*((1-BT$2)*$H264+BT$2*$H265) + BT266*((1-BT$2)*$H266+BT$2*$H267))</f>
        <v>2256.6984832333901</v>
      </c>
      <c r="BU267" s="23">
        <f t="shared" ref="BU267" si="6436">($O267*$Q267*$S267)^(1/3)/(BU262*((1-BU$2)*$H262+BU$2*$H263) + BU264*((1-BU$2)*$H264+BU$2*$H265) + BU266*((1-BU$2)*$H266+BU$2*$H267))</f>
        <v>2333.9606281657739</v>
      </c>
      <c r="BV267" s="23">
        <f t="shared" ref="BV267" si="6437">($O267*$Q267*$S267)^(1/3)/(BV262*((1-BV$2)*$H262+BV$2*$H263) + BV264*((1-BV$2)*$H264+BV$2*$H265) + BV266*((1-BV$2)*$H266+BV$2*$H267))</f>
        <v>2428.8089075438229</v>
      </c>
      <c r="BW267" s="23">
        <f t="shared" ref="BW267" si="6438">($O267*$Q267*$S267)^(1/3)/(BW262*((1-BW$2)*$H262+BW$2*$H263) + BW264*((1-BW$2)*$H264+BW$2*$H265) + BW266*((1-BW$2)*$H266+BW$2*$H267))</f>
        <v>2874.1438741224547</v>
      </c>
      <c r="BX267" s="23">
        <f t="shared" ref="BX267" si="6439">($O267*$Q267*$S267)^(1/3)/(BX262*((1-BX$2)*$H262+BX$2*$H263) + BX264*((1-BX$2)*$H264+BX$2*$H265) + BX266*((1-BX$2)*$H266+BX$2*$H267))</f>
        <v>2697.619786222931</v>
      </c>
      <c r="BY267" s="23">
        <f t="shared" ref="BY267" si="6440">($O267*$Q267*$S267)^(1/3)/(BY262*((1-BY$2)*$H262+BY$2*$H263) + BY264*((1-BY$2)*$H264+BY$2*$H265) + BY266*((1-BY$2)*$H266+BY$2*$H267))</f>
        <v>3120.8515028024945</v>
      </c>
      <c r="BZ267" s="23">
        <f t="shared" ref="BZ267" si="6441">($O267*$Q267*$S267)^(1/3)/(BZ262*((1-BZ$2)*$H262+BZ$2*$H263) + BZ264*((1-BZ$2)*$H264+BZ$2*$H265) + BZ266*((1-BZ$2)*$H266+BZ$2*$H267))</f>
        <v>3124.5765583083457</v>
      </c>
      <c r="CA267" s="23">
        <f t="shared" ref="CA267" si="6442">($O267*$Q267*$S267)^(1/3)/(CA262*((1-CA$2)*$H262+CA$2*$H263) + CA264*((1-CA$2)*$H264+CA$2*$H265) + CA266*((1-CA$2)*$H266+CA$2*$H267))</f>
        <v>3437.1983200508566</v>
      </c>
      <c r="CB267" s="23">
        <f t="shared" ref="CB267" si="6443">($O267*$Q267*$S267)^(1/3)/(CB262*((1-CB$2)*$H262+CB$2*$H263) + CB264*((1-CB$2)*$H264+CB$2*$H265) + CB266*((1-CB$2)*$H266+CB$2*$H267))</f>
        <v>2583.325895280328</v>
      </c>
      <c r="CC267" s="23">
        <f t="shared" ref="CC267" si="6444">($O267*$Q267*$S267)^(1/3)/(CC262*((1-CC$2)*$H262+CC$2*$H263) + CC264*((1-CC$2)*$H264+CC$2*$H265) + CC266*((1-CC$2)*$H266+CC$2*$H267))</f>
        <v>2650.2803461299263</v>
      </c>
      <c r="CD267" s="23">
        <f t="shared" ref="CD267" si="6445">($O267*$Q267*$S267)^(1/3)/(CD262*((1-CD$2)*$H262+CD$2*$H263) + CD264*((1-CD$2)*$H264+CD$2*$H265) + CD266*((1-CD$2)*$H266+CD$2*$H267))</f>
        <v>2731.0163867200567</v>
      </c>
      <c r="CE267" s="23">
        <f t="shared" ref="CE267" si="6446">($O267*$Q267*$S267)^(1/3)/(CE262*((1-CE$2)*$H262+CE$2*$H263) + CE264*((1-CE$2)*$H264+CE$2*$H265) + CE266*((1-CE$2)*$H266+CE$2*$H267))</f>
        <v>3179.9930035844654</v>
      </c>
      <c r="CF267" s="23">
        <f t="shared" ref="CF267" si="6447">($O267*$Q267*$S267)^(1/3)/(CF262*((1-CF$2)*$H262+CF$2*$H263) + CF264*((1-CF$2)*$H264+CF$2*$H265) + CF266*((1-CF$2)*$H266+CF$2*$H267))</f>
        <v>2951.4847871513066</v>
      </c>
      <c r="CG267" s="23">
        <f t="shared" ref="CG267" si="6448">($O267*$Q267*$S267)^(1/3)/(CG262*((1-CG$2)*$H262+CG$2*$H263) + CG264*((1-CG$2)*$H264+CG$2*$H265) + CG266*((1-CG$2)*$H266+CG$2*$H267))</f>
        <v>3376.8965951376831</v>
      </c>
      <c r="CH267" s="23">
        <f t="shared" ref="CH267" si="6449">($O267*$Q267*$S267)^(1/3)/(CH262*((1-CH$2)*$H262+CH$2*$H263) + CH264*((1-CH$2)*$H264+CH$2*$H265) + CH266*((1-CH$2)*$H266+CH$2*$H267))</f>
        <v>3278.2228759610102</v>
      </c>
      <c r="CI267" s="23">
        <f t="shared" ref="CI267" si="6450">($O267*$Q267*$S267)^(1/3)/(CI262*((1-CI$2)*$H262+CI$2*$H263) + CI264*((1-CI$2)*$H264+CI$2*$H265) + CI266*((1-CI$2)*$H266+CI$2*$H267))</f>
        <v>3500.940942248661</v>
      </c>
      <c r="CJ267" s="23">
        <f t="shared" ref="CJ267" si="6451">($O267*$Q267*$S267)^(1/3)/(CJ262*((1-CJ$2)*$H262+CJ$2*$H263) + CJ264*((1-CJ$2)*$H264+CJ$2*$H265) + CJ266*((1-CJ$2)*$H266+CJ$2*$H267))</f>
        <v>3020.5041237123833</v>
      </c>
      <c r="CK267" s="23">
        <f t="shared" ref="CK267" si="6452">($O267*$Q267*$S267)^(1/3)/(CK262*((1-CK$2)*$H262+CK$2*$H263) + CK264*((1-CK$2)*$H264+CK$2*$H265) + CK266*((1-CK$2)*$H266+CK$2*$H267))</f>
        <v>3065.7833860291212</v>
      </c>
      <c r="CL267" s="23">
        <f t="shared" ref="CL267" si="6453">($O267*$Q267*$S267)^(1/3)/(CL262*((1-CL$2)*$H262+CL$2*$H263) + CL264*((1-CL$2)*$H264+CL$2*$H265) + CL266*((1-CL$2)*$H266+CL$2*$H267))</f>
        <v>3119.1161814489619</v>
      </c>
      <c r="CM267" s="23">
        <f t="shared" ref="CM267" si="6454">($O267*$Q267*$S267)^(1/3)/(CM262*((1-CM$2)*$H262+CM$2*$H263) + CM264*((1-CM$2)*$H264+CM$2*$H265) + CM266*((1-CM$2)*$H266+CM$2*$H267))</f>
        <v>3558.6871133098593</v>
      </c>
      <c r="CN267" s="23">
        <f t="shared" ref="CN267" si="6455">($O267*$Q267*$S267)^(1/3)/(CN262*((1-CN$2)*$H262+CN$2*$H263) + CN264*((1-CN$2)*$H264+CN$2*$H265) + CN266*((1-CN$2)*$H266+CN$2*$H267))</f>
        <v>3258.0943916578976</v>
      </c>
      <c r="CO267" s="23">
        <f t="shared" ref="CO267" si="6456">($O267*$Q267*$S267)^(1/3)/(CO262*((1-CO$2)*$H262+CO$2*$H263) + CO264*((1-CO$2)*$H264+CO$2*$H265) + CO266*((1-CO$2)*$H266+CO$2*$H267))</f>
        <v>3678.7102874518441</v>
      </c>
      <c r="CP267" s="23">
        <f t="shared" ref="CP267" si="6457">($O267*$Q267*$S267)^(1/3)/(CP262*((1-CP$2)*$H262+CP$2*$H263) + CP264*((1-CP$2)*$H264+CP$2*$H265) + CP266*((1-CP$2)*$H266+CP$2*$H267))</f>
        <v>3447.7613142735081</v>
      </c>
      <c r="CQ267" s="23">
        <f t="shared" ref="CQ267" si="6458">($O267*$Q267*$S267)^(1/3)/(CQ262*((1-CQ$2)*$H262+CQ$2*$H263) + CQ264*((1-CQ$2)*$H264+CQ$2*$H265) + CQ266*((1-CQ$2)*$H266+CQ$2*$H267))</f>
        <v>3567.0924426109177</v>
      </c>
      <c r="CS267" s="2">
        <f t="shared" ref="CS267" si="6459">100*$AF267/AF267</f>
        <v>99.999999999999986</v>
      </c>
      <c r="CT267" s="2">
        <f t="shared" ref="CT267" si="6460">100*$AF267/AG267</f>
        <v>94.591549295774612</v>
      </c>
      <c r="CU267" s="2">
        <f t="shared" ref="CU267" si="6461">100*$AF267/AH267</f>
        <v>88.422535211267601</v>
      </c>
      <c r="CV267" s="2">
        <f t="shared" ref="CV267" si="6462">100*$AF267/AI267</f>
        <v>71.239436619718305</v>
      </c>
      <c r="CW267" s="2">
        <f t="shared" ref="CW267" si="6463">100*$AF267/AJ267</f>
        <v>73.295774647887299</v>
      </c>
      <c r="CX267" s="2">
        <f t="shared" ref="CX267" si="6464">100*$AF267/AK267</f>
        <v>61.098591549295776</v>
      </c>
      <c r="CY267" s="2">
        <f t="shared" ref="CY267" si="6465">100*$AF267/AL267</f>
        <v>54.619718309859159</v>
      </c>
      <c r="CZ267" s="2">
        <f t="shared" ref="CZ267" si="6466">100*$AF267/AM267</f>
        <v>43.887323943661961</v>
      </c>
      <c r="DA267" s="2">
        <f t="shared" ref="DA267" si="6467">100*$AF267/AN267</f>
        <v>92.253521126760546</v>
      </c>
      <c r="DB267" s="2">
        <f t="shared" ref="DB267" si="6468">100*$AF267/AO267</f>
        <v>87.521126760563348</v>
      </c>
      <c r="DC267" s="2">
        <f t="shared" ref="DC267" si="6469">100*$AF267/AP267</f>
        <v>82.123239436619698</v>
      </c>
      <c r="DD267" s="2">
        <f t="shared" ref="DD267" si="6470">100*$AF267/AQ267</f>
        <v>66.612676056338017</v>
      </c>
      <c r="DE267" s="2">
        <f t="shared" ref="DE267" si="6471">100*$AF267/AR267</f>
        <v>68.887323943661968</v>
      </c>
      <c r="DF267" s="2">
        <f t="shared" ref="DF267" si="6472">100*$AF267/AS267</f>
        <v>57.739436619718298</v>
      </c>
      <c r="DG267" s="2">
        <f t="shared" ref="DG267" si="6473">100*$AF267/AT267</f>
        <v>52.545774647887313</v>
      </c>
      <c r="DH267" s="2">
        <f t="shared" ref="DH267" si="6474">100*$AF267/AU267</f>
        <v>43.154929577464792</v>
      </c>
      <c r="DI267" s="2">
        <f t="shared" ref="DI267" si="6475">100*$AF267/AV267</f>
        <v>84.507042253521107</v>
      </c>
      <c r="DJ267" s="2">
        <f t="shared" ref="DJ267" si="6476">100*$AF267/AW267</f>
        <v>80.450704225352084</v>
      </c>
      <c r="DK267" s="2">
        <f t="shared" ref="DK267" si="6477">100*$AF267/AX267</f>
        <v>75.823943661971811</v>
      </c>
      <c r="DL267" s="2">
        <f t="shared" ref="DL267" si="6478">100*$AF267/AY267</f>
        <v>61.985915492957737</v>
      </c>
      <c r="DM267" s="2">
        <f t="shared" ref="DM267" si="6479">100*$AF267/AZ267</f>
        <v>64.478873239436609</v>
      </c>
      <c r="DN267" s="2">
        <f t="shared" ref="DN267" si="6480">100*$AF267/BA267</f>
        <v>54.380281690140833</v>
      </c>
      <c r="DO267" s="2">
        <f t="shared" ref="DO267" si="6481">100*$AF267/BB267</f>
        <v>50.471830985915489</v>
      </c>
      <c r="DP267" s="2">
        <f t="shared" ref="DP267" si="6482">100*$AF267/BC267</f>
        <v>42.422535211267594</v>
      </c>
      <c r="DQ267" s="2">
        <f t="shared" ref="DQ267" si="6483">100*$AF267/BD267</f>
        <v>76.760563380281681</v>
      </c>
      <c r="DR267" s="2">
        <f t="shared" ref="DR267" si="6484">100*$AF267/BE267</f>
        <v>73.380281690140833</v>
      </c>
      <c r="DS267" s="2">
        <f t="shared" ref="DS267" si="6485">100*$AF267/BF267</f>
        <v>69.524647887323937</v>
      </c>
      <c r="DT267" s="2">
        <f t="shared" ref="DT267" si="6486">100*$AF267/BG267</f>
        <v>57.359154929577464</v>
      </c>
      <c r="DU267" s="2">
        <f t="shared" ref="DU267" si="6487">100*$AF267/BH267</f>
        <v>60.070422535211264</v>
      </c>
      <c r="DV267" s="2">
        <f t="shared" ref="DV267" si="6488">100*$AF267/BI267</f>
        <v>51.021126760563376</v>
      </c>
      <c r="DW267" s="2">
        <f t="shared" ref="DW267" si="6489">100*$AF267/BJ267</f>
        <v>48.397887323943664</v>
      </c>
      <c r="DX267" s="2">
        <f t="shared" ref="DX267" si="6490">100*$AF267/BK267</f>
        <v>41.690140845070424</v>
      </c>
      <c r="DY267" s="2">
        <f t="shared" ref="DY267" si="6491">100*$AF267/BL267</f>
        <v>69.014084507042242</v>
      </c>
      <c r="DZ267" s="2">
        <f t="shared" ref="DZ267" si="6492">100*$AF267/BM267</f>
        <v>66.309859154929569</v>
      </c>
      <c r="EA267" s="2">
        <f t="shared" ref="EA267" si="6493">100*$AF267/BN267</f>
        <v>63.225352112676049</v>
      </c>
      <c r="EB267" s="2">
        <f t="shared" ref="EB267" si="6494">100*$AF267/BO267</f>
        <v>52.73239436619717</v>
      </c>
      <c r="EC267" s="2">
        <f t="shared" ref="EC267" si="6495">100*$AF267/BP267</f>
        <v>55.661971830985912</v>
      </c>
      <c r="ED267" s="2">
        <f t="shared" ref="ED267" si="6496">100*$AF267/BQ267</f>
        <v>47.661971830985912</v>
      </c>
      <c r="EE267" s="2">
        <f t="shared" ref="EE267" si="6497">100*$AF267/BR267</f>
        <v>46.323943661971832</v>
      </c>
      <c r="EF267" s="2">
        <f t="shared" ref="EF267" si="6498">100*$AF267/BS267</f>
        <v>40.95774647887324</v>
      </c>
      <c r="EG267" s="2">
        <f t="shared" ref="EG267" si="6499">100*$AF267/BT267</f>
        <v>61.267605633802809</v>
      </c>
      <c r="EH267" s="2">
        <f t="shared" ref="EH267" si="6500">100*$AF267/BU267</f>
        <v>59.239436619718312</v>
      </c>
      <c r="EI267" s="2">
        <f t="shared" ref="EI267" si="6501">100*$AF267/BV267</f>
        <v>56.926056338028161</v>
      </c>
      <c r="EJ267" s="2">
        <f t="shared" ref="EJ267" si="6502">100*$AF267/BW267</f>
        <v>48.105633802816904</v>
      </c>
      <c r="EK267" s="2">
        <f t="shared" ref="EK267" si="6503">100*$AF267/BX267</f>
        <v>51.25352112676056</v>
      </c>
      <c r="EL267" s="2">
        <f t="shared" ref="EL267" si="6504">100*$AF267/BY267</f>
        <v>44.302816901408448</v>
      </c>
      <c r="EM267" s="2">
        <f t="shared" ref="EM267" si="6505">100*$AF267/BZ267</f>
        <v>44.25</v>
      </c>
      <c r="EN267" s="2">
        <f t="shared" ref="EN267" si="6506">100*$AF267/CA267</f>
        <v>40.225352112676049</v>
      </c>
      <c r="EO267" s="2">
        <f t="shared" ref="EO267" si="6507">100*$AF267/CB267</f>
        <v>53.521126760563369</v>
      </c>
      <c r="EP267" s="2">
        <f t="shared" ref="EP267" si="6508">100*$AF267/CC267</f>
        <v>52.169014084507033</v>
      </c>
      <c r="EQ267" s="2">
        <f t="shared" ref="EQ267" si="6509">100*$AF267/CD267</f>
        <v>50.626760563380287</v>
      </c>
      <c r="ER267" s="2">
        <f t="shared" ref="ER267" si="6510">100*$AF267/CE267</f>
        <v>43.478873239436624</v>
      </c>
      <c r="ES267" s="2">
        <f t="shared" ref="ES267" si="6511">100*$AF267/CF267</f>
        <v>46.845070422535208</v>
      </c>
      <c r="ET267" s="2">
        <f t="shared" ref="ET267" si="6512">100*$AF267/CG267</f>
        <v>40.943661971830984</v>
      </c>
      <c r="EU267" s="2">
        <f t="shared" ref="EU267" si="6513">100*$AF267/CH267</f>
        <v>42.176056338028168</v>
      </c>
      <c r="EV267" s="2">
        <f t="shared" ref="EV267" si="6514">100*$AF267/CI267</f>
        <v>39.492957746478872</v>
      </c>
      <c r="EW267" s="2">
        <f t="shared" ref="EW267" si="6515">100*$AF267/CJ267</f>
        <v>45.774647887323944</v>
      </c>
      <c r="EX267" s="2">
        <f t="shared" ref="EX267" si="6516">100*$AF267/CK267</f>
        <v>45.098591549295769</v>
      </c>
      <c r="EY267" s="2">
        <f t="shared" ref="EY267" si="6517">100*$AF267/CL267</f>
        <v>44.327464788732392</v>
      </c>
      <c r="EZ267" s="2">
        <f t="shared" ref="EZ267" si="6518">100*$AF267/CM267</f>
        <v>38.852112676056329</v>
      </c>
      <c r="FA267" s="2">
        <f t="shared" ref="FA267" si="6519">100*$AF267/CN267</f>
        <v>42.436619718309856</v>
      </c>
      <c r="FB267" s="2">
        <f t="shared" ref="FB267" si="6520">100*$AF267/CO267</f>
        <v>37.58450704225352</v>
      </c>
      <c r="FC267" s="2">
        <f t="shared" ref="FC267" si="6521">100*$AF267/CP267</f>
        <v>40.102112676056336</v>
      </c>
      <c r="FD267" s="2">
        <f t="shared" ref="FD267" si="6522">100*$AF267/CQ267</f>
        <v>38.760563380281688</v>
      </c>
    </row>
    <row r="268" spans="3:160" x14ac:dyDescent="0.4">
      <c r="C268" s="1" t="s">
        <v>54</v>
      </c>
      <c r="D268" s="1" t="s">
        <v>5</v>
      </c>
      <c r="E268" s="1">
        <v>0.25900000000000001</v>
      </c>
      <c r="F268" s="1">
        <v>0.15</v>
      </c>
      <c r="G268" s="1">
        <v>0.109</v>
      </c>
      <c r="H268" s="1">
        <v>7.1999999999999995E-2</v>
      </c>
      <c r="I268" s="1">
        <v>5937</v>
      </c>
      <c r="J268" s="1">
        <v>4733</v>
      </c>
      <c r="K268" s="1">
        <v>72</v>
      </c>
      <c r="L268" s="1">
        <v>6942</v>
      </c>
      <c r="M268" s="1">
        <v>6755</v>
      </c>
      <c r="N268" s="1">
        <v>76</v>
      </c>
      <c r="O268" s="1">
        <v>98</v>
      </c>
      <c r="P268" s="1">
        <v>91</v>
      </c>
      <c r="Q268" s="1">
        <v>98</v>
      </c>
      <c r="R268" s="1">
        <v>52</v>
      </c>
      <c r="S268" s="1">
        <v>98.5</v>
      </c>
      <c r="T268" s="4">
        <v>0</v>
      </c>
      <c r="U268" s="1">
        <v>1.8140000000000001</v>
      </c>
      <c r="V268" s="1">
        <v>7.6999999999999999E-2</v>
      </c>
      <c r="W268" s="1">
        <v>4.0199999999999996</v>
      </c>
      <c r="X268" s="1">
        <f t="shared" ref="X268" si="6523">H269</f>
        <v>2.7E-2</v>
      </c>
      <c r="Y268" s="1">
        <f t="shared" ref="Y268" si="6524">H270</f>
        <v>6.5000000000000002E-2</v>
      </c>
      <c r="Z268" s="1">
        <f t="shared" ref="Z268" si="6525">H271</f>
        <v>2.8000000000000001E-2</v>
      </c>
      <c r="AA268" s="1">
        <f t="shared" ref="AA268" si="6526">H272</f>
        <v>2.3E-2</v>
      </c>
      <c r="AB268" s="1">
        <f t="shared" ref="AB268" si="6527">H273</f>
        <v>2.8000000000000001E-2</v>
      </c>
      <c r="AC268" s="1">
        <f t="shared" si="6237"/>
        <v>3837.0975050580437</v>
      </c>
      <c r="AE268" s="1" t="s">
        <v>96</v>
      </c>
      <c r="AF268" s="1">
        <v>1</v>
      </c>
      <c r="AG268" s="1">
        <v>0.81499999999999995</v>
      </c>
      <c r="AH268" s="1">
        <v>0.64500000000000002</v>
      </c>
      <c r="AI268" s="1">
        <v>0.39500000000000002</v>
      </c>
      <c r="AJ268" s="1">
        <v>0.36</v>
      </c>
      <c r="AK268" s="1">
        <v>0.245</v>
      </c>
      <c r="AL268" s="1">
        <v>0.14499999999999999</v>
      </c>
      <c r="AM268" s="20">
        <v>6.5000000000000002E-2</v>
      </c>
      <c r="AN268" s="1">
        <v>1</v>
      </c>
      <c r="AO268" s="1">
        <v>0.81499999999999995</v>
      </c>
      <c r="AP268" s="1">
        <v>0.64500000000000002</v>
      </c>
      <c r="AQ268" s="1">
        <v>0.39500000000000002</v>
      </c>
      <c r="AR268" s="1">
        <v>0.36</v>
      </c>
      <c r="AS268" s="1">
        <v>0.245</v>
      </c>
      <c r="AT268" s="1">
        <v>0.14499999999999999</v>
      </c>
      <c r="AU268" s="20">
        <v>6.5000000000000002E-2</v>
      </c>
      <c r="AV268" s="1">
        <v>1</v>
      </c>
      <c r="AW268" s="1">
        <v>0.81499999999999995</v>
      </c>
      <c r="AX268" s="1">
        <v>0.64500000000000002</v>
      </c>
      <c r="AY268" s="1">
        <v>0.39500000000000002</v>
      </c>
      <c r="AZ268" s="1">
        <v>0.36</v>
      </c>
      <c r="BA268" s="1">
        <v>0.245</v>
      </c>
      <c r="BB268" s="1">
        <v>0.14499999999999999</v>
      </c>
      <c r="BC268" s="20">
        <v>6.5000000000000002E-2</v>
      </c>
      <c r="BD268" s="1">
        <v>1</v>
      </c>
      <c r="BE268" s="1">
        <v>0.81499999999999995</v>
      </c>
      <c r="BF268" s="1">
        <v>0.64500000000000002</v>
      </c>
      <c r="BG268" s="1">
        <v>0.39500000000000002</v>
      </c>
      <c r="BH268" s="1">
        <v>0.36</v>
      </c>
      <c r="BI268" s="1">
        <v>0.245</v>
      </c>
      <c r="BJ268" s="1">
        <v>0.14499999999999999</v>
      </c>
      <c r="BK268" s="20">
        <v>6.5000000000000002E-2</v>
      </c>
      <c r="BL268" s="1">
        <v>1</v>
      </c>
      <c r="BM268" s="1">
        <v>0.81499999999999995</v>
      </c>
      <c r="BN268" s="1">
        <v>0.64500000000000002</v>
      </c>
      <c r="BO268" s="1">
        <v>0.39500000000000002</v>
      </c>
      <c r="BP268" s="1">
        <v>0.36</v>
      </c>
      <c r="BQ268" s="1">
        <v>0.245</v>
      </c>
      <c r="BR268" s="1">
        <v>0.14499999999999999</v>
      </c>
      <c r="BS268" s="20">
        <v>6.5000000000000002E-2</v>
      </c>
      <c r="BT268" s="1">
        <v>1</v>
      </c>
      <c r="BU268" s="1">
        <v>0.81499999999999995</v>
      </c>
      <c r="BV268" s="1">
        <v>0.64500000000000002</v>
      </c>
      <c r="BW268" s="1">
        <v>0.39500000000000002</v>
      </c>
      <c r="BX268" s="1">
        <v>0.36</v>
      </c>
      <c r="BY268" s="1">
        <v>0.245</v>
      </c>
      <c r="BZ268" s="1">
        <v>0.14499999999999999</v>
      </c>
      <c r="CA268" s="20">
        <v>6.5000000000000002E-2</v>
      </c>
      <c r="CB268" s="1">
        <v>1</v>
      </c>
      <c r="CC268" s="1">
        <v>0.81499999999999995</v>
      </c>
      <c r="CD268" s="1">
        <v>0.64500000000000002</v>
      </c>
      <c r="CE268" s="1">
        <v>0.39500000000000002</v>
      </c>
      <c r="CF268" s="1">
        <v>0.36</v>
      </c>
      <c r="CG268" s="1">
        <v>0.245</v>
      </c>
      <c r="CH268" s="1">
        <v>0.14499999999999999</v>
      </c>
      <c r="CI268" s="20">
        <v>6.5000000000000002E-2</v>
      </c>
      <c r="CJ268" s="1">
        <v>1</v>
      </c>
      <c r="CK268" s="1">
        <v>0.81499999999999995</v>
      </c>
      <c r="CL268" s="1">
        <v>0.64500000000000002</v>
      </c>
      <c r="CM268" s="1">
        <v>0.39500000000000002</v>
      </c>
      <c r="CN268" s="1">
        <v>0.36</v>
      </c>
      <c r="CO268" s="1">
        <v>0.245</v>
      </c>
      <c r="CP268" s="1">
        <v>0.14499999999999999</v>
      </c>
      <c r="CQ268" s="20">
        <v>6.5000000000000002E-2</v>
      </c>
    </row>
    <row r="269" spans="3:160" x14ac:dyDescent="0.4">
      <c r="C269" s="1" t="s">
        <v>54</v>
      </c>
      <c r="D269" s="1" t="s">
        <v>6</v>
      </c>
      <c r="E269" s="1">
        <v>0.20499999999999999</v>
      </c>
      <c r="F269" s="1">
        <v>9.7000000000000003E-2</v>
      </c>
      <c r="G269" s="1">
        <v>0.108</v>
      </c>
      <c r="H269" s="1">
        <v>2.7E-2</v>
      </c>
      <c r="I269" s="1">
        <v>5937</v>
      </c>
      <c r="J269" s="1">
        <v>4733</v>
      </c>
      <c r="K269" s="1">
        <v>72</v>
      </c>
      <c r="L269" s="1">
        <v>6942</v>
      </c>
      <c r="M269" s="1">
        <v>6755</v>
      </c>
      <c r="N269" s="1">
        <v>76</v>
      </c>
      <c r="O269" s="1">
        <v>98</v>
      </c>
      <c r="P269" s="1">
        <v>91</v>
      </c>
      <c r="Q269" s="1">
        <v>98</v>
      </c>
      <c r="R269" s="1">
        <v>52</v>
      </c>
      <c r="S269" s="1">
        <v>98.5</v>
      </c>
      <c r="T269" s="4">
        <v>0</v>
      </c>
      <c r="U269" s="1">
        <v>1.8140000000000001</v>
      </c>
      <c r="V269" s="1">
        <v>7.6999999999999999E-2</v>
      </c>
      <c r="W269" s="1">
        <v>4.0199999999999996</v>
      </c>
      <c r="X269" s="1">
        <f t="shared" ref="X269" si="6528">H269</f>
        <v>2.7E-2</v>
      </c>
      <c r="Y269" s="1">
        <f t="shared" ref="Y269" si="6529">H270</f>
        <v>6.5000000000000002E-2</v>
      </c>
      <c r="Z269" s="1">
        <f t="shared" ref="Z269" si="6530">H271</f>
        <v>2.8000000000000001E-2</v>
      </c>
      <c r="AA269" s="1">
        <f t="shared" ref="AA269" si="6531">H272</f>
        <v>2.3E-2</v>
      </c>
      <c r="AB269" s="1">
        <f t="shared" ref="AB269" si="6532">H273</f>
        <v>2.8000000000000001E-2</v>
      </c>
      <c r="AC269" s="1">
        <f t="shared" si="6237"/>
        <v>3837.0975050580437</v>
      </c>
      <c r="CQ269" s="20"/>
    </row>
    <row r="270" spans="3:160" x14ac:dyDescent="0.4">
      <c r="C270" s="1" t="s">
        <v>54</v>
      </c>
      <c r="D270" s="1" t="s">
        <v>7</v>
      </c>
      <c r="E270" s="1">
        <v>0.252</v>
      </c>
      <c r="F270" s="1">
        <v>0.14299999999999999</v>
      </c>
      <c r="G270" s="1">
        <v>0.109</v>
      </c>
      <c r="H270" s="1">
        <v>6.5000000000000002E-2</v>
      </c>
      <c r="I270" s="1">
        <v>5937</v>
      </c>
      <c r="J270" s="1">
        <v>4733</v>
      </c>
      <c r="K270" s="1">
        <v>72</v>
      </c>
      <c r="L270" s="1">
        <v>6942</v>
      </c>
      <c r="M270" s="1">
        <v>6755</v>
      </c>
      <c r="N270" s="1">
        <v>76</v>
      </c>
      <c r="O270" s="1">
        <v>98</v>
      </c>
      <c r="P270" s="1">
        <v>91</v>
      </c>
      <c r="Q270" s="1">
        <v>98</v>
      </c>
      <c r="R270" s="1">
        <v>52</v>
      </c>
      <c r="S270" s="1">
        <v>98.5</v>
      </c>
      <c r="T270" s="4">
        <v>0</v>
      </c>
      <c r="U270" s="1">
        <v>1.8140000000000001</v>
      </c>
      <c r="V270" s="1">
        <v>7.6999999999999999E-2</v>
      </c>
      <c r="W270" s="1">
        <v>4.0199999999999996</v>
      </c>
      <c r="X270" s="1">
        <f t="shared" ref="X270" si="6533">H269</f>
        <v>2.7E-2</v>
      </c>
      <c r="Y270" s="1">
        <f t="shared" ref="Y270" si="6534">H270</f>
        <v>6.5000000000000002E-2</v>
      </c>
      <c r="Z270" s="1">
        <f t="shared" ref="Z270" si="6535">H271</f>
        <v>2.8000000000000001E-2</v>
      </c>
      <c r="AA270" s="1">
        <f t="shared" ref="AA270" si="6536">H272</f>
        <v>2.3E-2</v>
      </c>
      <c r="AB270" s="1">
        <f t="shared" ref="AB270" si="6537">H273</f>
        <v>2.8000000000000001E-2</v>
      </c>
      <c r="AC270" s="1">
        <f t="shared" si="6237"/>
        <v>3837.0975050580437</v>
      </c>
      <c r="AE270" s="1" t="s">
        <v>97</v>
      </c>
      <c r="AF270" s="1">
        <v>0</v>
      </c>
      <c r="AG270" s="1">
        <v>0.12</v>
      </c>
      <c r="AH270" s="1">
        <v>0.21</v>
      </c>
      <c r="AI270" s="1">
        <v>0.26</v>
      </c>
      <c r="AJ270" s="1">
        <v>0.28000000000000003</v>
      </c>
      <c r="AK270" s="1">
        <v>0.26</v>
      </c>
      <c r="AL270" s="1">
        <v>0.21</v>
      </c>
      <c r="AM270" s="20">
        <v>0.12</v>
      </c>
      <c r="AN270" s="1">
        <v>0</v>
      </c>
      <c r="AO270" s="1">
        <v>0.12</v>
      </c>
      <c r="AP270" s="1">
        <v>0.21</v>
      </c>
      <c r="AQ270" s="1">
        <v>0.26</v>
      </c>
      <c r="AR270" s="1">
        <v>0.28000000000000003</v>
      </c>
      <c r="AS270" s="1">
        <v>0.26</v>
      </c>
      <c r="AT270" s="1">
        <v>0.21</v>
      </c>
      <c r="AU270" s="20">
        <v>0.12</v>
      </c>
      <c r="AV270" s="1">
        <v>0</v>
      </c>
      <c r="AW270" s="1">
        <v>0.12</v>
      </c>
      <c r="AX270" s="1">
        <v>0.21</v>
      </c>
      <c r="AY270" s="1">
        <v>0.26</v>
      </c>
      <c r="AZ270" s="1">
        <v>0.28000000000000003</v>
      </c>
      <c r="BA270" s="1">
        <v>0.26</v>
      </c>
      <c r="BB270" s="1">
        <v>0.21</v>
      </c>
      <c r="BC270" s="20">
        <v>0.12</v>
      </c>
      <c r="BD270" s="1">
        <v>0</v>
      </c>
      <c r="BE270" s="1">
        <v>0.12</v>
      </c>
      <c r="BF270" s="1">
        <v>0.21</v>
      </c>
      <c r="BG270" s="1">
        <v>0.26</v>
      </c>
      <c r="BH270" s="1">
        <v>0.28000000000000003</v>
      </c>
      <c r="BI270" s="1">
        <v>0.26</v>
      </c>
      <c r="BJ270" s="1">
        <v>0.21</v>
      </c>
      <c r="BK270" s="20">
        <v>0.12</v>
      </c>
      <c r="BL270" s="1">
        <v>0</v>
      </c>
      <c r="BM270" s="1">
        <v>0.12</v>
      </c>
      <c r="BN270" s="1">
        <v>0.21</v>
      </c>
      <c r="BO270" s="1">
        <v>0.26</v>
      </c>
      <c r="BP270" s="1">
        <v>0.28000000000000003</v>
      </c>
      <c r="BQ270" s="1">
        <v>0.26</v>
      </c>
      <c r="BR270" s="1">
        <v>0.21</v>
      </c>
      <c r="BS270" s="20">
        <v>0.12</v>
      </c>
      <c r="BT270" s="1">
        <v>0</v>
      </c>
      <c r="BU270" s="1">
        <v>0.12</v>
      </c>
      <c r="BV270" s="1">
        <v>0.21</v>
      </c>
      <c r="BW270" s="1">
        <v>0.26</v>
      </c>
      <c r="BX270" s="1">
        <v>0.28000000000000003</v>
      </c>
      <c r="BY270" s="1">
        <v>0.26</v>
      </c>
      <c r="BZ270" s="1">
        <v>0.21</v>
      </c>
      <c r="CA270" s="20">
        <v>0.12</v>
      </c>
      <c r="CB270" s="1">
        <v>0</v>
      </c>
      <c r="CC270" s="1">
        <v>0.12</v>
      </c>
      <c r="CD270" s="1">
        <v>0.21</v>
      </c>
      <c r="CE270" s="1">
        <v>0.26</v>
      </c>
      <c r="CF270" s="1">
        <v>0.28000000000000003</v>
      </c>
      <c r="CG270" s="1">
        <v>0.26</v>
      </c>
      <c r="CH270" s="1">
        <v>0.21</v>
      </c>
      <c r="CI270" s="20">
        <v>0.12</v>
      </c>
      <c r="CJ270" s="1">
        <v>0</v>
      </c>
      <c r="CK270" s="1">
        <v>0.12</v>
      </c>
      <c r="CL270" s="1">
        <v>0.21</v>
      </c>
      <c r="CM270" s="1">
        <v>0.26</v>
      </c>
      <c r="CN270" s="1">
        <v>0.28000000000000003</v>
      </c>
      <c r="CO270" s="1">
        <v>0.26</v>
      </c>
      <c r="CP270" s="1">
        <v>0.21</v>
      </c>
      <c r="CQ270" s="20">
        <v>0.12</v>
      </c>
    </row>
    <row r="271" spans="3:160" x14ac:dyDescent="0.4">
      <c r="C271" s="1" t="s">
        <v>54</v>
      </c>
      <c r="D271" s="1" t="s">
        <v>8</v>
      </c>
      <c r="E271" s="1">
        <v>0.20599999999999999</v>
      </c>
      <c r="F271" s="1">
        <v>9.8000000000000004E-2</v>
      </c>
      <c r="G271" s="1">
        <v>0.108</v>
      </c>
      <c r="H271" s="1">
        <v>2.8000000000000001E-2</v>
      </c>
      <c r="I271" s="1">
        <v>5937</v>
      </c>
      <c r="J271" s="1">
        <v>4733</v>
      </c>
      <c r="K271" s="1">
        <v>72</v>
      </c>
      <c r="L271" s="1">
        <v>6942</v>
      </c>
      <c r="M271" s="1">
        <v>6755</v>
      </c>
      <c r="N271" s="1">
        <v>76</v>
      </c>
      <c r="O271" s="1">
        <v>98</v>
      </c>
      <c r="P271" s="1">
        <v>91</v>
      </c>
      <c r="Q271" s="1">
        <v>98</v>
      </c>
      <c r="R271" s="1">
        <v>52</v>
      </c>
      <c r="S271" s="1">
        <v>98.5</v>
      </c>
      <c r="T271" s="4">
        <v>0</v>
      </c>
      <c r="U271" s="1">
        <v>1.8140000000000001</v>
      </c>
      <c r="V271" s="1">
        <v>7.6999999999999999E-2</v>
      </c>
      <c r="W271" s="1">
        <v>4.0199999999999996</v>
      </c>
      <c r="X271" s="1">
        <f t="shared" ref="X271" si="6538">H269</f>
        <v>2.7E-2</v>
      </c>
      <c r="Y271" s="1">
        <f t="shared" ref="Y271" si="6539">H270</f>
        <v>6.5000000000000002E-2</v>
      </c>
      <c r="Z271" s="1">
        <f t="shared" ref="Z271" si="6540">H271</f>
        <v>2.8000000000000001E-2</v>
      </c>
      <c r="AA271" s="1">
        <f t="shared" ref="AA271" si="6541">H272</f>
        <v>2.3E-2</v>
      </c>
      <c r="AB271" s="1">
        <f t="shared" ref="AB271" si="6542">H273</f>
        <v>2.8000000000000001E-2</v>
      </c>
      <c r="AC271" s="1">
        <f t="shared" si="6237"/>
        <v>3837.0975050580437</v>
      </c>
      <c r="CQ271" s="20"/>
    </row>
    <row r="272" spans="3:160" x14ac:dyDescent="0.4">
      <c r="C272" s="1" t="s">
        <v>54</v>
      </c>
      <c r="D272" s="1" t="s">
        <v>9</v>
      </c>
      <c r="E272" s="1">
        <v>0.20100000000000001</v>
      </c>
      <c r="F272" s="1">
        <v>9.2999999999999999E-2</v>
      </c>
      <c r="G272" s="1">
        <v>0.108</v>
      </c>
      <c r="H272" s="1">
        <v>2.3E-2</v>
      </c>
      <c r="I272" s="1">
        <v>5937</v>
      </c>
      <c r="J272" s="1">
        <v>4733</v>
      </c>
      <c r="K272" s="1">
        <v>72</v>
      </c>
      <c r="L272" s="1">
        <v>6942</v>
      </c>
      <c r="M272" s="1">
        <v>6755</v>
      </c>
      <c r="N272" s="1">
        <v>76</v>
      </c>
      <c r="O272" s="1">
        <v>98</v>
      </c>
      <c r="P272" s="1">
        <v>91</v>
      </c>
      <c r="Q272" s="1">
        <v>98</v>
      </c>
      <c r="R272" s="1">
        <v>52</v>
      </c>
      <c r="S272" s="1">
        <v>98.5</v>
      </c>
      <c r="T272" s="4">
        <v>0</v>
      </c>
      <c r="U272" s="1">
        <v>1.8140000000000001</v>
      </c>
      <c r="V272" s="1">
        <v>7.6999999999999999E-2</v>
      </c>
      <c r="W272" s="1">
        <v>4.0199999999999996</v>
      </c>
      <c r="X272" s="1">
        <f t="shared" ref="X272" si="6543">H269</f>
        <v>2.7E-2</v>
      </c>
      <c r="Y272" s="1">
        <f t="shared" ref="Y272" si="6544">H270</f>
        <v>6.5000000000000002E-2</v>
      </c>
      <c r="Z272" s="1">
        <f t="shared" ref="Z272" si="6545">H271</f>
        <v>2.8000000000000001E-2</v>
      </c>
      <c r="AA272" s="1">
        <f t="shared" ref="AA272" si="6546">H272</f>
        <v>2.3E-2</v>
      </c>
      <c r="AB272" s="1">
        <f t="shared" ref="AB272" si="6547">H273</f>
        <v>2.8000000000000001E-2</v>
      </c>
      <c r="AC272" s="1">
        <f t="shared" si="6237"/>
        <v>3837.0975050580437</v>
      </c>
      <c r="AE272" s="1" t="s">
        <v>98</v>
      </c>
      <c r="AF272" s="1">
        <v>0</v>
      </c>
      <c r="AG272" s="1">
        <v>6.5000000000000002E-2</v>
      </c>
      <c r="AH272" s="1">
        <v>0.14499999999999999</v>
      </c>
      <c r="AI272" s="1">
        <v>0.245</v>
      </c>
      <c r="AJ272" s="1">
        <v>0.36</v>
      </c>
      <c r="AK272" s="1">
        <v>0.39500000000000002</v>
      </c>
      <c r="AL272" s="1">
        <v>0.64500000000000002</v>
      </c>
      <c r="AM272" s="20">
        <v>0.81499999999999995</v>
      </c>
      <c r="AN272" s="1">
        <v>0</v>
      </c>
      <c r="AO272" s="1">
        <v>6.5000000000000002E-2</v>
      </c>
      <c r="AP272" s="1">
        <v>0.14499999999999999</v>
      </c>
      <c r="AQ272" s="1">
        <v>0.245</v>
      </c>
      <c r="AR272" s="1">
        <v>0.36</v>
      </c>
      <c r="AS272" s="1">
        <v>0.39500000000000002</v>
      </c>
      <c r="AT272" s="1">
        <v>0.64500000000000002</v>
      </c>
      <c r="AU272" s="20">
        <v>0.81499999999999995</v>
      </c>
      <c r="AV272" s="1">
        <v>0</v>
      </c>
      <c r="AW272" s="1">
        <v>6.5000000000000002E-2</v>
      </c>
      <c r="AX272" s="1">
        <v>0.14499999999999999</v>
      </c>
      <c r="AY272" s="1">
        <v>0.245</v>
      </c>
      <c r="AZ272" s="1">
        <v>0.36</v>
      </c>
      <c r="BA272" s="1">
        <v>0.39500000000000002</v>
      </c>
      <c r="BB272" s="1">
        <v>0.64500000000000002</v>
      </c>
      <c r="BC272" s="20">
        <v>0.81499999999999995</v>
      </c>
      <c r="BD272" s="1">
        <v>0</v>
      </c>
      <c r="BE272" s="1">
        <v>6.5000000000000002E-2</v>
      </c>
      <c r="BF272" s="1">
        <v>0.14499999999999999</v>
      </c>
      <c r="BG272" s="1">
        <v>0.245</v>
      </c>
      <c r="BH272" s="1">
        <v>0.36</v>
      </c>
      <c r="BI272" s="1">
        <v>0.39500000000000002</v>
      </c>
      <c r="BJ272" s="1">
        <v>0.64500000000000002</v>
      </c>
      <c r="BK272" s="20">
        <v>0.81499999999999995</v>
      </c>
      <c r="BL272" s="1">
        <v>0</v>
      </c>
      <c r="BM272" s="1">
        <v>6.5000000000000002E-2</v>
      </c>
      <c r="BN272" s="1">
        <v>0.14499999999999999</v>
      </c>
      <c r="BO272" s="1">
        <v>0.245</v>
      </c>
      <c r="BP272" s="1">
        <v>0.36</v>
      </c>
      <c r="BQ272" s="1">
        <v>0.39500000000000002</v>
      </c>
      <c r="BR272" s="1">
        <v>0.64500000000000002</v>
      </c>
      <c r="BS272" s="20">
        <v>0.81499999999999995</v>
      </c>
      <c r="BT272" s="1">
        <v>0</v>
      </c>
      <c r="BU272" s="1">
        <v>6.5000000000000002E-2</v>
      </c>
      <c r="BV272" s="1">
        <v>0.14499999999999999</v>
      </c>
      <c r="BW272" s="1">
        <v>0.245</v>
      </c>
      <c r="BX272" s="1">
        <v>0.36</v>
      </c>
      <c r="BY272" s="1">
        <v>0.39500000000000002</v>
      </c>
      <c r="BZ272" s="1">
        <v>0.64500000000000002</v>
      </c>
      <c r="CA272" s="20">
        <v>0.81499999999999995</v>
      </c>
      <c r="CB272" s="1">
        <v>0</v>
      </c>
      <c r="CC272" s="1">
        <v>6.5000000000000002E-2</v>
      </c>
      <c r="CD272" s="1">
        <v>0.14499999999999999</v>
      </c>
      <c r="CE272" s="1">
        <v>0.245</v>
      </c>
      <c r="CF272" s="1">
        <v>0.36</v>
      </c>
      <c r="CG272" s="1">
        <v>0.39500000000000002</v>
      </c>
      <c r="CH272" s="1">
        <v>0.64500000000000002</v>
      </c>
      <c r="CI272" s="20">
        <v>0.81499999999999995</v>
      </c>
      <c r="CJ272" s="1">
        <v>0</v>
      </c>
      <c r="CK272" s="1">
        <v>6.5000000000000002E-2</v>
      </c>
      <c r="CL272" s="1">
        <v>0.14499999999999999</v>
      </c>
      <c r="CM272" s="1">
        <v>0.245</v>
      </c>
      <c r="CN272" s="1">
        <v>0.36</v>
      </c>
      <c r="CO272" s="1">
        <v>0.39500000000000002</v>
      </c>
      <c r="CP272" s="1">
        <v>0.64500000000000002</v>
      </c>
      <c r="CQ272" s="20">
        <v>0.81499999999999995</v>
      </c>
    </row>
    <row r="273" spans="3:160" s="50" customFormat="1" ht="10.199999999999999" thickBot="1" x14ac:dyDescent="0.45">
      <c r="C273" s="50" t="s">
        <v>54</v>
      </c>
      <c r="D273" s="50" t="s">
        <v>10</v>
      </c>
      <c r="E273" s="50">
        <v>0.20599999999999999</v>
      </c>
      <c r="F273" s="50">
        <v>9.8000000000000004E-2</v>
      </c>
      <c r="G273" s="50">
        <v>0.108</v>
      </c>
      <c r="H273" s="50">
        <v>2.8000000000000001E-2</v>
      </c>
      <c r="I273" s="50">
        <v>5937</v>
      </c>
      <c r="J273" s="50">
        <v>4733</v>
      </c>
      <c r="K273" s="50">
        <v>72</v>
      </c>
      <c r="L273" s="50">
        <v>6942</v>
      </c>
      <c r="M273" s="50">
        <v>6755</v>
      </c>
      <c r="N273" s="50">
        <v>76</v>
      </c>
      <c r="O273" s="50">
        <v>98</v>
      </c>
      <c r="P273" s="50">
        <v>91</v>
      </c>
      <c r="Q273" s="50">
        <v>98</v>
      </c>
      <c r="R273" s="50">
        <v>52</v>
      </c>
      <c r="S273" s="50">
        <v>98.5</v>
      </c>
      <c r="T273" s="51">
        <f t="shared" ref="T273" si="6548">(N268*O268*P268*Q268*R268*S268)/(I268*J268*K268*(F268*H268 + F269*H269 + F270*H270 + F271*H271 + F272*H272 + F273*H273))</f>
        <v>5542.1818254936334</v>
      </c>
      <c r="U273" s="50">
        <v>1.8140000000000001</v>
      </c>
      <c r="V273" s="50">
        <v>7.6999999999999999E-2</v>
      </c>
      <c r="W273" s="50">
        <v>4.0199999999999996</v>
      </c>
      <c r="X273" s="50">
        <f>H269</f>
        <v>2.7E-2</v>
      </c>
      <c r="Y273" s="50">
        <f t="shared" ref="Y273" si="6549">H270</f>
        <v>6.5000000000000002E-2</v>
      </c>
      <c r="Z273" s="50">
        <f t="shared" ref="Z273" si="6550">H271</f>
        <v>2.8000000000000001E-2</v>
      </c>
      <c r="AA273" s="50">
        <f t="shared" ref="AA273" si="6551">H272</f>
        <v>2.3E-2</v>
      </c>
      <c r="AB273" s="50">
        <f t="shared" ref="AB273" si="6552">H273</f>
        <v>2.8000000000000001E-2</v>
      </c>
      <c r="AC273" s="50">
        <f t="shared" si="6237"/>
        <v>3837.0975050580437</v>
      </c>
      <c r="AE273" s="50" t="s">
        <v>99</v>
      </c>
      <c r="AF273" s="52">
        <f>($O273*$Q273*$S273)^(1/3)/(AF268*((1-AF$2)*$H268+AF$2*$H269) + AF270*((1-AF$2)*$H270+AF$2*$H271) + AF272*((1-AF$2)*$H272+AF$2*$H273))</f>
        <v>1363.4220002868399</v>
      </c>
      <c r="AG273" s="52">
        <f t="shared" ref="AG273" si="6553">($O273*$Q273*$S273)^(1/3)/(AG268*((1-AG$2)*$H268+AG$2*$H269) + AG270*((1-AG$2)*$H270+AG$2*$H271) + AG272*((1-AG$2)*$H272+AG$2*$H273))</f>
        <v>1444.1542334777857</v>
      </c>
      <c r="AH273" s="52">
        <f t="shared" ref="AH273" si="6554">($O273*$Q273*$S273)^(1/3)/(AH268*((1-AH$2)*$H268+AH$2*$H269) + AH270*((1-AH$2)*$H270+AH$2*$H271) + AH272*((1-AH$2)*$H272+AH$2*$H273))</f>
        <v>1547.755364929483</v>
      </c>
      <c r="AI273" s="52">
        <f t="shared" ref="AI273" si="6555">($O273*$Q273*$S273)^(1/3)/(AI268*((1-AI$2)*$H268+AI$2*$H269) + AI270*((1-AI$2)*$H270+AI$2*$H271) + AI272*((1-AI$2)*$H272+AI$2*$H273))</f>
        <v>1925.7750666140744</v>
      </c>
      <c r="AJ273" s="52">
        <f t="shared" ref="AJ273" si="6556">($O273*$Q273*$S273)^(1/3)/(AJ268*((1-AJ$2)*$H268+AJ$2*$H269) + AJ270*((1-AJ$2)*$H270+AJ$2*$H271) + AJ272*((1-AJ$2)*$H272+AJ$2*$H273))</f>
        <v>1873.404275203291</v>
      </c>
      <c r="AK273" s="52">
        <f t="shared" ref="AK273" si="6557">($O273*$Q273*$S273)^(1/3)/(AK268*((1-AK$2)*$H268+AK$2*$H269) + AK270*((1-AK$2)*$H270+AK$2*$H271) + AK272*((1-AK$2)*$H272+AK$2*$H273))</f>
        <v>2250.232298467678</v>
      </c>
      <c r="AL273" s="52">
        <f t="shared" ref="AL273" si="6558">($O273*$Q273*$S273)^(1/3)/(AL268*((1-AL$2)*$H268+AL$2*$H269) + AL270*((1-AL$2)*$H270+AL$2*$H271) + AL272*((1-AL$2)*$H272+AL$2*$H273))</f>
        <v>2521.9366479294144</v>
      </c>
      <c r="AM273" s="52">
        <f t="shared" ref="AM273" si="6559">($O273*$Q273*$S273)^(1/3)/(AM268*((1-AM$2)*$H268+AM$2*$H269) + AM270*((1-AM$2)*$H270+AM$2*$H271) + AM272*((1-AM$2)*$H272+AM$2*$H273))</f>
        <v>3143.8393601489984</v>
      </c>
      <c r="AN273" s="52">
        <f t="shared" ref="AN273" si="6560">($O273*$Q273*$S273)^(1/3)/(AN268*((1-AN$2)*$H268+AN$2*$H269) + AN270*((1-AN$2)*$H270+AN$2*$H271) + AN272*((1-AN$2)*$H272+AN$2*$H273))</f>
        <v>1478.9662375992837</v>
      </c>
      <c r="AO273" s="52">
        <f t="shared" ref="AO273" si="6561">($O273*$Q273*$S273)^(1/3)/(AO268*((1-AO$2)*$H268+AO$2*$H269) + AO270*((1-AO$2)*$H270+AO$2*$H271) + AO272*((1-AO$2)*$H272+AO$2*$H273))</f>
        <v>1561.2633390294816</v>
      </c>
      <c r="AP273" s="52">
        <f t="shared" ref="AP273" si="6562">($O273*$Q273*$S273)^(1/3)/(AP268*((1-AP$2)*$H268+AP$2*$H269) + AP270*((1-AP$2)*$H270+AP$2*$H271) + AP272*((1-AP$2)*$H272+AP$2*$H273))</f>
        <v>1666.2021771693283</v>
      </c>
      <c r="AQ273" s="52">
        <f t="shared" ref="AQ273" si="6563">($O273*$Q273*$S273)^(1/3)/(AQ268*((1-AQ$2)*$H268+AQ$2*$H269) + AQ270*((1-AQ$2)*$H270+AQ$2*$H271) + AQ272*((1-AQ$2)*$H272+AQ$2*$H273))</f>
        <v>2057.8336927527175</v>
      </c>
      <c r="AR273" s="52">
        <f t="shared" ref="AR273" si="6564">($O273*$Q273*$S273)^(1/3)/(AR268*((1-AR$2)*$H268+AR$2*$H269) + AR270*((1-AR$2)*$H270+AR$2*$H271) + AR272*((1-AR$2)*$H272+AR$2*$H273))</f>
        <v>1991.0026167863798</v>
      </c>
      <c r="AS273" s="52">
        <f t="shared" ref="AS273" si="6565">($O273*$Q273*$S273)^(1/3)/(AS268*((1-AS$2)*$H268+AS$2*$H269) + AS270*((1-AS$2)*$H270+AS$2*$H271) + AS272*((1-AS$2)*$H272+AS$2*$H273))</f>
        <v>2377.4137140593334</v>
      </c>
      <c r="AT273" s="52">
        <f t="shared" ref="AT273" si="6566">($O273*$Q273*$S273)^(1/3)/(AT268*((1-AT$2)*$H268+AT$2*$H269) + AT270*((1-AT$2)*$H270+AT$2*$H271) + AT272*((1-AT$2)*$H272+AT$2*$H273))</f>
        <v>2614.8938573076939</v>
      </c>
      <c r="AU273" s="52">
        <f t="shared" ref="AU273" si="6567">($O273*$Q273*$S273)^(1/3)/(AU268*((1-AU$2)*$H268+AU$2*$H269) + AU270*((1-AU$2)*$H270+AU$2*$H271) + AU272*((1-AU$2)*$H272+AU$2*$H273))</f>
        <v>3185.798029147782</v>
      </c>
      <c r="AV273" s="52">
        <f t="shared" ref="AV273" si="6568">($O273*$Q273*$S273)^(1/3)/(AV268*((1-AV$2)*$H268+AV$2*$H269) + AV270*((1-AV$2)*$H270+AV$2*$H271) + AV272*((1-AV$2)*$H272+AV$2*$H273))</f>
        <v>1615.907555895514</v>
      </c>
      <c r="AW273" s="52">
        <f t="shared" ref="AW273" si="6569">($O273*$Q273*$S273)^(1/3)/(AW268*((1-AW$2)*$H268+AW$2*$H269) + AW270*((1-AW$2)*$H270+AW$2*$H271) + AW272*((1-AW$2)*$H272+AW$2*$H273))</f>
        <v>1699.0417380581102</v>
      </c>
      <c r="AX273" s="52">
        <f t="shared" ref="AX273" si="6570">($O273*$Q273*$S273)^(1/3)/(AX268*((1-AX$2)*$H268+AX$2*$H269) + AX270*((1-AX$2)*$H270+AX$2*$H271) + AX272*((1-AX$2)*$H272+AX$2*$H273))</f>
        <v>1804.2803661379858</v>
      </c>
      <c r="AY273" s="52">
        <f t="shared" ref="AY273" si="6571">($O273*$Q273*$S273)^(1/3)/(AY268*((1-AY$2)*$H268+AY$2*$H269) + AY270*((1-AY$2)*$H270+AY$2*$H271) + AY272*((1-AY$2)*$H272+AY$2*$H273))</f>
        <v>2209.337399890901</v>
      </c>
      <c r="AZ273" s="52">
        <f t="shared" ref="AZ273" si="6572">($O273*$Q273*$S273)^(1/3)/(AZ268*((1-AZ$2)*$H268+AZ$2*$H269) + AZ270*((1-AZ$2)*$H270+AZ$2*$H271) + AZ272*((1-AZ$2)*$H272+AZ$2*$H273))</f>
        <v>2124.3536901244852</v>
      </c>
      <c r="BA273" s="52">
        <f t="shared" ref="BA273" si="6573">($O273*$Q273*$S273)^(1/3)/(BA268*((1-BA$2)*$H268+BA$2*$H269) + BA270*((1-BA$2)*$H270+BA$2*$H271) + BA272*((1-BA$2)*$H272+BA$2*$H273))</f>
        <v>2519.8327413374182</v>
      </c>
      <c r="BB273" s="52">
        <f t="shared" ref="BB273" si="6574">($O273*$Q273*$S273)^(1/3)/(BB268*((1-BB$2)*$H268+BB$2*$H269) + BB270*((1-BB$2)*$H270+BB$2*$H271) + BB272*((1-BB$2)*$H272+BB$2*$H273))</f>
        <v>2714.9660242177265</v>
      </c>
      <c r="BC273" s="52">
        <f t="shared" ref="BC273" si="6575">($O273*$Q273*$S273)^(1/3)/(BC268*((1-BC$2)*$H268+BC$2*$H269) + BC270*((1-BC$2)*$H270+BC$2*$H271) + BC272*((1-BC$2)*$H272+BC$2*$H273))</f>
        <v>3228.8918352323808</v>
      </c>
      <c r="BD273" s="52">
        <f t="shared" ref="BD273" si="6576">($O273*$Q273*$S273)^(1/3)/(BD268*((1-BD$2)*$H268+BD$2*$H269) + BD270*((1-BD$2)*$H270+BD$2*$H271) + BD272*((1-BD$2)*$H272+BD$2*$H273))</f>
        <v>1780.7960820073008</v>
      </c>
      <c r="BE273" s="52">
        <f t="shared" ref="BE273" si="6577">($O273*$Q273*$S273)^(1/3)/(BE268*((1-BE$2)*$H268+BE$2*$H269) + BE270*((1-BE$2)*$H270+BE$2*$H271) + BE272*((1-BE$2)*$H272+BE$2*$H273))</f>
        <v>1863.4911424559707</v>
      </c>
      <c r="BF273" s="52">
        <f t="shared" ref="BF273" si="6578">($O273*$Q273*$S273)^(1/3)/(BF268*((1-BF$2)*$H268+BF$2*$H269) + BF270*((1-BF$2)*$H270+BF$2*$H271) + BF272*((1-BF$2)*$H272+BF$2*$H273))</f>
        <v>1967.3114861725483</v>
      </c>
      <c r="BG273" s="52">
        <f t="shared" ref="BG273" si="6579">($O273*$Q273*$S273)^(1/3)/(BG268*((1-BG$2)*$H268+BG$2*$H269) + BG270*((1-BG$2)*$H270+BG$2*$H271) + BG272*((1-BG$2)*$H272+BG$2*$H273))</f>
        <v>2384.9223242892876</v>
      </c>
      <c r="BH273" s="52">
        <f t="shared" ref="BH273" si="6580">($O273*$Q273*$S273)^(1/3)/(BH268*((1-BH$2)*$H268+BH$2*$H269) + BH270*((1-BH$2)*$H270+BH$2*$H271) + BH272*((1-BH$2)*$H272+BH$2*$H273))</f>
        <v>2276.8499135023185</v>
      </c>
      <c r="BI273" s="52">
        <f t="shared" ref="BI273" si="6581">($O273*$Q273*$S273)^(1/3)/(BI268*((1-BI$2)*$H268+BI$2*$H269) + BI270*((1-BI$2)*$H270+BI$2*$H271) + BI272*((1-BI$2)*$H272+BI$2*$H273))</f>
        <v>2680.4023078098899</v>
      </c>
      <c r="BJ273" s="52">
        <f t="shared" ref="BJ273" si="6582">($O273*$Q273*$S273)^(1/3)/(BJ268*((1-BJ$2)*$H268+BJ$2*$H269) + BJ270*((1-BJ$2)*$H270+BJ$2*$H271) + BJ272*((1-BJ$2)*$H272+BJ$2*$H273))</f>
        <v>2823.0025240491018</v>
      </c>
      <c r="BK273" s="52">
        <f t="shared" ref="BK273" si="6583">($O273*$Q273*$S273)^(1/3)/(BK268*((1-BK$2)*$H268+BK$2*$H269) + BK270*((1-BK$2)*$H270+BK$2*$H271) + BK272*((1-BK$2)*$H272+BK$2*$H273))</f>
        <v>3273.1674745351552</v>
      </c>
      <c r="BL273" s="52">
        <f t="shared" ref="BL273" si="6584">($O273*$Q273*$S273)^(1/3)/(BL268*((1-BL$2)*$H268+BL$2*$H269) + BL270*((1-BL$2)*$H270+BL$2*$H271) + BL272*((1-BL$2)*$H272+BL$2*$H273))</f>
        <v>1983.1592731444944</v>
      </c>
      <c r="BM273" s="52">
        <f t="shared" ref="BM273" si="6585">($O273*$Q273*$S273)^(1/3)/(BM268*((1-BM$2)*$H268+BM$2*$H269) + BM270*((1-BM$2)*$H270+BM$2*$H271) + BM272*((1-BM$2)*$H272+BM$2*$H273))</f>
        <v>2063.1858768527209</v>
      </c>
      <c r="BN273" s="52">
        <f t="shared" ref="BN273" si="6586">($O273*$Q273*$S273)^(1/3)/(BN268*((1-BN$2)*$H268+BN$2*$H269) + BN270*((1-BN$2)*$H270+BN$2*$H271) + BN272*((1-BN$2)*$H272+BN$2*$H273))</f>
        <v>2162.7315272230112</v>
      </c>
      <c r="BO273" s="52">
        <f t="shared" ref="BO273" si="6587">($O273*$Q273*$S273)^(1/3)/(BO268*((1-BO$2)*$H268+BO$2*$H269) + BO270*((1-BO$2)*$H270+BO$2*$H271) + BO272*((1-BO$2)*$H272+BO$2*$H273))</f>
        <v>2590.8256537517141</v>
      </c>
      <c r="BP273" s="52">
        <f t="shared" ref="BP273" si="6588">($O273*$Q273*$S273)^(1/3)/(BP268*((1-BP$2)*$H268+BP$2*$H269) + BP270*((1-BP$2)*$H270+BP$2*$H271) + BP272*((1-BP$2)*$H272+BP$2*$H273))</f>
        <v>2452.9331339493369</v>
      </c>
      <c r="BQ273" s="52">
        <f t="shared" ref="BQ273" si="6589">($O273*$Q273*$S273)^(1/3)/(BQ268*((1-BQ$2)*$H268+BQ$2*$H269) + BQ270*((1-BQ$2)*$H270+BQ$2*$H271) + BQ272*((1-BQ$2)*$H272+BQ$2*$H273))</f>
        <v>2862.8283470589809</v>
      </c>
      <c r="BR273" s="52">
        <f t="shared" ref="BR273" si="6590">($O273*$Q273*$S273)^(1/3)/(BR268*((1-BR$2)*$H268+BR$2*$H269) + BR270*((1-BR$2)*$H270+BR$2*$H271) + BR272*((1-BR$2)*$H272+BR$2*$H273))</f>
        <v>2939.9935316158267</v>
      </c>
      <c r="BS273" s="52">
        <f t="shared" ref="BS273" si="6591">($O273*$Q273*$S273)^(1/3)/(BS268*((1-BS$2)*$H268+BS$2*$H269) + BS270*((1-BS$2)*$H270+BS$2*$H271) + BS272*((1-BS$2)*$H272+BS$2*$H273))</f>
        <v>3318.674240049103</v>
      </c>
      <c r="BT273" s="52">
        <f t="shared" ref="BT273" si="6592">($O273*$Q273*$S273)^(1/3)/(BT268*((1-BT$2)*$H268+BT$2*$H269) + BT270*((1-BT$2)*$H270+BT$2*$H271) + BT272*((1-BT$2)*$H272+BT$2*$H273))</f>
        <v>2237.410462009173</v>
      </c>
      <c r="BU273" s="52">
        <f t="shared" ref="BU273" si="6593">($O273*$Q273*$S273)^(1/3)/(BU268*((1-BU$2)*$H268+BU$2*$H269) + BU270*((1-BU$2)*$H270+BU$2*$H271) + BU272*((1-BU$2)*$H272+BU$2*$H273))</f>
        <v>2310.8167490516985</v>
      </c>
      <c r="BV273" s="52">
        <f t="shared" ref="BV273" si="6594">($O273*$Q273*$S273)^(1/3)/(BV268*((1-BV$2)*$H268+BV$2*$H269) + BV270*((1-BV$2)*$H270+BV$2*$H271) + BV272*((1-BV$2)*$H272+BV$2*$H273))</f>
        <v>2401.2569092347335</v>
      </c>
      <c r="BW273" s="52">
        <f t="shared" ref="BW273" si="6595">($O273*$Q273*$S273)^(1/3)/(BW268*((1-BW$2)*$H268+BW$2*$H269) + BW270*((1-BW$2)*$H270+BW$2*$H271) + BW272*((1-BW$2)*$H272+BW$2*$H273))</f>
        <v>2835.6420731728454</v>
      </c>
      <c r="BX273" s="52">
        <f t="shared" ref="BX273" si="6596">($O273*$Q273*$S273)^(1/3)/(BX268*((1-BX$2)*$H268+BX$2*$H269) + BX270*((1-BX$2)*$H270+BX$2*$H271) + BX272*((1-BX$2)*$H272+BX$2*$H273))</f>
        <v>2658.5344352241696</v>
      </c>
      <c r="BY273" s="52">
        <f t="shared" ref="BY273" si="6597">($O273*$Q273*$S273)^(1/3)/(BY268*((1-BY$2)*$H268+BY$2*$H269) + BY270*((1-BY$2)*$H270+BY$2*$H271) + BY272*((1-BY$2)*$H272+BY$2*$H273))</f>
        <v>3071.8993630558166</v>
      </c>
      <c r="BZ273" s="52">
        <f t="shared" ref="BZ273" si="6598">($O273*$Q273*$S273)^(1/3)/(BZ268*((1-BZ$2)*$H268+BZ$2*$H269) + BZ270*((1-BZ$2)*$H270+BZ$2*$H271) + BZ272*((1-BZ$2)*$H272+BZ$2*$H273))</f>
        <v>3067.1004575872666</v>
      </c>
      <c r="CA273" s="52">
        <f t="shared" ref="CA273" si="6599">($O273*$Q273*$S273)^(1/3)/(CA268*((1-CA$2)*$H268+CA$2*$H269) + CA270*((1-CA$2)*$H270+CA$2*$H271) + CA272*((1-CA$2)*$H272+CA$2*$H273))</f>
        <v>3365.4642046934632</v>
      </c>
      <c r="CB273" s="52">
        <f t="shared" ref="CB273" si="6600">($O273*$Q273*$S273)^(1/3)/(CB268*((1-CB$2)*$H268+CB$2*$H269) + CB270*((1-CB$2)*$H270+CB$2*$H271) + CB272*((1-CB$2)*$H272+CB$2*$H273))</f>
        <v>2566.4414123046395</v>
      </c>
      <c r="CC273" s="52">
        <f t="shared" ref="CC273" si="6601">($O273*$Q273*$S273)^(1/3)/(CC268*((1-CC$2)*$H268+CC$2*$H269) + CC270*((1-CC$2)*$H270+CC$2*$H271) + CC272*((1-CC$2)*$H272+CC$2*$H273))</f>
        <v>2625.9983687728877</v>
      </c>
      <c r="CD273" s="52">
        <f t="shared" ref="CD273" si="6602">($O273*$Q273*$S273)^(1/3)/(CD268*((1-CD$2)*$H268+CD$2*$H269) + CD270*((1-CD$2)*$H270+CD$2*$H271) + CD272*((1-CD$2)*$H272+CD$2*$H273))</f>
        <v>2698.9176993787187</v>
      </c>
      <c r="CE273" s="52">
        <f t="shared" ref="CE273" si="6603">($O273*$Q273*$S273)^(1/3)/(CE268*((1-CE$2)*$H268+CE$2*$H269) + CE270*((1-CE$2)*$H270+CE$2*$H271) + CE272*((1-CE$2)*$H272+CE$2*$H273))</f>
        <v>3131.5538406779633</v>
      </c>
      <c r="CF273" s="52">
        <f t="shared" ref="CF273" si="6604">($O273*$Q273*$S273)^(1/3)/(CF268*((1-CF$2)*$H268+CF$2*$H269) + CF270*((1-CF$2)*$H270+CF$2*$H271) + CF272*((1-CF$2)*$H272+CF$2*$H273))</f>
        <v>2901.7553656710747</v>
      </c>
      <c r="CG273" s="52">
        <f t="shared" ref="CG273" si="6605">($O273*$Q273*$S273)^(1/3)/(CG268*((1-CG$2)*$H268+CG$2*$H269) + CG270*((1-CG$2)*$H270+CG$2*$H271) + CG272*((1-CG$2)*$H272+CG$2*$H273))</f>
        <v>3313.9128709816</v>
      </c>
      <c r="CH273" s="52">
        <f t="shared" ref="CH273" si="6606">($O273*$Q273*$S273)^(1/3)/(CH268*((1-CH$2)*$H268+CH$2*$H269) + CH270*((1-CH$2)*$H270+CH$2*$H271) + CH272*((1-CH$2)*$H272+CH$2*$H273))</f>
        <v>3205.6946369712614</v>
      </c>
      <c r="CI273" s="52">
        <f t="shared" ref="CI273" si="6607">($O273*$Q273*$S273)^(1/3)/(CI268*((1-CI$2)*$H268+CI$2*$H269) + CI270*((1-CI$2)*$H270+CI$2*$H271) + CI272*((1-CI$2)*$H272+CI$2*$H273))</f>
        <v>3413.592420087019</v>
      </c>
      <c r="CJ273" s="52">
        <f t="shared" ref="CJ273" si="6608">($O273*$Q273*$S273)^(1/3)/(CJ268*((1-CJ$2)*$H268+CJ$2*$H269) + CJ270*((1-CJ$2)*$H270+CJ$2*$H271) + CJ272*((1-CJ$2)*$H272+CJ$2*$H273))</f>
        <v>3008.9313109778532</v>
      </c>
      <c r="CK273" s="52">
        <f t="shared" ref="CK273" si="6609">($O273*$Q273*$S273)^(1/3)/(CK268*((1-CK$2)*$H268+CK$2*$H269) + CK270*((1-CK$2)*$H270+CK$2*$H271) + CK272*((1-CK$2)*$H272+CK$2*$H273))</f>
        <v>3040.7367180284959</v>
      </c>
      <c r="CL273" s="52">
        <f t="shared" ref="CL273" si="6610">($O273*$Q273*$S273)^(1/3)/(CL268*((1-CL$2)*$H268+CL$2*$H269) + CL270*((1-CL$2)*$H270+CL$2*$H271) + CL272*((1-CL$2)*$H272+CL$2*$H273))</f>
        <v>3080.817041956846</v>
      </c>
      <c r="CM273" s="52">
        <f t="shared" ref="CM273" si="6611">($O273*$Q273*$S273)^(1/3)/(CM268*((1-CM$2)*$H268+CM$2*$H269) + CM270*((1-CM$2)*$H270+CM$2*$H271) + CM272*((1-CM$2)*$H272+CM$2*$H273))</f>
        <v>3496.4207834255803</v>
      </c>
      <c r="CN273" s="52">
        <f t="shared" ref="CN273" si="6612">($O273*$Q273*$S273)^(1/3)/(CN268*((1-CN$2)*$H268+CN$2*$H269) + CN270*((1-CN$2)*$H270+CN$2*$H271) + CN272*((1-CN$2)*$H272+CN$2*$H273))</f>
        <v>3193.9607620189508</v>
      </c>
      <c r="CO273" s="52">
        <f t="shared" ref="CO273" si="6613">($O273*$Q273*$S273)^(1/3)/(CO268*((1-CO$2)*$H268+CO$2*$H269) + CO270*((1-CO$2)*$H270+CO$2*$H271) + CO272*((1-CO$2)*$H272+CO$2*$H273))</f>
        <v>3597.3206548725193</v>
      </c>
      <c r="CP273" s="52">
        <f t="shared" ref="CP273" si="6614">($O273*$Q273*$S273)^(1/3)/(CP268*((1-CP$2)*$H268+CP$2*$H269) + CP270*((1-CP$2)*$H270+CP$2*$H271) + CP272*((1-CP$2)*$H272+CP$2*$H273))</f>
        <v>3357.4070033996827</v>
      </c>
      <c r="CQ273" s="52">
        <f t="shared" ref="CQ273" si="6615">($O273*$Q273*$S273)^(1/3)/(CQ268*((1-CQ$2)*$H268+CQ$2*$H269) + CQ270*((1-CQ$2)*$H270+CQ$2*$H271) + CQ272*((1-CQ$2)*$H272+CQ$2*$H273))</f>
        <v>3463.117132624332</v>
      </c>
      <c r="CS273" s="50">
        <f t="shared" ref="CS273" si="6616">100*$AF273/AF273</f>
        <v>100</v>
      </c>
      <c r="CT273" s="50">
        <f t="shared" ref="CT273" si="6617">100*$AF273/AG273</f>
        <v>94.409722222222214</v>
      </c>
      <c r="CU273" s="50">
        <f t="shared" ref="CU273" si="6618">100*$AF273/AH273</f>
        <v>88.090277777777786</v>
      </c>
      <c r="CV273" s="50">
        <f t="shared" ref="CV273" si="6619">100*$AF273/AI273</f>
        <v>70.798611111111128</v>
      </c>
      <c r="CW273" s="50">
        <f t="shared" ref="CW273" si="6620">100*$AF273/AJ273</f>
        <v>72.7777777777778</v>
      </c>
      <c r="CX273" s="50">
        <f t="shared" ref="CX273" si="6621">100*$AF273/AK273</f>
        <v>60.590277777777793</v>
      </c>
      <c r="CY273" s="50">
        <f t="shared" ref="CY273" si="6622">100*$AF273/AL273</f>
        <v>54.062500000000007</v>
      </c>
      <c r="CZ273" s="50">
        <f t="shared" ref="CZ273" si="6623">100*$AF273/AM273</f>
        <v>43.368055555555557</v>
      </c>
      <c r="DA273" s="50">
        <f t="shared" ref="DA273" si="6624">100*$AF273/AN273</f>
        <v>92.187500000000014</v>
      </c>
      <c r="DB273" s="50">
        <f t="shared" ref="DB273" si="6625">100*$AF273/AO273</f>
        <v>87.328125000000028</v>
      </c>
      <c r="DC273" s="50">
        <f t="shared" ref="DC273" si="6626">100*$AF273/AP273</f>
        <v>81.828125000000028</v>
      </c>
      <c r="DD273" s="50">
        <f t="shared" ref="DD273" si="6627">100*$AF273/AQ273</f>
        <v>66.255208333333343</v>
      </c>
      <c r="DE273" s="50">
        <f t="shared" ref="DE273" si="6628">100*$AF273/AR273</f>
        <v>68.479166666666671</v>
      </c>
      <c r="DF273" s="50">
        <f t="shared" ref="DF273" si="6629">100*$AF273/AS273</f>
        <v>57.348958333333343</v>
      </c>
      <c r="DG273" s="50">
        <f t="shared" ref="DG273" si="6630">100*$AF273/AT273</f>
        <v>52.140625000000007</v>
      </c>
      <c r="DH273" s="50">
        <f t="shared" ref="DH273" si="6631">100*$AF273/AU273</f>
        <v>42.796875</v>
      </c>
      <c r="DI273" s="50">
        <f t="shared" ref="DI273" si="6632">100*$AF273/AV273</f>
        <v>84.375</v>
      </c>
      <c r="DJ273" s="50">
        <f t="shared" ref="DJ273" si="6633">100*$AF273/AW273</f>
        <v>80.246527777777786</v>
      </c>
      <c r="DK273" s="50">
        <f t="shared" ref="DK273" si="6634">100*$AF273/AX273</f>
        <v>75.565972222222229</v>
      </c>
      <c r="DL273" s="50">
        <f t="shared" ref="DL273" si="6635">100*$AF273/AY273</f>
        <v>61.711805555555564</v>
      </c>
      <c r="DM273" s="50">
        <f t="shared" ref="DM273" si="6636">100*$AF273/AZ273</f>
        <v>64.180555555555557</v>
      </c>
      <c r="DN273" s="50">
        <f t="shared" ref="DN273" si="6637">100*$AF273/BA273</f>
        <v>54.107638888888893</v>
      </c>
      <c r="DO273" s="50">
        <f t="shared" ref="DO273" si="6638">100*$AF273/BB273</f>
        <v>50.218750000000014</v>
      </c>
      <c r="DP273" s="50">
        <f t="shared" ref="DP273" si="6639">100*$AF273/BC273</f>
        <v>42.22569444444445</v>
      </c>
      <c r="DQ273" s="50">
        <f t="shared" ref="DQ273" si="6640">100*$AF273/BD273</f>
        <v>76.562500000000014</v>
      </c>
      <c r="DR273" s="50">
        <f t="shared" ref="DR273" si="6641">100*$AF273/BE273</f>
        <v>73.164930555555557</v>
      </c>
      <c r="DS273" s="50">
        <f t="shared" ref="DS273" si="6642">100*$AF273/BF273</f>
        <v>69.303819444444471</v>
      </c>
      <c r="DT273" s="50">
        <f t="shared" ref="DT273" si="6643">100*$AF273/BG273</f>
        <v>57.1684027777778</v>
      </c>
      <c r="DU273" s="50">
        <f t="shared" ref="DU273" si="6644">100*$AF273/BH273</f>
        <v>59.88194444444445</v>
      </c>
      <c r="DV273" s="50">
        <f t="shared" ref="DV273" si="6645">100*$AF273/BI273</f>
        <v>50.866319444444457</v>
      </c>
      <c r="DW273" s="50">
        <f t="shared" ref="DW273" si="6646">100*$AF273/BJ273</f>
        <v>48.296875000000007</v>
      </c>
      <c r="DX273" s="50">
        <f t="shared" ref="DX273" si="6647">100*$AF273/BK273</f>
        <v>41.654513888888886</v>
      </c>
      <c r="DY273" s="50">
        <f t="shared" ref="DY273" si="6648">100*$AF273/BL273</f>
        <v>68.75</v>
      </c>
      <c r="DZ273" s="50">
        <f t="shared" ref="DZ273" si="6649">100*$AF273/BM273</f>
        <v>66.083333333333343</v>
      </c>
      <c r="EA273" s="50">
        <f t="shared" ref="EA273" si="6650">100*$AF273/BN273</f>
        <v>63.041666666666664</v>
      </c>
      <c r="EB273" s="50">
        <f t="shared" ref="EB273" si="6651">100*$AF273/BO273</f>
        <v>52.625000000000014</v>
      </c>
      <c r="EC273" s="50">
        <f t="shared" ref="EC273" si="6652">100*$AF273/BP273</f>
        <v>55.583333333333336</v>
      </c>
      <c r="ED273" s="50">
        <f t="shared" ref="ED273" si="6653">100*$AF273/BQ273</f>
        <v>47.625000000000007</v>
      </c>
      <c r="EE273" s="50">
        <f t="shared" ref="EE273" si="6654">100*$AF273/BR273</f>
        <v>46.375000000000007</v>
      </c>
      <c r="EF273" s="50">
        <f t="shared" ref="EF273" si="6655">100*$AF273/BS273</f>
        <v>41.083333333333336</v>
      </c>
      <c r="EG273" s="50">
        <f t="shared" ref="EG273" si="6656">100*$AF273/BT273</f>
        <v>60.937500000000007</v>
      </c>
      <c r="EH273" s="50">
        <f t="shared" ref="EH273" si="6657">100*$AF273/BU273</f>
        <v>59.001736111111114</v>
      </c>
      <c r="EI273" s="50">
        <f t="shared" ref="EI273" si="6658">100*$AF273/BV273</f>
        <v>56.7795138888889</v>
      </c>
      <c r="EJ273" s="50">
        <f t="shared" ref="EJ273" si="6659">100*$AF273/BW273</f>
        <v>48.081597222222236</v>
      </c>
      <c r="EK273" s="50">
        <f t="shared" ref="EK273" si="6660">100*$AF273/BX273</f>
        <v>51.284722222222229</v>
      </c>
      <c r="EL273" s="50">
        <f t="shared" ref="EL273" si="6661">100*$AF273/BY273</f>
        <v>44.383680555555571</v>
      </c>
      <c r="EM273" s="50">
        <f t="shared" ref="EM273" si="6662">100*$AF273/BZ273</f>
        <v>44.453125000000007</v>
      </c>
      <c r="EN273" s="50">
        <f t="shared" ref="EN273" si="6663">100*$AF273/CA273</f>
        <v>40.512152777777786</v>
      </c>
      <c r="EO273" s="50">
        <f t="shared" ref="EO273" si="6664">100*$AF273/CB273</f>
        <v>53.125000000000007</v>
      </c>
      <c r="EP273" s="50">
        <f t="shared" ref="EP273" si="6665">100*$AF273/CC273</f>
        <v>51.920138888888886</v>
      </c>
      <c r="EQ273" s="50">
        <f t="shared" ref="EQ273" si="6666">100*$AF273/CD273</f>
        <v>50.517361111111128</v>
      </c>
      <c r="ER273" s="50">
        <f t="shared" ref="ER273" si="6667">100*$AF273/CE273</f>
        <v>43.53819444444445</v>
      </c>
      <c r="ES273" s="50">
        <f t="shared" ref="ES273" si="6668">100*$AF273/CF273</f>
        <v>46.986111111111121</v>
      </c>
      <c r="ET273" s="50">
        <f t="shared" ref="ET273" si="6669">100*$AF273/CG273</f>
        <v>41.142361111111121</v>
      </c>
      <c r="EU273" s="50">
        <f t="shared" ref="EU273" si="6670">100*$AF273/CH273</f>
        <v>42.531250000000007</v>
      </c>
      <c r="EV273" s="50">
        <f t="shared" ref="EV273" si="6671">100*$AF273/CI273</f>
        <v>39.940972222222229</v>
      </c>
      <c r="EW273" s="50">
        <f t="shared" ref="EW273" si="6672">100*$AF273/CJ273</f>
        <v>45.312500000000007</v>
      </c>
      <c r="EX273" s="50">
        <f t="shared" ref="EX273" si="6673">100*$AF273/CK273</f>
        <v>44.838541666666671</v>
      </c>
      <c r="EY273" s="50">
        <f t="shared" ref="EY273" si="6674">100*$AF273/CL273</f>
        <v>44.255208333333343</v>
      </c>
      <c r="EZ273" s="50">
        <f t="shared" ref="EZ273" si="6675">100*$AF273/CM273</f>
        <v>38.994791666666679</v>
      </c>
      <c r="FA273" s="50">
        <f t="shared" ref="FA273" si="6676">100*$AF273/CN273</f>
        <v>42.687500000000007</v>
      </c>
      <c r="FB273" s="50">
        <f t="shared" ref="FB273" si="6677">100*$AF273/CO273</f>
        <v>37.901041666666671</v>
      </c>
      <c r="FC273" s="50">
        <f t="shared" ref="FC273" si="6678">100*$AF273/CP273</f>
        <v>40.609375</v>
      </c>
      <c r="FD273" s="50">
        <f t="shared" ref="FD273" si="6679">100*$AF273/CQ273</f>
        <v>39.369791666666664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D65E-5700-4226-A267-F745222FEEFC}">
  <dimension ref="C2:L57"/>
  <sheetViews>
    <sheetView tabSelected="1" zoomScale="85" zoomScaleNormal="85" workbookViewId="0">
      <selection activeCell="H11" sqref="H11"/>
    </sheetView>
  </sheetViews>
  <sheetFormatPr defaultRowHeight="17.399999999999999" x14ac:dyDescent="0.4"/>
  <sheetData>
    <row r="2" spans="3:12" x14ac:dyDescent="0.4">
      <c r="C2" t="s">
        <v>108</v>
      </c>
      <c r="F2" t="s">
        <v>112</v>
      </c>
    </row>
    <row r="3" spans="3:12" x14ac:dyDescent="0.4">
      <c r="C3" t="s">
        <v>0</v>
      </c>
      <c r="D3" t="s">
        <v>109</v>
      </c>
      <c r="E3" t="s">
        <v>110</v>
      </c>
      <c r="F3" t="s">
        <v>109</v>
      </c>
      <c r="G3" t="s">
        <v>110</v>
      </c>
    </row>
    <row r="4" spans="3:12" x14ac:dyDescent="0.4">
      <c r="C4" t="s">
        <v>78</v>
      </c>
      <c r="D4">
        <v>18</v>
      </c>
      <c r="E4">
        <v>8</v>
      </c>
      <c r="F4">
        <v>8</v>
      </c>
      <c r="G4">
        <v>0</v>
      </c>
    </row>
    <row r="5" spans="3:12" x14ac:dyDescent="0.4">
      <c r="C5" t="s">
        <v>79</v>
      </c>
      <c r="D5">
        <v>23</v>
      </c>
      <c r="E5">
        <v>8</v>
      </c>
      <c r="F5">
        <v>8</v>
      </c>
      <c r="G5">
        <v>0</v>
      </c>
    </row>
    <row r="6" spans="3:12" x14ac:dyDescent="0.4">
      <c r="C6" t="s">
        <v>80</v>
      </c>
      <c r="D6">
        <v>20</v>
      </c>
      <c r="E6">
        <v>7</v>
      </c>
      <c r="F6">
        <v>8</v>
      </c>
      <c r="G6">
        <v>0</v>
      </c>
    </row>
    <row r="7" spans="3:12" x14ac:dyDescent="0.4">
      <c r="C7" t="s">
        <v>81</v>
      </c>
      <c r="D7">
        <v>19</v>
      </c>
      <c r="E7">
        <v>6</v>
      </c>
      <c r="F7">
        <v>8</v>
      </c>
      <c r="G7">
        <v>0</v>
      </c>
    </row>
    <row r="8" spans="3:12" x14ac:dyDescent="0.4">
      <c r="C8" t="s">
        <v>82</v>
      </c>
      <c r="D8">
        <v>12</v>
      </c>
      <c r="E8">
        <v>5</v>
      </c>
      <c r="F8">
        <v>8</v>
      </c>
      <c r="G8">
        <v>0</v>
      </c>
    </row>
    <row r="11" spans="3:12" x14ac:dyDescent="0.4">
      <c r="C11" t="s">
        <v>111</v>
      </c>
      <c r="I11" t="s">
        <v>111</v>
      </c>
    </row>
    <row r="12" spans="3:12" x14ac:dyDescent="0.4">
      <c r="C12" t="s">
        <v>0</v>
      </c>
      <c r="D12" t="s">
        <v>109</v>
      </c>
      <c r="E12" t="s">
        <v>110</v>
      </c>
      <c r="F12" t="s">
        <v>113</v>
      </c>
      <c r="G12" t="s">
        <v>114</v>
      </c>
      <c r="H12" t="s">
        <v>123</v>
      </c>
      <c r="I12" t="s">
        <v>0</v>
      </c>
      <c r="J12" t="s">
        <v>109</v>
      </c>
      <c r="K12" t="s">
        <v>110</v>
      </c>
      <c r="L12" t="s">
        <v>113</v>
      </c>
    </row>
    <row r="13" spans="3:12" x14ac:dyDescent="0.4">
      <c r="C13" s="77" t="s">
        <v>46</v>
      </c>
      <c r="D13" s="77">
        <v>82</v>
      </c>
      <c r="E13" s="77">
        <v>72</v>
      </c>
      <c r="F13">
        <v>72</v>
      </c>
      <c r="G13">
        <f>64*(D13+0.5*E13)+240*F13</f>
        <v>24832</v>
      </c>
      <c r="H13">
        <f>D13+0.5*E13</f>
        <v>118</v>
      </c>
      <c r="I13" t="s">
        <v>118</v>
      </c>
      <c r="J13">
        <v>100</v>
      </c>
      <c r="K13">
        <v>74</v>
      </c>
      <c r="L13">
        <v>72</v>
      </c>
    </row>
    <row r="14" spans="3:12" x14ac:dyDescent="0.4">
      <c r="C14" t="s">
        <v>47</v>
      </c>
      <c r="D14">
        <v>92</v>
      </c>
      <c r="E14">
        <v>73</v>
      </c>
      <c r="F14">
        <v>72</v>
      </c>
      <c r="G14">
        <f t="shared" ref="G14:G57" si="0">64*(D14+0.5*E14)+240*F14</f>
        <v>25504</v>
      </c>
      <c r="H14">
        <f t="shared" ref="H14:H57" si="1">D14+0.5*E14</f>
        <v>128.5</v>
      </c>
      <c r="I14" t="s">
        <v>106</v>
      </c>
      <c r="J14">
        <v>93</v>
      </c>
      <c r="K14">
        <v>73</v>
      </c>
      <c r="L14">
        <v>72</v>
      </c>
    </row>
    <row r="15" spans="3:12" x14ac:dyDescent="0.4">
      <c r="C15" t="s">
        <v>48</v>
      </c>
      <c r="D15">
        <v>92</v>
      </c>
      <c r="E15">
        <v>75</v>
      </c>
      <c r="F15">
        <v>72</v>
      </c>
      <c r="G15">
        <f t="shared" si="0"/>
        <v>25568</v>
      </c>
      <c r="H15">
        <f t="shared" si="1"/>
        <v>129.5</v>
      </c>
      <c r="I15" t="s">
        <v>115</v>
      </c>
      <c r="J15">
        <v>74</v>
      </c>
      <c r="K15">
        <v>68</v>
      </c>
      <c r="L15">
        <v>64</v>
      </c>
    </row>
    <row r="16" spans="3:12" x14ac:dyDescent="0.4">
      <c r="C16" t="s">
        <v>49</v>
      </c>
      <c r="D16">
        <v>92</v>
      </c>
      <c r="E16">
        <v>73</v>
      </c>
      <c r="F16">
        <v>72</v>
      </c>
      <c r="G16">
        <f t="shared" si="0"/>
        <v>25504</v>
      </c>
      <c r="H16">
        <f t="shared" si="1"/>
        <v>128.5</v>
      </c>
      <c r="I16" t="s">
        <v>116</v>
      </c>
      <c r="J16">
        <v>51</v>
      </c>
      <c r="K16">
        <v>63</v>
      </c>
      <c r="L16">
        <v>56</v>
      </c>
    </row>
    <row r="17" spans="3:12" x14ac:dyDescent="0.4">
      <c r="C17" t="s">
        <v>50</v>
      </c>
      <c r="D17">
        <v>97</v>
      </c>
      <c r="E17">
        <v>73</v>
      </c>
      <c r="F17">
        <v>72</v>
      </c>
      <c r="G17">
        <f t="shared" si="0"/>
        <v>25824</v>
      </c>
      <c r="H17">
        <f t="shared" si="1"/>
        <v>133.5</v>
      </c>
      <c r="I17" t="s">
        <v>117</v>
      </c>
      <c r="J17">
        <v>44</v>
      </c>
      <c r="K17">
        <v>58</v>
      </c>
      <c r="L17">
        <v>48</v>
      </c>
    </row>
    <row r="18" spans="3:12" x14ac:dyDescent="0.4">
      <c r="C18" t="s">
        <v>51</v>
      </c>
      <c r="D18">
        <v>93</v>
      </c>
      <c r="E18">
        <v>75</v>
      </c>
      <c r="F18">
        <v>72</v>
      </c>
      <c r="G18">
        <f t="shared" si="0"/>
        <v>25632</v>
      </c>
      <c r="H18">
        <f t="shared" si="1"/>
        <v>130.5</v>
      </c>
    </row>
    <row r="19" spans="3:12" x14ac:dyDescent="0.4">
      <c r="C19" t="s">
        <v>52</v>
      </c>
      <c r="D19">
        <v>92</v>
      </c>
      <c r="E19">
        <v>74</v>
      </c>
      <c r="F19">
        <v>72</v>
      </c>
      <c r="G19">
        <f t="shared" si="0"/>
        <v>25536</v>
      </c>
      <c r="H19">
        <f t="shared" si="1"/>
        <v>129</v>
      </c>
    </row>
    <row r="20" spans="3:12" x14ac:dyDescent="0.4">
      <c r="C20" t="s">
        <v>53</v>
      </c>
      <c r="D20">
        <v>93</v>
      </c>
      <c r="E20">
        <v>74</v>
      </c>
      <c r="F20">
        <v>72</v>
      </c>
      <c r="G20">
        <f t="shared" si="0"/>
        <v>25600</v>
      </c>
      <c r="H20">
        <f t="shared" si="1"/>
        <v>130</v>
      </c>
    </row>
    <row r="21" spans="3:12" x14ac:dyDescent="0.4">
      <c r="C21" t="s">
        <v>54</v>
      </c>
      <c r="D21">
        <v>92</v>
      </c>
      <c r="E21">
        <v>76</v>
      </c>
      <c r="F21">
        <v>72</v>
      </c>
      <c r="G21">
        <f t="shared" si="0"/>
        <v>25600</v>
      </c>
      <c r="H21">
        <f t="shared" si="1"/>
        <v>130</v>
      </c>
    </row>
    <row r="22" spans="3:12" x14ac:dyDescent="0.4">
      <c r="C22" s="77" t="s">
        <v>37</v>
      </c>
      <c r="D22" s="77">
        <v>89</v>
      </c>
      <c r="E22" s="77">
        <v>71</v>
      </c>
      <c r="F22">
        <v>72</v>
      </c>
      <c r="G22">
        <f t="shared" si="0"/>
        <v>25248</v>
      </c>
      <c r="H22">
        <f t="shared" si="1"/>
        <v>124.5</v>
      </c>
    </row>
    <row r="23" spans="3:12" x14ac:dyDescent="0.4">
      <c r="C23" t="s">
        <v>38</v>
      </c>
      <c r="D23">
        <v>85</v>
      </c>
      <c r="E23">
        <v>72</v>
      </c>
      <c r="F23">
        <v>72</v>
      </c>
      <c r="G23">
        <f t="shared" si="0"/>
        <v>25024</v>
      </c>
      <c r="H23">
        <f t="shared" si="1"/>
        <v>121</v>
      </c>
    </row>
    <row r="24" spans="3:12" x14ac:dyDescent="0.4">
      <c r="C24" t="s">
        <v>39</v>
      </c>
      <c r="D24">
        <v>86</v>
      </c>
      <c r="E24">
        <v>74</v>
      </c>
      <c r="F24">
        <v>72</v>
      </c>
      <c r="G24">
        <f t="shared" si="0"/>
        <v>25152</v>
      </c>
      <c r="H24">
        <f t="shared" si="1"/>
        <v>123</v>
      </c>
    </row>
    <row r="25" spans="3:12" x14ac:dyDescent="0.4">
      <c r="C25" t="s">
        <v>40</v>
      </c>
      <c r="D25">
        <v>85</v>
      </c>
      <c r="E25">
        <v>72</v>
      </c>
      <c r="F25">
        <v>72</v>
      </c>
      <c r="G25">
        <f t="shared" si="0"/>
        <v>25024</v>
      </c>
      <c r="H25">
        <f t="shared" si="1"/>
        <v>121</v>
      </c>
    </row>
    <row r="26" spans="3:12" x14ac:dyDescent="0.4">
      <c r="C26" t="s">
        <v>41</v>
      </c>
      <c r="D26">
        <v>86</v>
      </c>
      <c r="E26">
        <v>72</v>
      </c>
      <c r="F26">
        <v>72</v>
      </c>
      <c r="G26">
        <f t="shared" si="0"/>
        <v>25088</v>
      </c>
      <c r="H26">
        <f t="shared" si="1"/>
        <v>122</v>
      </c>
    </row>
    <row r="27" spans="3:12" x14ac:dyDescent="0.4">
      <c r="C27" t="s">
        <v>42</v>
      </c>
      <c r="D27">
        <v>85</v>
      </c>
      <c r="E27">
        <v>74</v>
      </c>
      <c r="F27">
        <v>72</v>
      </c>
      <c r="G27">
        <f t="shared" si="0"/>
        <v>25088</v>
      </c>
      <c r="H27">
        <f t="shared" si="1"/>
        <v>122</v>
      </c>
    </row>
    <row r="28" spans="3:12" x14ac:dyDescent="0.4">
      <c r="C28" t="s">
        <v>43</v>
      </c>
      <c r="D28">
        <v>86</v>
      </c>
      <c r="E28">
        <v>73</v>
      </c>
      <c r="F28">
        <v>72</v>
      </c>
      <c r="G28">
        <f t="shared" si="0"/>
        <v>25120</v>
      </c>
      <c r="H28">
        <f t="shared" si="1"/>
        <v>122.5</v>
      </c>
    </row>
    <row r="29" spans="3:12" x14ac:dyDescent="0.4">
      <c r="C29" t="s">
        <v>44</v>
      </c>
      <c r="D29">
        <v>85</v>
      </c>
      <c r="E29">
        <v>73</v>
      </c>
      <c r="F29">
        <v>72</v>
      </c>
      <c r="G29">
        <f t="shared" si="0"/>
        <v>25056</v>
      </c>
      <c r="H29">
        <f t="shared" si="1"/>
        <v>121.5</v>
      </c>
    </row>
    <row r="30" spans="3:12" x14ac:dyDescent="0.4">
      <c r="C30" t="s">
        <v>45</v>
      </c>
      <c r="D30">
        <v>86</v>
      </c>
      <c r="E30">
        <v>75</v>
      </c>
      <c r="F30">
        <v>72</v>
      </c>
      <c r="G30">
        <f t="shared" si="0"/>
        <v>25184</v>
      </c>
      <c r="H30">
        <f t="shared" si="1"/>
        <v>123.5</v>
      </c>
    </row>
    <row r="31" spans="3:12" x14ac:dyDescent="0.4">
      <c r="C31" s="77" t="s">
        <v>28</v>
      </c>
      <c r="D31" s="77">
        <v>71</v>
      </c>
      <c r="E31" s="77">
        <v>66</v>
      </c>
      <c r="F31">
        <v>64</v>
      </c>
      <c r="G31">
        <f t="shared" si="0"/>
        <v>22016</v>
      </c>
      <c r="H31">
        <f t="shared" si="1"/>
        <v>104</v>
      </c>
    </row>
    <row r="32" spans="3:12" x14ac:dyDescent="0.4">
      <c r="C32" t="s">
        <v>29</v>
      </c>
      <c r="D32">
        <v>74</v>
      </c>
      <c r="E32">
        <v>67</v>
      </c>
      <c r="F32">
        <v>64</v>
      </c>
      <c r="G32">
        <f t="shared" si="0"/>
        <v>22240</v>
      </c>
      <c r="H32">
        <f t="shared" si="1"/>
        <v>107.5</v>
      </c>
    </row>
    <row r="33" spans="3:8" x14ac:dyDescent="0.4">
      <c r="C33" t="s">
        <v>30</v>
      </c>
      <c r="D33">
        <v>74</v>
      </c>
      <c r="E33">
        <v>69</v>
      </c>
      <c r="F33">
        <v>64</v>
      </c>
      <c r="G33">
        <f t="shared" si="0"/>
        <v>22304</v>
      </c>
      <c r="H33">
        <f t="shared" si="1"/>
        <v>108.5</v>
      </c>
    </row>
    <row r="34" spans="3:8" x14ac:dyDescent="0.4">
      <c r="C34" t="s">
        <v>31</v>
      </c>
      <c r="D34">
        <v>73</v>
      </c>
      <c r="E34">
        <v>67</v>
      </c>
      <c r="F34">
        <v>64</v>
      </c>
      <c r="G34">
        <f t="shared" si="0"/>
        <v>22176</v>
      </c>
      <c r="H34">
        <f t="shared" si="1"/>
        <v>106.5</v>
      </c>
    </row>
    <row r="35" spans="3:8" x14ac:dyDescent="0.4">
      <c r="C35" t="s">
        <v>32</v>
      </c>
      <c r="D35">
        <v>75</v>
      </c>
      <c r="E35">
        <v>67</v>
      </c>
      <c r="F35">
        <v>64</v>
      </c>
      <c r="G35">
        <f t="shared" si="0"/>
        <v>22304</v>
      </c>
      <c r="H35">
        <f t="shared" si="1"/>
        <v>108.5</v>
      </c>
    </row>
    <row r="36" spans="3:8" x14ac:dyDescent="0.4">
      <c r="C36" t="s">
        <v>33</v>
      </c>
      <c r="D36">
        <v>74</v>
      </c>
      <c r="E36">
        <v>69</v>
      </c>
      <c r="F36">
        <v>64</v>
      </c>
      <c r="G36">
        <f t="shared" si="0"/>
        <v>22304</v>
      </c>
      <c r="H36">
        <f t="shared" si="1"/>
        <v>108.5</v>
      </c>
    </row>
    <row r="37" spans="3:8" x14ac:dyDescent="0.4">
      <c r="C37" t="s">
        <v>34</v>
      </c>
      <c r="D37">
        <v>74</v>
      </c>
      <c r="E37">
        <v>68</v>
      </c>
      <c r="F37">
        <v>64</v>
      </c>
      <c r="G37">
        <f t="shared" si="0"/>
        <v>22272</v>
      </c>
      <c r="H37">
        <f t="shared" si="1"/>
        <v>108</v>
      </c>
    </row>
    <row r="38" spans="3:8" x14ac:dyDescent="0.4">
      <c r="C38" t="s">
        <v>35</v>
      </c>
      <c r="D38">
        <v>74</v>
      </c>
      <c r="E38">
        <v>68</v>
      </c>
      <c r="F38">
        <v>64</v>
      </c>
      <c r="G38">
        <f t="shared" si="0"/>
        <v>22272</v>
      </c>
      <c r="H38">
        <f t="shared" si="1"/>
        <v>108</v>
      </c>
    </row>
    <row r="39" spans="3:8" x14ac:dyDescent="0.4">
      <c r="C39" t="s">
        <v>36</v>
      </c>
      <c r="D39">
        <v>74</v>
      </c>
      <c r="E39">
        <v>70</v>
      </c>
      <c r="F39">
        <v>64</v>
      </c>
      <c r="G39">
        <f t="shared" si="0"/>
        <v>22336</v>
      </c>
      <c r="H39">
        <f t="shared" si="1"/>
        <v>109</v>
      </c>
    </row>
    <row r="40" spans="3:8" x14ac:dyDescent="0.4">
      <c r="C40" s="77" t="s">
        <v>19</v>
      </c>
      <c r="D40" s="77">
        <v>70</v>
      </c>
      <c r="E40" s="77">
        <v>61</v>
      </c>
      <c r="F40">
        <v>56</v>
      </c>
      <c r="G40">
        <f t="shared" si="0"/>
        <v>19872</v>
      </c>
      <c r="H40">
        <f t="shared" si="1"/>
        <v>100.5</v>
      </c>
    </row>
    <row r="41" spans="3:8" x14ac:dyDescent="0.4">
      <c r="C41" t="s">
        <v>20</v>
      </c>
      <c r="D41">
        <v>67</v>
      </c>
      <c r="E41">
        <v>62</v>
      </c>
      <c r="F41">
        <v>56</v>
      </c>
      <c r="G41">
        <f t="shared" si="0"/>
        <v>19712</v>
      </c>
      <c r="H41">
        <f t="shared" si="1"/>
        <v>98</v>
      </c>
    </row>
    <row r="42" spans="3:8" x14ac:dyDescent="0.4">
      <c r="C42" t="s">
        <v>21</v>
      </c>
      <c r="D42">
        <v>67</v>
      </c>
      <c r="E42">
        <v>64</v>
      </c>
      <c r="F42">
        <v>56</v>
      </c>
      <c r="G42">
        <f t="shared" si="0"/>
        <v>19776</v>
      </c>
      <c r="H42">
        <f t="shared" si="1"/>
        <v>99</v>
      </c>
    </row>
    <row r="43" spans="3:8" x14ac:dyDescent="0.4">
      <c r="C43" t="s">
        <v>22</v>
      </c>
      <c r="D43">
        <v>66</v>
      </c>
      <c r="E43">
        <v>62</v>
      </c>
      <c r="F43">
        <v>56</v>
      </c>
      <c r="G43">
        <f t="shared" si="0"/>
        <v>19648</v>
      </c>
      <c r="H43">
        <f t="shared" si="1"/>
        <v>97</v>
      </c>
    </row>
    <row r="44" spans="3:8" x14ac:dyDescent="0.4">
      <c r="C44" t="s">
        <v>23</v>
      </c>
      <c r="D44">
        <v>67</v>
      </c>
      <c r="E44">
        <v>62</v>
      </c>
      <c r="F44">
        <v>56</v>
      </c>
      <c r="G44">
        <f t="shared" si="0"/>
        <v>19712</v>
      </c>
      <c r="H44">
        <f t="shared" si="1"/>
        <v>98</v>
      </c>
    </row>
    <row r="45" spans="3:8" x14ac:dyDescent="0.4">
      <c r="C45" t="s">
        <v>24</v>
      </c>
      <c r="D45">
        <v>66</v>
      </c>
      <c r="E45">
        <v>64</v>
      </c>
      <c r="F45">
        <v>56</v>
      </c>
      <c r="G45">
        <f t="shared" si="0"/>
        <v>19712</v>
      </c>
      <c r="H45">
        <f t="shared" si="1"/>
        <v>98</v>
      </c>
    </row>
    <row r="46" spans="3:8" x14ac:dyDescent="0.4">
      <c r="C46" t="s">
        <v>25</v>
      </c>
      <c r="D46">
        <v>67</v>
      </c>
      <c r="E46">
        <v>63</v>
      </c>
      <c r="F46">
        <v>56</v>
      </c>
      <c r="G46">
        <f t="shared" si="0"/>
        <v>19744</v>
      </c>
      <c r="H46">
        <f t="shared" si="1"/>
        <v>98.5</v>
      </c>
    </row>
    <row r="47" spans="3:8" x14ac:dyDescent="0.4">
      <c r="C47" t="s">
        <v>26</v>
      </c>
      <c r="D47">
        <v>67</v>
      </c>
      <c r="E47">
        <v>63</v>
      </c>
      <c r="F47">
        <v>56</v>
      </c>
      <c r="G47">
        <f t="shared" si="0"/>
        <v>19744</v>
      </c>
      <c r="H47">
        <f t="shared" si="1"/>
        <v>98.5</v>
      </c>
    </row>
    <row r="48" spans="3:8" x14ac:dyDescent="0.4">
      <c r="C48" t="s">
        <v>27</v>
      </c>
      <c r="D48">
        <v>67</v>
      </c>
      <c r="E48">
        <v>65</v>
      </c>
      <c r="F48">
        <v>56</v>
      </c>
      <c r="G48">
        <f t="shared" si="0"/>
        <v>19808</v>
      </c>
      <c r="H48">
        <f t="shared" si="1"/>
        <v>99.5</v>
      </c>
    </row>
    <row r="49" spans="3:8" x14ac:dyDescent="0.4">
      <c r="C49" s="77" t="s">
        <v>4</v>
      </c>
      <c r="D49" s="77">
        <v>56</v>
      </c>
      <c r="E49" s="77">
        <v>55</v>
      </c>
      <c r="F49">
        <v>48</v>
      </c>
      <c r="G49">
        <f t="shared" si="0"/>
        <v>16864</v>
      </c>
      <c r="H49">
        <f t="shared" si="1"/>
        <v>83.5</v>
      </c>
    </row>
    <row r="50" spans="3:8" x14ac:dyDescent="0.4">
      <c r="C50" t="s">
        <v>11</v>
      </c>
      <c r="D50">
        <v>58</v>
      </c>
      <c r="E50">
        <v>56</v>
      </c>
      <c r="F50">
        <v>48</v>
      </c>
      <c r="G50">
        <f t="shared" si="0"/>
        <v>17024</v>
      </c>
      <c r="H50">
        <f t="shared" si="1"/>
        <v>86</v>
      </c>
    </row>
    <row r="51" spans="3:8" x14ac:dyDescent="0.4">
      <c r="C51" t="s">
        <v>12</v>
      </c>
      <c r="D51">
        <v>59</v>
      </c>
      <c r="E51">
        <v>58</v>
      </c>
      <c r="F51">
        <v>48</v>
      </c>
      <c r="G51">
        <f t="shared" si="0"/>
        <v>17152</v>
      </c>
      <c r="H51">
        <f t="shared" si="1"/>
        <v>88</v>
      </c>
    </row>
    <row r="52" spans="3:8" x14ac:dyDescent="0.4">
      <c r="C52" t="s">
        <v>13</v>
      </c>
      <c r="D52">
        <v>58</v>
      </c>
      <c r="E52">
        <v>56</v>
      </c>
      <c r="F52">
        <v>48</v>
      </c>
      <c r="G52">
        <f t="shared" si="0"/>
        <v>17024</v>
      </c>
      <c r="H52">
        <f t="shared" si="1"/>
        <v>86</v>
      </c>
    </row>
    <row r="53" spans="3:8" x14ac:dyDescent="0.4">
      <c r="C53" t="s">
        <v>14</v>
      </c>
      <c r="D53">
        <v>58</v>
      </c>
      <c r="E53">
        <v>55</v>
      </c>
      <c r="F53">
        <v>48</v>
      </c>
      <c r="G53">
        <f t="shared" si="0"/>
        <v>16992</v>
      </c>
      <c r="H53">
        <f t="shared" si="1"/>
        <v>85.5</v>
      </c>
    </row>
    <row r="54" spans="3:8" x14ac:dyDescent="0.4">
      <c r="C54" t="s">
        <v>15</v>
      </c>
      <c r="D54">
        <v>58</v>
      </c>
      <c r="E54">
        <v>58</v>
      </c>
      <c r="F54">
        <v>48</v>
      </c>
      <c r="G54">
        <f t="shared" si="0"/>
        <v>17088</v>
      </c>
      <c r="H54">
        <f t="shared" si="1"/>
        <v>87</v>
      </c>
    </row>
    <row r="55" spans="3:8" x14ac:dyDescent="0.4">
      <c r="C55" t="s">
        <v>16</v>
      </c>
      <c r="D55">
        <v>59</v>
      </c>
      <c r="E55">
        <v>57</v>
      </c>
      <c r="F55">
        <v>48</v>
      </c>
      <c r="G55">
        <f t="shared" si="0"/>
        <v>17120</v>
      </c>
      <c r="H55">
        <f t="shared" si="1"/>
        <v>87.5</v>
      </c>
    </row>
    <row r="56" spans="3:8" x14ac:dyDescent="0.4">
      <c r="C56" t="s">
        <v>17</v>
      </c>
      <c r="D56">
        <v>58</v>
      </c>
      <c r="E56">
        <v>57</v>
      </c>
      <c r="F56">
        <v>48</v>
      </c>
      <c r="G56">
        <f t="shared" si="0"/>
        <v>17056</v>
      </c>
      <c r="H56">
        <f t="shared" si="1"/>
        <v>86.5</v>
      </c>
    </row>
    <row r="57" spans="3:8" x14ac:dyDescent="0.4">
      <c r="C57" t="s">
        <v>18</v>
      </c>
      <c r="D57">
        <v>59</v>
      </c>
      <c r="E57">
        <v>59</v>
      </c>
      <c r="F57">
        <v>48</v>
      </c>
      <c r="G57">
        <f t="shared" si="0"/>
        <v>17184</v>
      </c>
      <c r="H57">
        <f t="shared" si="1"/>
        <v>88.5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5FDB-251B-49DF-AF57-B01996142F52}">
  <dimension ref="C5:BA278"/>
  <sheetViews>
    <sheetView topLeftCell="A40" zoomScale="40" zoomScaleNormal="40" workbookViewId="0">
      <selection activeCell="AL11" sqref="AL11"/>
    </sheetView>
  </sheetViews>
  <sheetFormatPr defaultRowHeight="31.95" customHeight="1" x14ac:dyDescent="0.4"/>
  <cols>
    <col min="3" max="12" width="8.796875" style="79"/>
    <col min="19" max="19" width="11.796875" bestFit="1" customWidth="1"/>
    <col min="23" max="23" width="11.19921875" bestFit="1" customWidth="1"/>
    <col min="24" max="25" width="11.5" bestFit="1" customWidth="1"/>
    <col min="26" max="26" width="11.59765625" bestFit="1" customWidth="1"/>
    <col min="27" max="29" width="9.296875" bestFit="1" customWidth="1"/>
    <col min="30" max="30" width="12" bestFit="1" customWidth="1"/>
    <col min="31" max="35" width="9.296875" bestFit="1" customWidth="1"/>
    <col min="38" max="38" width="9.296875" bestFit="1" customWidth="1"/>
    <col min="40" max="40" width="8.796875" style="83"/>
    <col min="41" max="41" width="9.296875" style="83" bestFit="1" customWidth="1"/>
    <col min="42" max="43" width="8.796875" style="83"/>
    <col min="44" max="44" width="9.296875" style="83" bestFit="1" customWidth="1"/>
    <col min="45" max="45" width="8.796875" style="83"/>
    <col min="46" max="46" width="9.296875" style="83" bestFit="1" customWidth="1"/>
    <col min="49" max="49" width="9.09765625" style="28"/>
    <col min="51" max="51" width="9.19921875" bestFit="1" customWidth="1"/>
    <col min="52" max="52" width="9.09765625" bestFit="1" customWidth="1"/>
  </cols>
  <sheetData>
    <row r="5" spans="4:53" ht="31.95" customHeight="1" x14ac:dyDescent="0.4">
      <c r="AY5" s="25"/>
      <c r="AZ5" s="25"/>
      <c r="BA5" s="25"/>
    </row>
    <row r="6" spans="4:53" ht="31.95" customHeight="1" thickBot="1" x14ac:dyDescent="0.45">
      <c r="F6" s="80"/>
      <c r="G6" s="81"/>
      <c r="H6" s="80"/>
      <c r="I6" s="81"/>
      <c r="J6" s="80"/>
      <c r="K6" s="81"/>
      <c r="L6" s="80"/>
      <c r="Q6" t="s">
        <v>4</v>
      </c>
      <c r="R6" t="s">
        <v>94</v>
      </c>
      <c r="S6">
        <v>0</v>
      </c>
      <c r="T6" s="25">
        <v>0.125</v>
      </c>
      <c r="U6" s="26">
        <v>0.25</v>
      </c>
      <c r="V6" s="25">
        <v>0.375</v>
      </c>
      <c r="W6" s="26">
        <v>0.5</v>
      </c>
      <c r="X6" s="25">
        <v>0.625</v>
      </c>
      <c r="Y6" s="26">
        <v>0.75</v>
      </c>
      <c r="Z6" s="25">
        <v>0.875</v>
      </c>
      <c r="AE6" s="25"/>
      <c r="AF6" s="26"/>
      <c r="AG6" s="25"/>
      <c r="AH6" s="26"/>
      <c r="AI6" s="25"/>
      <c r="AJ6" s="26"/>
      <c r="AK6" s="25"/>
      <c r="AY6" s="25"/>
      <c r="AZ6" s="25"/>
      <c r="BA6" s="25"/>
    </row>
    <row r="7" spans="4:53" ht="31.95" customHeight="1" x14ac:dyDescent="0.4">
      <c r="E7" s="82"/>
      <c r="F7" s="82"/>
      <c r="G7" s="82"/>
      <c r="Q7" t="s">
        <v>95</v>
      </c>
      <c r="R7">
        <v>0</v>
      </c>
      <c r="S7" s="59">
        <f>'dynamic scaling metrics'!CS9</f>
        <v>100</v>
      </c>
      <c r="T7" s="60">
        <f>'dynamic scaling metrics'!CT9</f>
        <v>99.39473684210526</v>
      </c>
      <c r="U7" s="60">
        <f>'dynamic scaling metrics'!CU9</f>
        <v>97.131578947368439</v>
      </c>
      <c r="V7" s="60">
        <f>'dynamic scaling metrics'!CV9</f>
        <v>82.65789473684211</v>
      </c>
      <c r="W7" s="60">
        <f>'dynamic scaling metrics'!CW9</f>
        <v>86.526315789473685</v>
      </c>
      <c r="X7" s="60">
        <f>'dynamic scaling metrics'!CX9</f>
        <v>73.973684210526315</v>
      </c>
      <c r="Y7" s="60">
        <f>'dynamic scaling metrics'!CY9</f>
        <v>68.184210526315809</v>
      </c>
      <c r="Z7" s="61">
        <f>'dynamic scaling metrics'!CZ9</f>
        <v>55.973684210526308</v>
      </c>
      <c r="AA7" s="58"/>
      <c r="AB7" s="54"/>
      <c r="AC7" s="54"/>
      <c r="AD7" s="53"/>
      <c r="AE7" s="53"/>
      <c r="AF7" s="53"/>
      <c r="AG7" s="53"/>
      <c r="AH7" s="53"/>
      <c r="AI7" s="53"/>
      <c r="AJ7" s="27"/>
      <c r="AK7" s="27"/>
      <c r="AY7" s="25"/>
      <c r="AZ7" s="25"/>
      <c r="BA7" s="25"/>
    </row>
    <row r="8" spans="4:53" ht="31.95" customHeight="1" x14ac:dyDescent="0.4">
      <c r="D8" s="80"/>
      <c r="E8" s="82"/>
      <c r="F8" s="82"/>
      <c r="R8" s="25">
        <v>0.125</v>
      </c>
      <c r="S8" s="62">
        <f>'dynamic scaling metrics'!DA9</f>
        <v>94.407894736842124</v>
      </c>
      <c r="T8" s="53">
        <f>'dynamic scaling metrics'!DB9</f>
        <v>94.243421052631589</v>
      </c>
      <c r="U8" s="53">
        <f>'dynamic scaling metrics'!DC9</f>
        <v>92.598684210526329</v>
      </c>
      <c r="V8" s="53">
        <f>'dynamic scaling metrics'!DD9</f>
        <v>79.539473684210535</v>
      </c>
      <c r="W8" s="53">
        <f>'dynamic scaling metrics'!DE9</f>
        <v>83.881578947368425</v>
      </c>
      <c r="X8" s="53">
        <f>'dynamic scaling metrics'!DF9</f>
        <v>72.236842105263179</v>
      </c>
      <c r="Y8" s="53">
        <f>'dynamic scaling metrics'!DG9</f>
        <v>68.256578947368425</v>
      </c>
      <c r="Z8" s="63">
        <f>'dynamic scaling metrics'!DH9</f>
        <v>57.73026315789474</v>
      </c>
      <c r="AA8" s="58"/>
      <c r="AB8" s="54"/>
      <c r="AC8" s="55"/>
      <c r="AD8" s="53"/>
      <c r="AE8" s="53"/>
      <c r="AF8" s="53"/>
      <c r="AG8" s="53"/>
      <c r="AH8" s="53"/>
      <c r="AI8" s="53"/>
      <c r="AJ8" s="27"/>
      <c r="AK8" s="27"/>
    </row>
    <row r="9" spans="4:53" ht="31.95" customHeight="1" x14ac:dyDescent="0.4">
      <c r="D9" s="81"/>
      <c r="R9" s="26">
        <v>0.25</v>
      </c>
      <c r="S9" s="62">
        <f>'dynamic scaling metrics'!DI9</f>
        <v>88.815789473684191</v>
      </c>
      <c r="T9" s="53">
        <f>'dynamic scaling metrics'!DJ9</f>
        <v>89.092105263157876</v>
      </c>
      <c r="U9" s="53">
        <f>'dynamic scaling metrics'!DK9</f>
        <v>88.065789473684205</v>
      </c>
      <c r="V9" s="53">
        <f>'dynamic scaling metrics'!DL9</f>
        <v>76.421052631578959</v>
      </c>
      <c r="W9" s="53">
        <f>'dynamic scaling metrics'!DM9</f>
        <v>81.23684210526315</v>
      </c>
      <c r="X9" s="53">
        <f>'dynamic scaling metrics'!DN9</f>
        <v>70.499999999999986</v>
      </c>
      <c r="Y9" s="53">
        <f>'dynamic scaling metrics'!DO9</f>
        <v>68.328947368421055</v>
      </c>
      <c r="Z9" s="63">
        <f>'dynamic scaling metrics'!DP9</f>
        <v>59.486842105263158</v>
      </c>
      <c r="AA9" s="58"/>
      <c r="AB9" s="54"/>
      <c r="AC9" s="56"/>
      <c r="AD9" s="53"/>
      <c r="AE9" s="53"/>
      <c r="AF9" s="53"/>
      <c r="AG9" s="53"/>
      <c r="AH9" s="53"/>
      <c r="AI9" s="53"/>
      <c r="AJ9" s="27"/>
      <c r="AK9" s="27"/>
    </row>
    <row r="10" spans="4:53" ht="31.95" customHeight="1" x14ac:dyDescent="0.4">
      <c r="D10" s="80"/>
      <c r="R10" s="25">
        <v>0.375</v>
      </c>
      <c r="S10" s="62">
        <f>'dynamic scaling metrics'!DQ9</f>
        <v>83.223684210526315</v>
      </c>
      <c r="T10" s="53">
        <f>'dynamic scaling metrics'!DR9</f>
        <v>83.940789473684205</v>
      </c>
      <c r="U10" s="53">
        <f>'dynamic scaling metrics'!DS9</f>
        <v>83.53289473684211</v>
      </c>
      <c r="V10" s="53">
        <f>'dynamic scaling metrics'!DT9</f>
        <v>73.302631578947384</v>
      </c>
      <c r="W10" s="53">
        <f>'dynamic scaling metrics'!DU9</f>
        <v>78.592105263157904</v>
      </c>
      <c r="X10" s="53">
        <f>'dynamic scaling metrics'!DV9</f>
        <v>68.763157894736835</v>
      </c>
      <c r="Y10" s="53">
        <f>'dynamic scaling metrics'!DW9</f>
        <v>68.401315789473685</v>
      </c>
      <c r="Z10" s="63">
        <f>'dynamic scaling metrics'!DX9</f>
        <v>61.243421052631582</v>
      </c>
      <c r="AA10" s="58"/>
      <c r="AB10" s="54"/>
      <c r="AC10" s="55"/>
      <c r="AD10" s="53"/>
      <c r="AE10" s="53"/>
      <c r="AF10" s="53"/>
      <c r="AG10" s="53"/>
      <c r="AH10" s="53"/>
      <c r="AI10" s="53"/>
      <c r="AJ10" s="27"/>
      <c r="AK10" s="27" t="s">
        <v>124</v>
      </c>
      <c r="AL10" t="s">
        <v>125</v>
      </c>
    </row>
    <row r="11" spans="4:53" ht="31.95" customHeight="1" x14ac:dyDescent="0.4">
      <c r="D11" s="81"/>
      <c r="R11" s="26">
        <v>0.5</v>
      </c>
      <c r="S11" s="62">
        <f>'dynamic scaling metrics'!DX9</f>
        <v>61.243421052631582</v>
      </c>
      <c r="T11" s="53">
        <f>'dynamic scaling metrics'!DY9</f>
        <v>77.631578947368411</v>
      </c>
      <c r="U11" s="71">
        <f>'dynamic scaling metrics'!DZ9</f>
        <v>78.78947368421052</v>
      </c>
      <c r="V11" s="71">
        <f>'dynamic scaling metrics'!EA9</f>
        <v>79</v>
      </c>
      <c r="W11" s="71">
        <f>'dynamic scaling metrics'!EB9</f>
        <v>70.184210526315795</v>
      </c>
      <c r="X11" s="71">
        <f>'dynamic scaling metrics'!EC9</f>
        <v>75.94736842105263</v>
      </c>
      <c r="Y11" s="53">
        <f>'dynamic scaling metrics'!ED9</f>
        <v>67.026315789473685</v>
      </c>
      <c r="Z11" s="63">
        <f>'dynamic scaling metrics'!EE9</f>
        <v>68.473684210526329</v>
      </c>
      <c r="AA11" s="58"/>
      <c r="AB11" s="54"/>
      <c r="AC11" s="56"/>
      <c r="AD11" s="53"/>
      <c r="AE11" s="53"/>
      <c r="AF11" s="53"/>
      <c r="AG11" s="53"/>
      <c r="AH11" s="53"/>
      <c r="AI11" s="53"/>
      <c r="AJ11" s="27"/>
      <c r="AK11" s="27" t="str">
        <f>Q6</f>
        <v>M1no1</v>
      </c>
    </row>
    <row r="12" spans="4:53" ht="31.95" customHeight="1" thickBot="1" x14ac:dyDescent="0.45">
      <c r="D12" s="80"/>
      <c r="R12" s="25">
        <v>0.625</v>
      </c>
      <c r="S12" s="64">
        <f>'dynamic scaling metrics'!EF9</f>
        <v>62.999999999999986</v>
      </c>
      <c r="T12" s="65">
        <f>'dynamic scaling metrics'!EG9</f>
        <v>72.039473684210535</v>
      </c>
      <c r="U12" s="72">
        <f>'dynamic scaling metrics'!EH9</f>
        <v>73.638157894736835</v>
      </c>
      <c r="V12" s="72">
        <f>'dynamic scaling metrics'!EI9</f>
        <v>74.46710526315789</v>
      </c>
      <c r="W12" s="72">
        <f>'dynamic scaling metrics'!EJ9</f>
        <v>67.065789473684205</v>
      </c>
      <c r="X12" s="72">
        <f>'dynamic scaling metrics'!EK9</f>
        <v>73.30263157894737</v>
      </c>
      <c r="Y12" s="65">
        <f>'dynamic scaling metrics'!EL9</f>
        <v>65.28947368421052</v>
      </c>
      <c r="Z12" s="66">
        <f>'dynamic scaling metrics'!EM9</f>
        <v>68.546052631578945</v>
      </c>
      <c r="AA12" s="58"/>
      <c r="AB12">
        <v>0</v>
      </c>
      <c r="AC12" s="25">
        <v>0.125</v>
      </c>
      <c r="AD12" s="26">
        <v>0.25</v>
      </c>
      <c r="AE12" s="25">
        <v>0.375</v>
      </c>
      <c r="AF12" s="26">
        <v>0.5</v>
      </c>
      <c r="AG12" s="25">
        <v>0.625</v>
      </c>
      <c r="AH12" s="26">
        <v>0.75</v>
      </c>
      <c r="AI12" s="25">
        <v>0.875</v>
      </c>
      <c r="AJ12" s="27"/>
      <c r="AK12" s="74" t="s">
        <v>107</v>
      </c>
      <c r="AL12">
        <f>AVERAGE(U11:X12,AD13:AG13)</f>
        <v>72.118421052631575</v>
      </c>
      <c r="AN12" s="84"/>
      <c r="AQ12" s="84"/>
    </row>
    <row r="13" spans="4:53" ht="31.95" customHeight="1" x14ac:dyDescent="0.4">
      <c r="D13" s="81"/>
      <c r="Q13" t="s">
        <v>11</v>
      </c>
      <c r="R13">
        <v>0</v>
      </c>
      <c r="S13" s="59">
        <f>'dynamic scaling metrics'!CS15</f>
        <v>100</v>
      </c>
      <c r="T13" s="60">
        <f>'dynamic scaling metrics'!CT15</f>
        <v>99.269230769230774</v>
      </c>
      <c r="U13" s="60">
        <f>'dynamic scaling metrics'!CU15</f>
        <v>97.038461538461561</v>
      </c>
      <c r="V13" s="60">
        <f>'dynamic scaling metrics'!CV15</f>
        <v>82.807692307692321</v>
      </c>
      <c r="W13" s="60">
        <f>'dynamic scaling metrics'!CW15</f>
        <v>87.076923076923109</v>
      </c>
      <c r="X13" s="60">
        <f>'dynamic scaling metrics'!CX15</f>
        <v>74.730769230769226</v>
      </c>
      <c r="Y13" s="60">
        <f>'dynamic scaling metrics'!CY15</f>
        <v>70.115384615384613</v>
      </c>
      <c r="Z13" s="61">
        <f>'dynamic scaling metrics'!CZ15</f>
        <v>58.884615384615387</v>
      </c>
      <c r="AA13" s="67">
        <v>0.75</v>
      </c>
      <c r="AB13" s="57">
        <f>'dynamic scaling metrics'!EN9</f>
        <v>64.756578947368425</v>
      </c>
      <c r="AC13" s="57">
        <f>'dynamic scaling metrics'!EO9</f>
        <v>66.44736842105263</v>
      </c>
      <c r="AD13" s="73">
        <f>'dynamic scaling metrics'!EP9</f>
        <v>68.486842105263165</v>
      </c>
      <c r="AE13" s="73">
        <f>'dynamic scaling metrics'!EQ9</f>
        <v>69.934210526315795</v>
      </c>
      <c r="AF13" s="73">
        <f>'dynamic scaling metrics'!ER9</f>
        <v>63.947368421052637</v>
      </c>
      <c r="AG13" s="73">
        <f>'dynamic scaling metrics'!ES9</f>
        <v>70.657894736842124</v>
      </c>
      <c r="AH13" s="57">
        <f>'dynamic scaling metrics'!ET9</f>
        <v>63.55263157894737</v>
      </c>
      <c r="AI13" s="57">
        <f>'dynamic scaling metrics'!EU9</f>
        <v>68.618421052631575</v>
      </c>
      <c r="AJ13" s="27"/>
      <c r="AK13" s="27"/>
    </row>
    <row r="14" spans="4:53" ht="31.95" customHeight="1" x14ac:dyDescent="0.4">
      <c r="D14" s="80"/>
      <c r="Q14" t="s">
        <v>95</v>
      </c>
      <c r="R14" s="25">
        <v>0.125</v>
      </c>
      <c r="S14" s="62">
        <f>'dynamic scaling metrics'!DA15</f>
        <v>92.94871794871797</v>
      </c>
      <c r="T14" s="53">
        <f>'dynamic scaling metrics'!DB15</f>
        <v>92.368589743589752</v>
      </c>
      <c r="U14" s="53">
        <f>'dynamic scaling metrics'!DC15</f>
        <v>90.471153846153854</v>
      </c>
      <c r="V14" s="53">
        <f>'dynamic scaling metrics'!DD15</f>
        <v>77.522435897435912</v>
      </c>
      <c r="W14" s="53">
        <f>'dynamic scaling metrics'!DE15</f>
        <v>81.846153846153854</v>
      </c>
      <c r="X14" s="53">
        <f>'dynamic scaling metrics'!DF15</f>
        <v>70.503205128205138</v>
      </c>
      <c r="Y14" s="53">
        <f>'dynamic scaling metrics'!DG15</f>
        <v>67.073717948717956</v>
      </c>
      <c r="Z14" s="63">
        <f>'dynamic scaling metrics'!DH15</f>
        <v>57.272435897435898</v>
      </c>
      <c r="AA14" s="68">
        <v>0.875</v>
      </c>
      <c r="AB14" s="57">
        <f>'dynamic scaling metrics'!EV9</f>
        <v>66.51315789473685</v>
      </c>
      <c r="AC14" s="57">
        <f>'dynamic scaling metrics'!EW9</f>
        <v>60.855263157894747</v>
      </c>
      <c r="AD14" s="57">
        <f>'dynamic scaling metrics'!EX9</f>
        <v>63.335526315789473</v>
      </c>
      <c r="AE14" s="57">
        <f>'dynamic scaling metrics'!EY9</f>
        <v>65.401315789473685</v>
      </c>
      <c r="AF14" s="57">
        <f>'dynamic scaling metrics'!EZ9</f>
        <v>60.828947368421069</v>
      </c>
      <c r="AG14" s="57">
        <f>'dynamic scaling metrics'!FA9</f>
        <v>68.01315789473685</v>
      </c>
      <c r="AH14" s="57">
        <f>'dynamic scaling metrics'!FB9</f>
        <v>61.815789473684227</v>
      </c>
      <c r="AI14" s="57">
        <f>'dynamic scaling metrics'!FC9</f>
        <v>68.690789473684205</v>
      </c>
      <c r="AJ14" s="27"/>
      <c r="AK14" s="27"/>
    </row>
    <row r="15" spans="4:53" ht="31.95" customHeight="1" x14ac:dyDescent="0.4">
      <c r="R15" s="26">
        <v>0.25</v>
      </c>
      <c r="S15" s="62">
        <f>'dynamic scaling metrics'!DI15</f>
        <v>85.897435897435912</v>
      </c>
      <c r="T15" s="53">
        <f>'dynamic scaling metrics'!DJ15</f>
        <v>85.467948717948715</v>
      </c>
      <c r="U15" s="53">
        <f>'dynamic scaling metrics'!DK15</f>
        <v>83.90384615384616</v>
      </c>
      <c r="V15" s="53">
        <f>'dynamic scaling metrics'!DL15</f>
        <v>72.237179487179503</v>
      </c>
      <c r="W15" s="53">
        <f>'dynamic scaling metrics'!DM15</f>
        <v>76.615384615384627</v>
      </c>
      <c r="X15" s="53">
        <f>'dynamic scaling metrics'!DN15</f>
        <v>66.275641025641036</v>
      </c>
      <c r="Y15" s="53">
        <f>'dynamic scaling metrics'!DO15</f>
        <v>64.032051282051285</v>
      </c>
      <c r="Z15" s="63">
        <f>'dynamic scaling metrics'!DP15</f>
        <v>55.660256410256409</v>
      </c>
      <c r="AA15" s="58"/>
      <c r="AB15" s="54"/>
      <c r="AC15" s="56"/>
      <c r="AD15" s="53"/>
      <c r="AE15" s="53"/>
      <c r="AF15" s="53"/>
      <c r="AG15" s="53"/>
      <c r="AH15" s="53"/>
      <c r="AI15" s="53"/>
      <c r="AK15" s="27"/>
    </row>
    <row r="16" spans="4:53" ht="31.95" customHeight="1" x14ac:dyDescent="0.4">
      <c r="R16" s="25">
        <v>0.375</v>
      </c>
      <c r="S16" s="62">
        <f>'dynamic scaling metrics'!DQ15</f>
        <v>78.84615384615384</v>
      </c>
      <c r="T16" s="53">
        <f>'dynamic scaling metrics'!DR15</f>
        <v>78.567307692307708</v>
      </c>
      <c r="U16" s="53">
        <f>'dynamic scaling metrics'!DS15</f>
        <v>77.336538461538467</v>
      </c>
      <c r="V16" s="53">
        <f>'dynamic scaling metrics'!DT15</f>
        <v>66.95192307692308</v>
      </c>
      <c r="W16" s="53">
        <f>'dynamic scaling metrics'!DU15</f>
        <v>71.384615384615401</v>
      </c>
      <c r="X16" s="53">
        <f>'dynamic scaling metrics'!DV15</f>
        <v>62.048076923076927</v>
      </c>
      <c r="Y16" s="53">
        <f>'dynamic scaling metrics'!DW15</f>
        <v>60.990384615384613</v>
      </c>
      <c r="Z16" s="63">
        <f>'dynamic scaling metrics'!DX15</f>
        <v>54.04807692307692</v>
      </c>
      <c r="AA16" s="58"/>
      <c r="AB16" s="54"/>
      <c r="AC16" s="55"/>
      <c r="AD16" s="53"/>
      <c r="AE16" s="53"/>
      <c r="AF16" s="53"/>
      <c r="AG16" s="53"/>
      <c r="AH16" s="53"/>
      <c r="AI16" s="53"/>
      <c r="AK16" s="27"/>
    </row>
    <row r="17" spans="17:43" ht="31.95" customHeight="1" x14ac:dyDescent="0.4">
      <c r="R17" s="26">
        <v>0.5</v>
      </c>
      <c r="S17" s="62">
        <f>'dynamic scaling metrics'!DX15</f>
        <v>54.04807692307692</v>
      </c>
      <c r="T17" s="53">
        <f>'dynamic scaling metrics'!DY15</f>
        <v>71.794871794871796</v>
      </c>
      <c r="U17" s="53">
        <f>'dynamic scaling metrics'!DZ15</f>
        <v>71.666666666666671</v>
      </c>
      <c r="V17" s="53">
        <f>'dynamic scaling metrics'!EA15</f>
        <v>70.769230769230774</v>
      </c>
      <c r="W17" s="53">
        <f>'dynamic scaling metrics'!EB15</f>
        <v>61.666666666666679</v>
      </c>
      <c r="X17" s="53">
        <f>'dynamic scaling metrics'!EC15</f>
        <v>66.153846153846175</v>
      </c>
      <c r="Y17" s="53">
        <f>'dynamic scaling metrics'!ED15</f>
        <v>57.820512820512825</v>
      </c>
      <c r="Z17" s="63">
        <f>'dynamic scaling metrics'!EE15</f>
        <v>57.948717948717956</v>
      </c>
      <c r="AA17" s="58"/>
      <c r="AB17" s="54"/>
      <c r="AC17" s="56"/>
      <c r="AD17" s="53"/>
      <c r="AE17" s="53"/>
      <c r="AF17" s="53"/>
      <c r="AG17" s="53"/>
      <c r="AH17" s="53"/>
      <c r="AI17" s="53"/>
      <c r="AK17" s="27" t="str">
        <f>Q13</f>
        <v>M1no2</v>
      </c>
    </row>
    <row r="18" spans="17:43" ht="31.95" customHeight="1" thickBot="1" x14ac:dyDescent="0.45">
      <c r="R18" s="25">
        <v>0.625</v>
      </c>
      <c r="S18" s="64">
        <f>'dynamic scaling metrics'!EF15</f>
        <v>52.435897435897431</v>
      </c>
      <c r="T18" s="65">
        <f>'dynamic scaling metrics'!EG15</f>
        <v>64.743589743589752</v>
      </c>
      <c r="U18" s="65">
        <f>'dynamic scaling metrics'!EH15</f>
        <v>64.766025641025649</v>
      </c>
      <c r="V18" s="65">
        <f>'dynamic scaling metrics'!EI15</f>
        <v>64.201923076923094</v>
      </c>
      <c r="W18" s="65">
        <f>'dynamic scaling metrics'!EJ15</f>
        <v>56.38141025641027</v>
      </c>
      <c r="X18" s="65">
        <f>'dynamic scaling metrics'!EK15</f>
        <v>60.923076923076941</v>
      </c>
      <c r="Y18" s="65">
        <f>'dynamic scaling metrics'!EL15</f>
        <v>53.59294871794873</v>
      </c>
      <c r="Z18" s="66">
        <f>'dynamic scaling metrics'!EM15</f>
        <v>54.907051282051285</v>
      </c>
      <c r="AA18" s="58"/>
      <c r="AB18">
        <v>0</v>
      </c>
      <c r="AC18" s="25">
        <v>0.125</v>
      </c>
      <c r="AD18" s="26">
        <v>0.25</v>
      </c>
      <c r="AE18" s="25">
        <v>0.375</v>
      </c>
      <c r="AF18" s="26">
        <v>0.5</v>
      </c>
      <c r="AG18" s="25">
        <v>0.625</v>
      </c>
      <c r="AH18" s="26">
        <v>0.75</v>
      </c>
      <c r="AI18" s="25">
        <v>0.875</v>
      </c>
      <c r="AK18" s="74" t="s">
        <v>107</v>
      </c>
      <c r="AL18">
        <f t="shared" ref="AL18" si="0">AVERAGE(U17:X18,AD19:AG19)</f>
        <v>61.568108974358985</v>
      </c>
      <c r="AN18" s="84"/>
      <c r="AQ18" s="84"/>
    </row>
    <row r="19" spans="17:43" ht="31.95" customHeight="1" x14ac:dyDescent="0.4">
      <c r="Q19" t="s">
        <v>12</v>
      </c>
      <c r="R19">
        <v>0</v>
      </c>
      <c r="S19" s="59">
        <f>'dynamic scaling metrics'!CS21</f>
        <v>100</v>
      </c>
      <c r="T19" s="60">
        <f>'dynamic scaling metrics'!CT21</f>
        <v>98.987499999999997</v>
      </c>
      <c r="U19" s="60">
        <f>'dynamic scaling metrics'!CU21</f>
        <v>96.587500000000006</v>
      </c>
      <c r="V19" s="60">
        <f>'dynamic scaling metrics'!CV21</f>
        <v>82.337500000000006</v>
      </c>
      <c r="W19" s="60">
        <f>'dynamic scaling metrics'!CW21</f>
        <v>86.7</v>
      </c>
      <c r="X19" s="60">
        <f>'dynamic scaling metrics'!CX21</f>
        <v>74.462500000000006</v>
      </c>
      <c r="Y19" s="60">
        <f>'dynamic scaling metrics'!CY21</f>
        <v>70.337500000000006</v>
      </c>
      <c r="Z19" s="61">
        <f>'dynamic scaling metrics'!CZ21</f>
        <v>59.612499999999997</v>
      </c>
      <c r="AA19" s="67">
        <f>AA13</f>
        <v>0.75</v>
      </c>
      <c r="AB19" s="57">
        <f>'dynamic scaling metrics'!EN15</f>
        <v>50.823717948717949</v>
      </c>
      <c r="AC19" s="57">
        <f>'dynamic scaling metrics'!EO15</f>
        <v>57.692307692307701</v>
      </c>
      <c r="AD19" s="57">
        <f>'dynamic scaling metrics'!EP15</f>
        <v>57.865384615384627</v>
      </c>
      <c r="AE19" s="57">
        <f>'dynamic scaling metrics'!EQ15</f>
        <v>57.634615384615387</v>
      </c>
      <c r="AF19" s="57">
        <f>'dynamic scaling metrics'!ER15</f>
        <v>51.096153846153854</v>
      </c>
      <c r="AG19" s="57">
        <f>'dynamic scaling metrics'!ES15</f>
        <v>55.692307692307693</v>
      </c>
      <c r="AH19" s="57">
        <f>'dynamic scaling metrics'!ET15</f>
        <v>49.36538461538462</v>
      </c>
      <c r="AI19" s="57">
        <f>'dynamic scaling metrics'!EU15</f>
        <v>51.86538461538462</v>
      </c>
      <c r="AK19" s="27"/>
    </row>
    <row r="20" spans="17:43" ht="31.95" customHeight="1" x14ac:dyDescent="0.4">
      <c r="Q20" t="s">
        <v>95</v>
      </c>
      <c r="R20" s="25">
        <v>0.125</v>
      </c>
      <c r="S20" s="62">
        <f>'dynamic scaling metrics'!DA21</f>
        <v>93.125000000000014</v>
      </c>
      <c r="T20" s="53">
        <f>'dynamic scaling metrics'!DB21</f>
        <v>92.296875000000014</v>
      </c>
      <c r="U20" s="53">
        <f>'dynamic scaling metrics'!DC21</f>
        <v>90.249999999999986</v>
      </c>
      <c r="V20" s="53">
        <f>'dynamic scaling metrics'!DD21</f>
        <v>77.265625</v>
      </c>
      <c r="W20" s="53">
        <f>'dynamic scaling metrics'!DE21</f>
        <v>81.687500000000014</v>
      </c>
      <c r="X20" s="53">
        <f>'dynamic scaling metrics'!DF21</f>
        <v>70.421875</v>
      </c>
      <c r="Y20" s="53">
        <f>'dynamic scaling metrics'!DG21</f>
        <v>67.4375</v>
      </c>
      <c r="Z20" s="63">
        <f>'dynamic scaling metrics'!DH21</f>
        <v>58.078125</v>
      </c>
      <c r="AA20" s="68">
        <f>AA14</f>
        <v>0.875</v>
      </c>
      <c r="AB20" s="57">
        <f>'dynamic scaling metrics'!EV15</f>
        <v>49.21153846153846</v>
      </c>
      <c r="AC20" s="57">
        <f>'dynamic scaling metrics'!EW15</f>
        <v>50.641025641025642</v>
      </c>
      <c r="AD20" s="57">
        <f>'dynamic scaling metrics'!EX15</f>
        <v>50.964743589743598</v>
      </c>
      <c r="AE20" s="57">
        <f>'dynamic scaling metrics'!EY15</f>
        <v>51.067307692307686</v>
      </c>
      <c r="AF20" s="57">
        <f>'dynamic scaling metrics'!EZ15</f>
        <v>45.810897435897445</v>
      </c>
      <c r="AG20" s="57">
        <f>'dynamic scaling metrics'!FA15</f>
        <v>50.461538461538467</v>
      </c>
      <c r="AH20" s="57">
        <f>'dynamic scaling metrics'!FB15</f>
        <v>45.137820512820518</v>
      </c>
      <c r="AI20" s="57">
        <f>'dynamic scaling metrics'!FC15</f>
        <v>48.823717948717949</v>
      </c>
      <c r="AK20" s="27"/>
    </row>
    <row r="21" spans="17:43" ht="31.95" customHeight="1" x14ac:dyDescent="0.4">
      <c r="R21" s="26">
        <v>0.25</v>
      </c>
      <c r="S21" s="62">
        <f>'dynamic scaling metrics'!DI21</f>
        <v>86.249999999999986</v>
      </c>
      <c r="T21" s="53">
        <f>'dynamic scaling metrics'!DJ21</f>
        <v>85.606249999999989</v>
      </c>
      <c r="U21" s="53">
        <f>'dynamic scaling metrics'!DK21</f>
        <v>83.912499999999994</v>
      </c>
      <c r="V21" s="53">
        <f>'dynamic scaling metrics'!DL21</f>
        <v>72.193749999999994</v>
      </c>
      <c r="W21" s="53">
        <f>'dynamic scaling metrics'!DM21</f>
        <v>76.674999999999997</v>
      </c>
      <c r="X21" s="53">
        <f>'dynamic scaling metrics'!DN21</f>
        <v>66.381249999999994</v>
      </c>
      <c r="Y21" s="53">
        <f>'dynamic scaling metrics'!DO21</f>
        <v>64.537499999999994</v>
      </c>
      <c r="Z21" s="63">
        <f>'dynamic scaling metrics'!DP21</f>
        <v>56.543749999999996</v>
      </c>
      <c r="AA21" s="58"/>
      <c r="AB21" s="54"/>
      <c r="AC21" s="56"/>
      <c r="AD21" s="53"/>
      <c r="AE21" s="53"/>
      <c r="AF21" s="53"/>
      <c r="AG21" s="53"/>
      <c r="AH21" s="53"/>
      <c r="AI21" s="53"/>
      <c r="AK21" s="27"/>
    </row>
    <row r="22" spans="17:43" ht="31.95" customHeight="1" x14ac:dyDescent="0.4">
      <c r="R22" s="25">
        <v>0.375</v>
      </c>
      <c r="S22" s="62">
        <f>'dynamic scaling metrics'!DQ21</f>
        <v>79.375</v>
      </c>
      <c r="T22" s="53">
        <f>'dynamic scaling metrics'!DR21</f>
        <v>78.915625000000006</v>
      </c>
      <c r="U22" s="53">
        <f>'dynamic scaling metrics'!DS21</f>
        <v>77.575000000000003</v>
      </c>
      <c r="V22" s="53">
        <f>'dynamic scaling metrics'!DT21</f>
        <v>67.121874999999989</v>
      </c>
      <c r="W22" s="53">
        <f>'dynamic scaling metrics'!DU21</f>
        <v>71.662499999999994</v>
      </c>
      <c r="X22" s="53">
        <f>'dynamic scaling metrics'!DV21</f>
        <v>62.340625000000003</v>
      </c>
      <c r="Y22" s="53">
        <f>'dynamic scaling metrics'!DW21</f>
        <v>61.637499999999996</v>
      </c>
      <c r="Z22" s="63">
        <f>'dynamic scaling metrics'!DX21</f>
        <v>55.009374999999999</v>
      </c>
      <c r="AA22" s="58"/>
      <c r="AB22" s="54"/>
      <c r="AC22" s="55"/>
      <c r="AD22" s="53"/>
      <c r="AE22" s="53"/>
      <c r="AF22" s="53"/>
      <c r="AG22" s="53"/>
      <c r="AH22" s="53"/>
      <c r="AI22" s="53"/>
      <c r="AK22" s="27"/>
    </row>
    <row r="23" spans="17:43" ht="31.95" customHeight="1" x14ac:dyDescent="0.4">
      <c r="R23" s="26">
        <v>0.5</v>
      </c>
      <c r="S23" s="62">
        <f>'dynamic scaling metrics'!DX21</f>
        <v>55.009374999999999</v>
      </c>
      <c r="T23" s="53">
        <f>'dynamic scaling metrics'!DY21</f>
        <v>72.499999999999986</v>
      </c>
      <c r="U23" s="53">
        <f>'dynamic scaling metrics'!DZ21</f>
        <v>72.22499999999998</v>
      </c>
      <c r="V23" s="53">
        <f>'dynamic scaling metrics'!EA21</f>
        <v>71.237499999999997</v>
      </c>
      <c r="W23" s="53">
        <f>'dynamic scaling metrics'!EB21</f>
        <v>62.050000000000004</v>
      </c>
      <c r="X23" s="53">
        <f>'dynamic scaling metrics'!EC21</f>
        <v>66.649999999999991</v>
      </c>
      <c r="Y23" s="53">
        <f>'dynamic scaling metrics'!ED21</f>
        <v>58.3</v>
      </c>
      <c r="Z23" s="63">
        <f>'dynamic scaling metrics'!EE21</f>
        <v>58.737500000000004</v>
      </c>
      <c r="AA23" s="58"/>
      <c r="AB23" s="54"/>
      <c r="AC23" s="56"/>
      <c r="AD23" s="53"/>
      <c r="AE23" s="53"/>
      <c r="AF23" s="53"/>
      <c r="AG23" s="53"/>
      <c r="AH23" s="53"/>
      <c r="AI23" s="53"/>
      <c r="AK23" s="27" t="str">
        <f t="shared" ref="AK23" si="1">Q19</f>
        <v>M1no3</v>
      </c>
    </row>
    <row r="24" spans="17:43" ht="31.95" customHeight="1" thickBot="1" x14ac:dyDescent="0.45">
      <c r="R24" s="25">
        <v>0.625</v>
      </c>
      <c r="S24" s="64">
        <f>'dynamic scaling metrics'!EF21</f>
        <v>53.474999999999994</v>
      </c>
      <c r="T24" s="65">
        <f>'dynamic scaling metrics'!EG21</f>
        <v>65.624999999999986</v>
      </c>
      <c r="U24" s="65">
        <f>'dynamic scaling metrics'!EH21</f>
        <v>65.534374999999997</v>
      </c>
      <c r="V24" s="65">
        <f>'dynamic scaling metrics'!EI21</f>
        <v>64.899999999999991</v>
      </c>
      <c r="W24" s="65">
        <f>'dynamic scaling metrics'!EJ21</f>
        <v>56.978124999999999</v>
      </c>
      <c r="X24" s="65">
        <f>'dynamic scaling metrics'!EK21</f>
        <v>61.637499999999996</v>
      </c>
      <c r="Y24" s="65">
        <f>'dynamic scaling metrics'!EL21</f>
        <v>54.259374999999999</v>
      </c>
      <c r="Z24" s="66">
        <f>'dynamic scaling metrics'!EM21</f>
        <v>55.837499999999999</v>
      </c>
      <c r="AA24" s="58"/>
      <c r="AB24">
        <v>0</v>
      </c>
      <c r="AC24" s="25">
        <v>0.125</v>
      </c>
      <c r="AD24" s="26">
        <v>0.25</v>
      </c>
      <c r="AE24" s="25">
        <v>0.375</v>
      </c>
      <c r="AF24" s="26">
        <v>0.5</v>
      </c>
      <c r="AG24" s="25">
        <v>0.625</v>
      </c>
      <c r="AH24" s="26">
        <v>0.75</v>
      </c>
      <c r="AI24" s="25">
        <v>0.875</v>
      </c>
      <c r="AK24" s="74" t="s">
        <v>107</v>
      </c>
      <c r="AL24">
        <f t="shared" ref="AL24" si="2">AVERAGE(U23:X24,AD25:AG25)</f>
        <v>62.262499999999996</v>
      </c>
      <c r="AN24" s="84"/>
      <c r="AQ24" s="84"/>
    </row>
    <row r="25" spans="17:43" ht="31.95" customHeight="1" x14ac:dyDescent="0.4">
      <c r="Q25" t="s">
        <v>13</v>
      </c>
      <c r="R25">
        <v>0</v>
      </c>
      <c r="S25" s="59">
        <f>'dynamic scaling metrics'!CS27</f>
        <v>100</v>
      </c>
      <c r="T25" s="60">
        <f>'dynamic scaling metrics'!CT27</f>
        <v>95.858974358974379</v>
      </c>
      <c r="U25" s="60">
        <f>'dynamic scaling metrics'!CU27</f>
        <v>90.910256410256423</v>
      </c>
      <c r="V25" s="60">
        <f>'dynamic scaling metrics'!CV27</f>
        <v>74.884615384615387</v>
      </c>
      <c r="W25" s="60">
        <f>'dynamic scaling metrics'!CW27</f>
        <v>78.051282051282072</v>
      </c>
      <c r="X25" s="60">
        <f>'dynamic scaling metrics'!CX27</f>
        <v>66.038461538461547</v>
      </c>
      <c r="Y25" s="60">
        <f>'dynamic scaling metrics'!CY27</f>
        <v>61.42307692307692</v>
      </c>
      <c r="Z25" s="61">
        <f>'dynamic scaling metrics'!CZ27</f>
        <v>51.628205128205131</v>
      </c>
      <c r="AA25" s="67">
        <f t="shared" ref="AA25:AA26" si="3">AA19</f>
        <v>0.75</v>
      </c>
      <c r="AB25" s="57">
        <f>'dynamic scaling metrics'!EN21</f>
        <v>51.940624999999997</v>
      </c>
      <c r="AC25" s="57">
        <f>'dynamic scaling metrics'!EO21</f>
        <v>58.749999999999993</v>
      </c>
      <c r="AD25" s="57">
        <f>'dynamic scaling metrics'!EP21</f>
        <v>58.843749999999993</v>
      </c>
      <c r="AE25" s="57">
        <f>'dynamic scaling metrics'!EQ21</f>
        <v>58.5625</v>
      </c>
      <c r="AF25" s="57">
        <f>'dynamic scaling metrics'!ER21</f>
        <v>51.90625</v>
      </c>
      <c r="AG25" s="57">
        <f>'dynamic scaling metrics'!ES21</f>
        <v>56.624999999999993</v>
      </c>
      <c r="AH25" s="57">
        <f>'dynamic scaling metrics'!ET21</f>
        <v>50.218750000000007</v>
      </c>
      <c r="AI25" s="57">
        <f>'dynamic scaling metrics'!EU21</f>
        <v>52.9375</v>
      </c>
      <c r="AK25" s="27"/>
    </row>
    <row r="26" spans="17:43" ht="31.95" customHeight="1" x14ac:dyDescent="0.4">
      <c r="Q26" t="s">
        <v>95</v>
      </c>
      <c r="R26" s="25">
        <v>0.125</v>
      </c>
      <c r="S26" s="62">
        <f>'dynamic scaling metrics'!DA27</f>
        <v>94.871794871794904</v>
      </c>
      <c r="T26" s="53">
        <f>'dynamic scaling metrics'!DB27</f>
        <v>91.307692307692321</v>
      </c>
      <c r="U26" s="53">
        <f>'dynamic scaling metrics'!DC27</f>
        <v>87.032051282051299</v>
      </c>
      <c r="V26" s="53">
        <f>'dynamic scaling metrics'!DD27</f>
        <v>72.320512820512846</v>
      </c>
      <c r="W26" s="53">
        <f>'dynamic scaling metrics'!DE27</f>
        <v>75.87179487179489</v>
      </c>
      <c r="X26" s="53">
        <f>'dynamic scaling metrics'!DF27</f>
        <v>64.628205128205153</v>
      </c>
      <c r="Y26" s="53">
        <f>'dynamic scaling metrics'!DG27</f>
        <v>61.391025641025642</v>
      </c>
      <c r="Z26" s="63">
        <f>'dynamic scaling metrics'!DH27</f>
        <v>52.846153846153847</v>
      </c>
      <c r="AA26" s="68">
        <f t="shared" si="3"/>
        <v>0.875</v>
      </c>
      <c r="AB26" s="57">
        <f>'dynamic scaling metrics'!EV21</f>
        <v>50.40625</v>
      </c>
      <c r="AC26" s="57">
        <f>'dynamic scaling metrics'!EW21</f>
        <v>51.875</v>
      </c>
      <c r="AD26" s="57">
        <f>'dynamic scaling metrics'!EX21</f>
        <v>52.153124999999996</v>
      </c>
      <c r="AE26" s="57">
        <f>'dynamic scaling metrics'!EY21</f>
        <v>52.225000000000001</v>
      </c>
      <c r="AF26" s="57">
        <f>'dynamic scaling metrics'!EZ21</f>
        <v>46.834375000000001</v>
      </c>
      <c r="AG26" s="57">
        <f>'dynamic scaling metrics'!FA21</f>
        <v>51.612499999999997</v>
      </c>
      <c r="AH26" s="57">
        <f>'dynamic scaling metrics'!FB21</f>
        <v>46.178125000000001</v>
      </c>
      <c r="AI26" s="57">
        <f>'dynamic scaling metrics'!FC21</f>
        <v>50.037499999999994</v>
      </c>
      <c r="AK26" s="27"/>
    </row>
    <row r="27" spans="17:43" ht="31.95" customHeight="1" x14ac:dyDescent="0.4">
      <c r="R27" s="26">
        <v>0.25</v>
      </c>
      <c r="S27" s="62">
        <f>'dynamic scaling metrics'!DI27</f>
        <v>89.743589743589737</v>
      </c>
      <c r="T27" s="53">
        <f>'dynamic scaling metrics'!DJ27</f>
        <v>86.756410256410234</v>
      </c>
      <c r="U27" s="53">
        <f>'dynamic scaling metrics'!DK27</f>
        <v>83.153846153846146</v>
      </c>
      <c r="V27" s="53">
        <f>'dynamic scaling metrics'!DL27</f>
        <v>69.756410256410248</v>
      </c>
      <c r="W27" s="53">
        <f>'dynamic scaling metrics'!DM27</f>
        <v>73.692307692307693</v>
      </c>
      <c r="X27" s="53">
        <f>'dynamic scaling metrics'!DN27</f>
        <v>63.217948717948723</v>
      </c>
      <c r="Y27" s="53">
        <f>'dynamic scaling metrics'!DO27</f>
        <v>61.358974358974358</v>
      </c>
      <c r="Z27" s="63">
        <f>'dynamic scaling metrics'!DP27</f>
        <v>54.064102564102569</v>
      </c>
      <c r="AA27" s="58"/>
      <c r="AB27" s="54"/>
      <c r="AC27" s="56"/>
      <c r="AD27" s="53"/>
      <c r="AE27" s="53"/>
      <c r="AF27" s="53"/>
      <c r="AG27" s="53"/>
      <c r="AH27" s="53"/>
      <c r="AI27" s="53"/>
      <c r="AK27" s="27"/>
    </row>
    <row r="28" spans="17:43" ht="31.95" customHeight="1" x14ac:dyDescent="0.4">
      <c r="R28" s="25">
        <v>0.375</v>
      </c>
      <c r="S28" s="62">
        <f>'dynamic scaling metrics'!DQ27</f>
        <v>84.615384615384627</v>
      </c>
      <c r="T28" s="53">
        <f>'dynamic scaling metrics'!DR27</f>
        <v>82.205128205128204</v>
      </c>
      <c r="U28" s="53">
        <f>'dynamic scaling metrics'!DS27</f>
        <v>79.275641025641036</v>
      </c>
      <c r="V28" s="53">
        <f>'dynamic scaling metrics'!DT27</f>
        <v>67.192307692307693</v>
      </c>
      <c r="W28" s="53">
        <f>'dynamic scaling metrics'!DU27</f>
        <v>71.512820512820511</v>
      </c>
      <c r="X28" s="53">
        <f>'dynamic scaling metrics'!DV27</f>
        <v>61.807692307692321</v>
      </c>
      <c r="Y28" s="53">
        <f>'dynamic scaling metrics'!DW27</f>
        <v>61.326923076923087</v>
      </c>
      <c r="Z28" s="63">
        <f>'dynamic scaling metrics'!DX27</f>
        <v>55.282051282051292</v>
      </c>
      <c r="AA28" s="58"/>
      <c r="AB28" s="54"/>
      <c r="AC28" s="55"/>
      <c r="AD28" s="53"/>
      <c r="AE28" s="53"/>
      <c r="AF28" s="53"/>
      <c r="AG28" s="53"/>
      <c r="AH28" s="53"/>
      <c r="AI28" s="53"/>
      <c r="AK28" s="27"/>
    </row>
    <row r="29" spans="17:43" ht="31.95" customHeight="1" x14ac:dyDescent="0.4">
      <c r="R29" s="26">
        <v>0.5</v>
      </c>
      <c r="S29" s="62">
        <f>'dynamic scaling metrics'!DX27</f>
        <v>55.282051282051292</v>
      </c>
      <c r="T29" s="53">
        <f>'dynamic scaling metrics'!DY27</f>
        <v>79.487179487179489</v>
      </c>
      <c r="U29" s="53">
        <f>'dynamic scaling metrics'!DZ27</f>
        <v>77.65384615384616</v>
      </c>
      <c r="V29" s="53">
        <f>'dynamic scaling metrics'!EA27</f>
        <v>75.397435897435898</v>
      </c>
      <c r="W29" s="53">
        <f>'dynamic scaling metrics'!EB27</f>
        <v>64.628205128205124</v>
      </c>
      <c r="X29" s="53">
        <f>'dynamic scaling metrics'!EC27</f>
        <v>69.333333333333343</v>
      </c>
      <c r="Y29" s="53">
        <f>'dynamic scaling metrics'!ED27</f>
        <v>60.397435897435905</v>
      </c>
      <c r="Z29" s="63">
        <f>'dynamic scaling metrics'!EE27</f>
        <v>61.294871794871803</v>
      </c>
      <c r="AA29" s="58"/>
      <c r="AB29" s="54"/>
      <c r="AC29" s="56"/>
      <c r="AD29" s="53"/>
      <c r="AE29" s="53"/>
      <c r="AF29" s="53"/>
      <c r="AG29" s="53"/>
      <c r="AH29" s="53"/>
      <c r="AI29" s="53"/>
      <c r="AK29" s="27" t="str">
        <f t="shared" ref="AK29" si="4">Q25</f>
        <v>M1no4</v>
      </c>
    </row>
    <row r="30" spans="17:43" ht="31.95" customHeight="1" thickBot="1" x14ac:dyDescent="0.45">
      <c r="R30" s="25">
        <v>0.625</v>
      </c>
      <c r="S30" s="64">
        <f>'dynamic scaling metrics'!EF27</f>
        <v>56.5</v>
      </c>
      <c r="T30" s="65">
        <f>'dynamic scaling metrics'!EG27</f>
        <v>74.358974358974351</v>
      </c>
      <c r="U30" s="65">
        <f>'dynamic scaling metrics'!EH27</f>
        <v>73.102564102564102</v>
      </c>
      <c r="V30" s="65">
        <f>'dynamic scaling metrics'!EI27</f>
        <v>71.519230769230759</v>
      </c>
      <c r="W30" s="65">
        <f>'dynamic scaling metrics'!EJ27</f>
        <v>62.064102564102576</v>
      </c>
      <c r="X30" s="65">
        <f>'dynamic scaling metrics'!EK27</f>
        <v>67.15384615384616</v>
      </c>
      <c r="Y30" s="65">
        <f>'dynamic scaling metrics'!EL27</f>
        <v>58.987179487179482</v>
      </c>
      <c r="Z30" s="66">
        <f>'dynamic scaling metrics'!EM27</f>
        <v>61.262820512820511</v>
      </c>
      <c r="AA30" s="58"/>
      <c r="AB30">
        <v>0</v>
      </c>
      <c r="AC30" s="25">
        <v>0.125</v>
      </c>
      <c r="AD30" s="26">
        <v>0.25</v>
      </c>
      <c r="AE30" s="25">
        <v>0.375</v>
      </c>
      <c r="AF30" s="26">
        <v>0.5</v>
      </c>
      <c r="AG30" s="25">
        <v>0.625</v>
      </c>
      <c r="AH30" s="26">
        <v>0.75</v>
      </c>
      <c r="AI30" s="25">
        <v>0.875</v>
      </c>
      <c r="AK30" s="74" t="s">
        <v>107</v>
      </c>
      <c r="AL30">
        <f t="shared" ref="AL30" si="5">AVERAGE(U29:X30,AD31:AG31)</f>
        <v>68.459935897435912</v>
      </c>
      <c r="AN30" s="84"/>
      <c r="AQ30" s="84"/>
    </row>
    <row r="31" spans="17:43" ht="31.95" customHeight="1" x14ac:dyDescent="0.4">
      <c r="Q31" t="s">
        <v>14</v>
      </c>
      <c r="R31">
        <v>0</v>
      </c>
      <c r="S31" s="59">
        <f>'dynamic scaling metrics'!CS33</f>
        <v>100</v>
      </c>
      <c r="T31" s="60">
        <f>'dynamic scaling metrics'!CT33</f>
        <v>95.810810810810807</v>
      </c>
      <c r="U31" s="60">
        <f>'dynamic scaling metrics'!CU33</f>
        <v>90.810810810810835</v>
      </c>
      <c r="V31" s="60">
        <f>'dynamic scaling metrics'!CV33</f>
        <v>74.72972972972974</v>
      </c>
      <c r="W31" s="60">
        <f>'dynamic scaling metrics'!CW33</f>
        <v>77.837837837837824</v>
      </c>
      <c r="X31" s="60">
        <f>'dynamic scaling metrics'!CX33</f>
        <v>65.810810810810807</v>
      </c>
      <c r="Y31" s="60">
        <f>'dynamic scaling metrics'!CY33</f>
        <v>61.081081081081088</v>
      </c>
      <c r="Z31" s="61">
        <f>'dynamic scaling metrics'!CZ33</f>
        <v>51.216216216216218</v>
      </c>
      <c r="AA31" s="67">
        <f t="shared" ref="AA31:AA32" si="6">AA25</f>
        <v>0.75</v>
      </c>
      <c r="AB31" s="57">
        <f>'dynamic scaling metrics'!EN27</f>
        <v>57.717948717948715</v>
      </c>
      <c r="AC31" s="57">
        <f>'dynamic scaling metrics'!EO27</f>
        <v>69.230769230769241</v>
      </c>
      <c r="AD31" s="57">
        <f>'dynamic scaling metrics'!EP27</f>
        <v>68.551282051282058</v>
      </c>
      <c r="AE31" s="57">
        <f>'dynamic scaling metrics'!EQ27</f>
        <v>67.641025641025649</v>
      </c>
      <c r="AF31" s="57">
        <f>'dynamic scaling metrics'!ER27</f>
        <v>59.500000000000014</v>
      </c>
      <c r="AG31" s="57">
        <f>'dynamic scaling metrics'!ES27</f>
        <v>64.974358974358992</v>
      </c>
      <c r="AH31" s="57">
        <f>'dynamic scaling metrics'!ET27</f>
        <v>57.576923076923094</v>
      </c>
      <c r="AI31" s="57">
        <f>'dynamic scaling metrics'!EU27</f>
        <v>61.230769230769241</v>
      </c>
      <c r="AK31" s="27"/>
    </row>
    <row r="32" spans="17:43" ht="31.95" customHeight="1" x14ac:dyDescent="0.4">
      <c r="Q32" t="s">
        <v>95</v>
      </c>
      <c r="R32" s="25">
        <v>0.125</v>
      </c>
      <c r="S32" s="62">
        <f>'dynamic scaling metrics'!DA33</f>
        <v>92.905405405405432</v>
      </c>
      <c r="T32" s="53">
        <f>'dynamic scaling metrics'!DB33</f>
        <v>89.302364864864856</v>
      </c>
      <c r="U32" s="53">
        <f>'dynamic scaling metrics'!DC33</f>
        <v>84.984797297297305</v>
      </c>
      <c r="V32" s="53">
        <f>'dynamic scaling metrics'!DD33</f>
        <v>70.423986486486498</v>
      </c>
      <c r="W32" s="53">
        <f>'dynamic scaling metrics'!DE33</f>
        <v>73.729729729729755</v>
      </c>
      <c r="X32" s="53">
        <f>'dynamic scaling metrics'!DF33</f>
        <v>62.670608108108119</v>
      </c>
      <c r="Y32" s="53">
        <f>'dynamic scaling metrics'!DG33</f>
        <v>59.140202702702716</v>
      </c>
      <c r="Z32" s="63">
        <f>'dynamic scaling metrics'!DH33</f>
        <v>50.535472972972975</v>
      </c>
      <c r="AA32" s="68">
        <f t="shared" si="6"/>
        <v>0.875</v>
      </c>
      <c r="AB32" s="57">
        <f>'dynamic scaling metrics'!EV27</f>
        <v>58.935897435897452</v>
      </c>
      <c r="AC32" s="57">
        <f>'dynamic scaling metrics'!EW27</f>
        <v>64.102564102564116</v>
      </c>
      <c r="AD32" s="57">
        <f>'dynamic scaling metrics'!EX27</f>
        <v>64.000000000000014</v>
      </c>
      <c r="AE32" s="57">
        <f>'dynamic scaling metrics'!EY27</f>
        <v>63.762820512820525</v>
      </c>
      <c r="AF32" s="57">
        <f>'dynamic scaling metrics'!EZ27</f>
        <v>56.935897435897445</v>
      </c>
      <c r="AG32" s="57">
        <f>'dynamic scaling metrics'!FA27</f>
        <v>62.794871794871803</v>
      </c>
      <c r="AH32" s="57">
        <f>'dynamic scaling metrics'!FB27</f>
        <v>56.166666666666671</v>
      </c>
      <c r="AI32" s="57">
        <f>'dynamic scaling metrics'!FC27</f>
        <v>61.198717948717956</v>
      </c>
      <c r="AK32" s="27"/>
    </row>
    <row r="33" spans="17:43" ht="31.95" customHeight="1" x14ac:dyDescent="0.4">
      <c r="R33" s="26">
        <v>0.25</v>
      </c>
      <c r="S33" s="62">
        <f>'dynamic scaling metrics'!DI33</f>
        <v>85.810810810810821</v>
      </c>
      <c r="T33" s="53">
        <f>'dynamic scaling metrics'!DJ33</f>
        <v>82.793918918918934</v>
      </c>
      <c r="U33" s="53">
        <f>'dynamic scaling metrics'!DK33</f>
        <v>79.158783783783775</v>
      </c>
      <c r="V33" s="53">
        <f>'dynamic scaling metrics'!DL33</f>
        <v>66.118243243243242</v>
      </c>
      <c r="W33" s="53">
        <f>'dynamic scaling metrics'!DM33</f>
        <v>69.621621621621628</v>
      </c>
      <c r="X33" s="53">
        <f>'dynamic scaling metrics'!DN33</f>
        <v>59.530405405405403</v>
      </c>
      <c r="Y33" s="53">
        <f>'dynamic scaling metrics'!DO33</f>
        <v>57.19932432432433</v>
      </c>
      <c r="Z33" s="63">
        <f>'dynamic scaling metrics'!DP33</f>
        <v>49.854729729729726</v>
      </c>
      <c r="AA33" s="58"/>
      <c r="AB33" s="54"/>
      <c r="AC33" s="56"/>
      <c r="AD33" s="53"/>
      <c r="AE33" s="53"/>
      <c r="AF33" s="53"/>
      <c r="AG33" s="53"/>
      <c r="AH33" s="53"/>
      <c r="AI33" s="53"/>
      <c r="AK33" s="27"/>
    </row>
    <row r="34" spans="17:43" ht="31.95" customHeight="1" x14ac:dyDescent="0.4">
      <c r="R34" s="25">
        <v>0.375</v>
      </c>
      <c r="S34" s="62">
        <f>'dynamic scaling metrics'!DQ33</f>
        <v>78.716216216216225</v>
      </c>
      <c r="T34" s="53">
        <f>'dynamic scaling metrics'!DR33</f>
        <v>76.285472972972983</v>
      </c>
      <c r="U34" s="53">
        <f>'dynamic scaling metrics'!DS33</f>
        <v>73.332770270270288</v>
      </c>
      <c r="V34" s="53">
        <f>'dynamic scaling metrics'!DT33</f>
        <v>61.8125</v>
      </c>
      <c r="W34" s="53">
        <f>'dynamic scaling metrics'!DU33</f>
        <v>65.513513513513516</v>
      </c>
      <c r="X34" s="53">
        <f>'dynamic scaling metrics'!DV33</f>
        <v>56.390202702702709</v>
      </c>
      <c r="Y34" s="53">
        <f>'dynamic scaling metrics'!DW33</f>
        <v>55.258445945945958</v>
      </c>
      <c r="Z34" s="63">
        <f>'dynamic scaling metrics'!DX33</f>
        <v>49.173986486486491</v>
      </c>
      <c r="AA34" s="58"/>
      <c r="AB34" s="54"/>
      <c r="AC34" s="55"/>
      <c r="AD34" s="53"/>
      <c r="AE34" s="53"/>
      <c r="AF34" s="53"/>
      <c r="AG34" s="53"/>
      <c r="AH34" s="53"/>
      <c r="AI34" s="53"/>
      <c r="AK34" s="27"/>
    </row>
    <row r="35" spans="17:43" ht="31.95" customHeight="1" x14ac:dyDescent="0.4">
      <c r="R35" s="26">
        <v>0.5</v>
      </c>
      <c r="S35" s="62">
        <f>'dynamic scaling metrics'!DX33</f>
        <v>49.173986486486491</v>
      </c>
      <c r="T35" s="53">
        <f>'dynamic scaling metrics'!DY33</f>
        <v>71.621621621621628</v>
      </c>
      <c r="U35" s="53">
        <f>'dynamic scaling metrics'!DZ33</f>
        <v>69.777027027027017</v>
      </c>
      <c r="V35" s="53">
        <f>'dynamic scaling metrics'!EA33</f>
        <v>67.506756756756758</v>
      </c>
      <c r="W35" s="53">
        <f>'dynamic scaling metrics'!EB33</f>
        <v>57.506756756756758</v>
      </c>
      <c r="X35" s="53">
        <f>'dynamic scaling metrics'!EC33</f>
        <v>61.405405405405396</v>
      </c>
      <c r="Y35" s="53">
        <f>'dynamic scaling metrics'!ED33</f>
        <v>53.250000000000007</v>
      </c>
      <c r="Z35" s="63">
        <f>'dynamic scaling metrics'!EE33</f>
        <v>53.317567567567572</v>
      </c>
      <c r="AA35" s="58"/>
      <c r="AB35" s="54"/>
      <c r="AC35" s="56"/>
      <c r="AD35" s="53"/>
      <c r="AE35" s="53"/>
      <c r="AF35" s="53"/>
      <c r="AG35" s="53"/>
      <c r="AH35" s="53"/>
      <c r="AI35" s="53"/>
      <c r="AK35" s="27" t="str">
        <f t="shared" ref="AK35" si="7">Q31</f>
        <v>M1no5</v>
      </c>
    </row>
    <row r="36" spans="17:43" ht="31.95" customHeight="1" thickBot="1" x14ac:dyDescent="0.45">
      <c r="R36" s="25">
        <v>0.625</v>
      </c>
      <c r="S36" s="64">
        <f>'dynamic scaling metrics'!EF33</f>
        <v>48.493243243243249</v>
      </c>
      <c r="T36" s="65">
        <f>'dynamic scaling metrics'!EG33</f>
        <v>64.527027027027032</v>
      </c>
      <c r="U36" s="65">
        <f>'dynamic scaling metrics'!EH33</f>
        <v>63.268581081081102</v>
      </c>
      <c r="V36" s="65">
        <f>'dynamic scaling metrics'!EI33</f>
        <v>61.680743243243256</v>
      </c>
      <c r="W36" s="65">
        <f>'dynamic scaling metrics'!EJ33</f>
        <v>53.201013513513509</v>
      </c>
      <c r="X36" s="65">
        <f>'dynamic scaling metrics'!EK33</f>
        <v>57.297297297297305</v>
      </c>
      <c r="Y36" s="65">
        <f>'dynamic scaling metrics'!EL33</f>
        <v>50.109797297297305</v>
      </c>
      <c r="Z36" s="66">
        <f>'dynamic scaling metrics'!EM33</f>
        <v>51.3766891891892</v>
      </c>
      <c r="AA36" s="58"/>
      <c r="AB36">
        <v>0</v>
      </c>
      <c r="AC36" s="25">
        <v>0.125</v>
      </c>
      <c r="AD36" s="26">
        <v>0.25</v>
      </c>
      <c r="AE36" s="25">
        <v>0.375</v>
      </c>
      <c r="AF36" s="26">
        <v>0.5</v>
      </c>
      <c r="AG36" s="25">
        <v>0.625</v>
      </c>
      <c r="AH36" s="26">
        <v>0.75</v>
      </c>
      <c r="AI36" s="25">
        <v>0.875</v>
      </c>
      <c r="AK36" s="74" t="s">
        <v>107</v>
      </c>
      <c r="AL36">
        <f t="shared" ref="AL36" si="8">AVERAGE(U35:X36,AD37:AG37)</f>
        <v>58.861908783783782</v>
      </c>
      <c r="AN36" s="84"/>
      <c r="AQ36" s="84"/>
    </row>
    <row r="37" spans="17:43" ht="31.95" customHeight="1" x14ac:dyDescent="0.4">
      <c r="Q37" t="s">
        <v>15</v>
      </c>
      <c r="R37">
        <v>0</v>
      </c>
      <c r="S37" s="59">
        <f>'dynamic scaling metrics'!CS39</f>
        <v>100</v>
      </c>
      <c r="T37" s="60">
        <f>'dynamic scaling metrics'!CT39</f>
        <v>95.749999999999986</v>
      </c>
      <c r="U37" s="60">
        <f>'dynamic scaling metrics'!CU39</f>
        <v>90.671052631578945</v>
      </c>
      <c r="V37" s="60">
        <f>'dynamic scaling metrics'!CV39</f>
        <v>74.486842105263165</v>
      </c>
      <c r="W37" s="60">
        <f>'dynamic scaling metrics'!CW39</f>
        <v>77.473684210526301</v>
      </c>
      <c r="X37" s="60">
        <f>'dynamic scaling metrics'!CX39</f>
        <v>65.407894736842096</v>
      </c>
      <c r="Y37" s="60">
        <f>'dynamic scaling metrics'!CY39</f>
        <v>60.407894736842103</v>
      </c>
      <c r="Z37" s="61">
        <f>'dynamic scaling metrics'!CZ39</f>
        <v>50.355263157894733</v>
      </c>
      <c r="AA37" s="67">
        <f t="shared" ref="AA37:AA38" si="9">AA31</f>
        <v>0.75</v>
      </c>
      <c r="AB37" s="57">
        <f>'dynamic scaling metrics'!EN33</f>
        <v>47.812500000000007</v>
      </c>
      <c r="AC37" s="57">
        <f>'dynamic scaling metrics'!EO33</f>
        <v>57.432432432432428</v>
      </c>
      <c r="AD37" s="57">
        <f>'dynamic scaling metrics'!EP33</f>
        <v>56.760135135135137</v>
      </c>
      <c r="AE37" s="57">
        <f>'dynamic scaling metrics'!EQ33</f>
        <v>55.854729729729726</v>
      </c>
      <c r="AF37" s="57">
        <f>'dynamic scaling metrics'!ER33</f>
        <v>48.895270270270274</v>
      </c>
      <c r="AG37" s="57">
        <f>'dynamic scaling metrics'!ES33</f>
        <v>53.189189189189193</v>
      </c>
      <c r="AH37" s="57">
        <f>'dynamic scaling metrics'!ET33</f>
        <v>46.969594594594597</v>
      </c>
      <c r="AI37" s="57">
        <f>'dynamic scaling metrics'!EU33</f>
        <v>49.435810810810821</v>
      </c>
      <c r="AK37" s="27"/>
    </row>
    <row r="38" spans="17:43" ht="31.95" customHeight="1" x14ac:dyDescent="0.4">
      <c r="Q38" t="s">
        <v>95</v>
      </c>
      <c r="R38" s="25">
        <v>0.125</v>
      </c>
      <c r="S38" s="62">
        <f>'dynamic scaling metrics'!DA39</f>
        <v>92.76315789473685</v>
      </c>
      <c r="T38" s="53">
        <f>'dynamic scaling metrics'!DB39</f>
        <v>89.10526315789474</v>
      </c>
      <c r="U38" s="53">
        <f>'dynamic scaling metrics'!DC39</f>
        <v>84.717105263157919</v>
      </c>
      <c r="V38" s="53">
        <f>'dynamic scaling metrics'!DD39</f>
        <v>70.078947368421055</v>
      </c>
      <c r="W38" s="53">
        <f>'dynamic scaling metrics'!DE39</f>
        <v>73.26315789473685</v>
      </c>
      <c r="X38" s="53">
        <f>'dynamic scaling metrics'!DF39</f>
        <v>62.184210526315809</v>
      </c>
      <c r="Y38" s="53">
        <f>'dynamic scaling metrics'!DG39</f>
        <v>58.401315789473692</v>
      </c>
      <c r="Z38" s="63">
        <f>'dynamic scaling metrics'!DH39</f>
        <v>49.631578947368425</v>
      </c>
      <c r="AA38" s="68">
        <f t="shared" si="9"/>
        <v>0.875</v>
      </c>
      <c r="AB38" s="57">
        <f>'dynamic scaling metrics'!EV33</f>
        <v>47.131756756756758</v>
      </c>
      <c r="AC38" s="57">
        <f>'dynamic scaling metrics'!EW33</f>
        <v>50.337837837837839</v>
      </c>
      <c r="AD38" s="57">
        <f>'dynamic scaling metrics'!EX33</f>
        <v>50.251689189189193</v>
      </c>
      <c r="AE38" s="57">
        <f>'dynamic scaling metrics'!EY33</f>
        <v>50.028716216216218</v>
      </c>
      <c r="AF38" s="57">
        <f>'dynamic scaling metrics'!EZ33</f>
        <v>44.589527027027032</v>
      </c>
      <c r="AG38" s="57">
        <f>'dynamic scaling metrics'!FA33</f>
        <v>49.081081081081088</v>
      </c>
      <c r="AH38" s="57">
        <f>'dynamic scaling metrics'!FB33</f>
        <v>43.829391891891888</v>
      </c>
      <c r="AI38" s="57">
        <f>'dynamic scaling metrics'!FC33</f>
        <v>47.494932432432442</v>
      </c>
      <c r="AK38" s="27"/>
    </row>
    <row r="39" spans="17:43" ht="31.95" customHeight="1" x14ac:dyDescent="0.4">
      <c r="R39" s="26">
        <v>0.25</v>
      </c>
      <c r="S39" s="62">
        <f>'dynamic scaling metrics'!DI39</f>
        <v>85.526315789473685</v>
      </c>
      <c r="T39" s="53">
        <f>'dynamic scaling metrics'!DJ39</f>
        <v>82.46052631578948</v>
      </c>
      <c r="U39" s="53">
        <f>'dynamic scaling metrics'!DK39</f>
        <v>78.76315789473685</v>
      </c>
      <c r="V39" s="53">
        <f>'dynamic scaling metrics'!DL39</f>
        <v>65.671052631578959</v>
      </c>
      <c r="W39" s="53">
        <f>'dynamic scaling metrics'!DM39</f>
        <v>69.05263157894737</v>
      </c>
      <c r="X39" s="53">
        <f>'dynamic scaling metrics'!DN39</f>
        <v>58.96052631578948</v>
      </c>
      <c r="Y39" s="53">
        <f>'dynamic scaling metrics'!DO39</f>
        <v>56.39473684210526</v>
      </c>
      <c r="Z39" s="63">
        <f>'dynamic scaling metrics'!DP39</f>
        <v>48.90789473684211</v>
      </c>
      <c r="AA39" s="58"/>
      <c r="AB39" s="54"/>
      <c r="AC39" s="56"/>
      <c r="AD39" s="53"/>
      <c r="AE39" s="53"/>
      <c r="AF39" s="53"/>
      <c r="AG39" s="53"/>
      <c r="AH39" s="53"/>
      <c r="AI39" s="53"/>
      <c r="AK39" s="27"/>
    </row>
    <row r="40" spans="17:43" ht="31.95" customHeight="1" thickBot="1" x14ac:dyDescent="0.45">
      <c r="R40" s="25">
        <v>0.375</v>
      </c>
      <c r="S40" s="62">
        <f>'dynamic scaling metrics'!DQ39</f>
        <v>78.28947368421052</v>
      </c>
      <c r="T40" s="53">
        <f>'dynamic scaling metrics'!DR39</f>
        <v>75.815789473684205</v>
      </c>
      <c r="U40" s="53">
        <f>'dynamic scaling metrics'!DS39</f>
        <v>72.809210526315795</v>
      </c>
      <c r="V40" s="53">
        <f>'dynamic scaling metrics'!DT39</f>
        <v>61.263157894736842</v>
      </c>
      <c r="W40" s="53">
        <f>'dynamic scaling metrics'!DU39</f>
        <v>64.842105263157904</v>
      </c>
      <c r="X40" s="53">
        <f>'dynamic scaling metrics'!DV39</f>
        <v>55.736842105263158</v>
      </c>
      <c r="Y40" s="53">
        <f>'dynamic scaling metrics'!DW39</f>
        <v>54.388157894736842</v>
      </c>
      <c r="Z40" s="63">
        <f>'dynamic scaling metrics'!DX39</f>
        <v>48.184210526315788</v>
      </c>
      <c r="AA40" s="58"/>
      <c r="AB40" s="54"/>
      <c r="AC40" s="55"/>
      <c r="AD40" s="53"/>
      <c r="AE40" s="53"/>
      <c r="AF40" s="53"/>
      <c r="AG40" s="53"/>
      <c r="AH40" s="53"/>
      <c r="AI40" s="53"/>
      <c r="AK40" s="27"/>
    </row>
    <row r="41" spans="17:43" ht="31.95" customHeight="1" x14ac:dyDescent="0.4">
      <c r="R41" s="26">
        <v>0.5</v>
      </c>
      <c r="S41" s="62">
        <f>'dynamic scaling metrics'!DX39</f>
        <v>48.184210526315788</v>
      </c>
      <c r="T41" s="53">
        <f>'dynamic scaling metrics'!DY39</f>
        <v>71.05263157894737</v>
      </c>
      <c r="U41" s="53">
        <f>'dynamic scaling metrics'!DZ39</f>
        <v>69.171052631578931</v>
      </c>
      <c r="V41" s="53">
        <f>'dynamic scaling metrics'!EA39</f>
        <v>66.85526315789474</v>
      </c>
      <c r="W41" s="53">
        <f>'dynamic scaling metrics'!EB39</f>
        <v>56.855263157894733</v>
      </c>
      <c r="X41" s="53">
        <f>'dynamic scaling metrics'!EC39</f>
        <v>60.631578947368418</v>
      </c>
      <c r="Y41" s="53">
        <f>'dynamic scaling metrics'!ED39</f>
        <v>52.513157894736842</v>
      </c>
      <c r="Z41" s="63">
        <f>'dynamic scaling metrics'!EE39</f>
        <v>52.381578947368418</v>
      </c>
      <c r="AA41" s="58"/>
      <c r="AB41" s="54"/>
      <c r="AC41" s="56"/>
      <c r="AD41" s="53"/>
      <c r="AE41" s="53"/>
      <c r="AF41" s="53"/>
      <c r="AG41" s="53"/>
      <c r="AH41" s="53"/>
      <c r="AI41" s="53"/>
      <c r="AK41" s="75" t="str">
        <f t="shared" ref="AK41" si="10">Q37</f>
        <v>M1no6</v>
      </c>
    </row>
    <row r="42" spans="17:43" ht="31.95" customHeight="1" thickBot="1" x14ac:dyDescent="0.45">
      <c r="R42" s="25">
        <v>0.625</v>
      </c>
      <c r="S42" s="64">
        <f>'dynamic scaling metrics'!EF39</f>
        <v>47.460526315789473</v>
      </c>
      <c r="T42" s="65">
        <f>'dynamic scaling metrics'!EG39</f>
        <v>63.815789473684212</v>
      </c>
      <c r="U42" s="65">
        <f>'dynamic scaling metrics'!EH39</f>
        <v>62.526315789473699</v>
      </c>
      <c r="V42" s="65">
        <f>'dynamic scaling metrics'!EI39</f>
        <v>60.901315789473692</v>
      </c>
      <c r="W42" s="65">
        <f>'dynamic scaling metrics'!EJ39</f>
        <v>52.447368421052644</v>
      </c>
      <c r="X42" s="65">
        <f>'dynamic scaling metrics'!EK39</f>
        <v>56.421052631578952</v>
      </c>
      <c r="Y42" s="65">
        <f>'dynamic scaling metrics'!EL39</f>
        <v>49.289473684210535</v>
      </c>
      <c r="Z42" s="66">
        <f>'dynamic scaling metrics'!EM39</f>
        <v>50.375</v>
      </c>
      <c r="AA42" s="58"/>
      <c r="AB42">
        <v>0</v>
      </c>
      <c r="AC42" s="25">
        <v>0.125</v>
      </c>
      <c r="AD42" s="26">
        <v>0.25</v>
      </c>
      <c r="AE42" s="25">
        <v>0.375</v>
      </c>
      <c r="AF42" s="26">
        <v>0.5</v>
      </c>
      <c r="AG42" s="25">
        <v>0.625</v>
      </c>
      <c r="AH42" s="26">
        <v>0.75</v>
      </c>
      <c r="AI42" s="25">
        <v>0.875</v>
      </c>
      <c r="AK42" s="76" t="s">
        <v>107</v>
      </c>
      <c r="AL42">
        <f t="shared" ref="AL42" si="11">AVERAGE(U41:X42,AD43:AG43)</f>
        <v>58.07401315789474</v>
      </c>
      <c r="AN42" s="84"/>
      <c r="AQ42" s="84"/>
    </row>
    <row r="43" spans="17:43" ht="31.95" customHeight="1" x14ac:dyDescent="0.4">
      <c r="Q43" t="s">
        <v>16</v>
      </c>
      <c r="R43">
        <v>0</v>
      </c>
      <c r="S43" s="59">
        <f>'dynamic scaling metrics'!CS45</f>
        <v>100</v>
      </c>
      <c r="T43" s="60">
        <f>'dynamic scaling metrics'!CT45</f>
        <v>95.858974358974379</v>
      </c>
      <c r="U43" s="60">
        <f>'dynamic scaling metrics'!CU45</f>
        <v>90.910256410256423</v>
      </c>
      <c r="V43" s="60">
        <f>'dynamic scaling metrics'!CV45</f>
        <v>74.884615384615387</v>
      </c>
      <c r="W43" s="60">
        <f>'dynamic scaling metrics'!CW45</f>
        <v>78.051282051282072</v>
      </c>
      <c r="X43" s="60">
        <f>'dynamic scaling metrics'!CX45</f>
        <v>66.038461538461547</v>
      </c>
      <c r="Y43" s="60">
        <f>'dynamic scaling metrics'!CY45</f>
        <v>61.42307692307692</v>
      </c>
      <c r="Z43" s="61">
        <f>'dynamic scaling metrics'!CZ45</f>
        <v>51.628205128205131</v>
      </c>
      <c r="AA43" s="67">
        <f t="shared" ref="AA43:AA44" si="12">AA37</f>
        <v>0.75</v>
      </c>
      <c r="AB43" s="57">
        <f>'dynamic scaling metrics'!EN39</f>
        <v>46.736842105263158</v>
      </c>
      <c r="AC43" s="57">
        <f>'dynamic scaling metrics'!EO39</f>
        <v>56.578947368421048</v>
      </c>
      <c r="AD43" s="57">
        <f>'dynamic scaling metrics'!EP39</f>
        <v>55.881578947368411</v>
      </c>
      <c r="AE43" s="57">
        <f>'dynamic scaling metrics'!EQ39</f>
        <v>54.947368421052637</v>
      </c>
      <c r="AF43" s="57">
        <f>'dynamic scaling metrics'!ER39</f>
        <v>48.039473684210527</v>
      </c>
      <c r="AG43" s="57">
        <f>'dynamic scaling metrics'!ES39</f>
        <v>52.210526315789473</v>
      </c>
      <c r="AH43" s="57">
        <f>'dynamic scaling metrics'!ET39</f>
        <v>46.065789473684205</v>
      </c>
      <c r="AI43" s="57">
        <f>'dynamic scaling metrics'!EU39</f>
        <v>48.368421052631582</v>
      </c>
      <c r="AK43" s="27"/>
    </row>
    <row r="44" spans="17:43" ht="31.95" customHeight="1" x14ac:dyDescent="0.4">
      <c r="Q44" t="s">
        <v>95</v>
      </c>
      <c r="R44" s="25">
        <v>0.125</v>
      </c>
      <c r="S44" s="62">
        <f>'dynamic scaling metrics'!DA45</f>
        <v>95.192307692307708</v>
      </c>
      <c r="T44" s="53">
        <f>'dynamic scaling metrics'!DB45</f>
        <v>91.568910256410277</v>
      </c>
      <c r="U44" s="53">
        <f>'dynamic scaling metrics'!DC45</f>
        <v>87.238782051282087</v>
      </c>
      <c r="V44" s="53">
        <f>'dynamic scaling metrics'!DD45</f>
        <v>72.447115384615401</v>
      </c>
      <c r="W44" s="53">
        <f>'dynamic scaling metrics'!DE45</f>
        <v>75.987179487179517</v>
      </c>
      <c r="X44" s="53">
        <f>'dynamic scaling metrics'!DF45</f>
        <v>64.706730769230788</v>
      </c>
      <c r="Y44" s="53">
        <f>'dynamic scaling metrics'!DG45</f>
        <v>61.437500000000007</v>
      </c>
      <c r="Z44" s="63">
        <f>'dynamic scaling metrics'!DH45</f>
        <v>52.866987179487182</v>
      </c>
      <c r="AA44" s="68">
        <f t="shared" si="12"/>
        <v>0.875</v>
      </c>
      <c r="AB44" s="57">
        <f>'dynamic scaling metrics'!EV39</f>
        <v>46.01315789473685</v>
      </c>
      <c r="AC44" s="57">
        <f>'dynamic scaling metrics'!EW39</f>
        <v>49.34210526315789</v>
      </c>
      <c r="AD44" s="57">
        <f>'dynamic scaling metrics'!EX39</f>
        <v>49.23684210526315</v>
      </c>
      <c r="AE44" s="57">
        <f>'dynamic scaling metrics'!EY39</f>
        <v>48.993421052631582</v>
      </c>
      <c r="AF44" s="57">
        <f>'dynamic scaling metrics'!EZ39</f>
        <v>43.631578947368411</v>
      </c>
      <c r="AG44" s="57">
        <f>'dynamic scaling metrics'!FA39</f>
        <v>47.999999999999993</v>
      </c>
      <c r="AH44" s="57">
        <f>'dynamic scaling metrics'!FB39</f>
        <v>42.84210526315789</v>
      </c>
      <c r="AI44" s="57">
        <f>'dynamic scaling metrics'!FC39</f>
        <v>46.361842105263165</v>
      </c>
      <c r="AK44" s="27"/>
    </row>
    <row r="45" spans="17:43" ht="31.95" customHeight="1" x14ac:dyDescent="0.4">
      <c r="R45" s="26">
        <v>0.25</v>
      </c>
      <c r="S45" s="62">
        <f>'dynamic scaling metrics'!DI45</f>
        <v>90.384615384615387</v>
      </c>
      <c r="T45" s="53">
        <f>'dynamic scaling metrics'!DJ45</f>
        <v>87.278846153846146</v>
      </c>
      <c r="U45" s="53">
        <f>'dynamic scaling metrics'!DK45</f>
        <v>83.567307692307693</v>
      </c>
      <c r="V45" s="53">
        <f>'dynamic scaling metrics'!DL45</f>
        <v>70.009615384615387</v>
      </c>
      <c r="W45" s="53">
        <f>'dynamic scaling metrics'!DM45</f>
        <v>73.92307692307692</v>
      </c>
      <c r="X45" s="53">
        <f>'dynamic scaling metrics'!DN45</f>
        <v>63.375000000000007</v>
      </c>
      <c r="Y45" s="53">
        <f>'dynamic scaling metrics'!DO45</f>
        <v>61.451923076923087</v>
      </c>
      <c r="Z45" s="63">
        <f>'dynamic scaling metrics'!DP45</f>
        <v>54.105769230769241</v>
      </c>
      <c r="AA45" s="58"/>
      <c r="AB45" s="54"/>
      <c r="AC45" s="56"/>
      <c r="AD45" s="53"/>
      <c r="AE45" s="53"/>
      <c r="AF45" s="53"/>
      <c r="AG45" s="53"/>
      <c r="AH45" s="53"/>
      <c r="AI45" s="53"/>
      <c r="AK45" s="27"/>
    </row>
    <row r="46" spans="17:43" ht="31.95" customHeight="1" x14ac:dyDescent="0.4">
      <c r="R46" s="25">
        <v>0.375</v>
      </c>
      <c r="S46" s="62">
        <f>'dynamic scaling metrics'!DQ45</f>
        <v>85.576923076923094</v>
      </c>
      <c r="T46" s="53">
        <f>'dynamic scaling metrics'!DR45</f>
        <v>82.988782051282072</v>
      </c>
      <c r="U46" s="53">
        <f>'dynamic scaling metrics'!DS45</f>
        <v>79.895833333333343</v>
      </c>
      <c r="V46" s="53">
        <f>'dynamic scaling metrics'!DT45</f>
        <v>67.572115384615401</v>
      </c>
      <c r="W46" s="53">
        <f>'dynamic scaling metrics'!DU45</f>
        <v>71.858974358974365</v>
      </c>
      <c r="X46" s="53">
        <f>'dynamic scaling metrics'!DV45</f>
        <v>62.043269230769248</v>
      </c>
      <c r="Y46" s="53">
        <f>'dynamic scaling metrics'!DW45</f>
        <v>61.466346153846175</v>
      </c>
      <c r="Z46" s="63">
        <f>'dynamic scaling metrics'!DX45</f>
        <v>55.344551282051292</v>
      </c>
      <c r="AA46" s="58"/>
      <c r="AB46" s="54"/>
      <c r="AC46" s="55"/>
      <c r="AD46" s="53"/>
      <c r="AE46" s="53"/>
      <c r="AF46" s="53"/>
      <c r="AG46" s="53"/>
      <c r="AH46" s="53"/>
      <c r="AI46" s="53"/>
      <c r="AK46" s="27"/>
    </row>
    <row r="47" spans="17:43" ht="31.95" customHeight="1" x14ac:dyDescent="0.4">
      <c r="R47" s="26">
        <v>0.5</v>
      </c>
      <c r="S47" s="62">
        <f>'dynamic scaling metrics'!DX45</f>
        <v>55.344551282051292</v>
      </c>
      <c r="T47" s="53">
        <f>'dynamic scaling metrics'!DY45</f>
        <v>80.769230769230774</v>
      </c>
      <c r="U47" s="53">
        <f>'dynamic scaling metrics'!DZ45</f>
        <v>78.698717948717956</v>
      </c>
      <c r="V47" s="53">
        <f>'dynamic scaling metrics'!EA45</f>
        <v>76.224358974358978</v>
      </c>
      <c r="W47" s="53">
        <f>'dynamic scaling metrics'!EB45</f>
        <v>65.134615384615401</v>
      </c>
      <c r="X47" s="53">
        <f>'dynamic scaling metrics'!EC45</f>
        <v>69.79487179487181</v>
      </c>
      <c r="Y47" s="53">
        <f>'dynamic scaling metrics'!ED45</f>
        <v>60.711538461538474</v>
      </c>
      <c r="Z47" s="63">
        <f>'dynamic scaling metrics'!EE45</f>
        <v>61.480769230769234</v>
      </c>
      <c r="AA47" s="58"/>
      <c r="AB47" s="54"/>
      <c r="AC47" s="56"/>
      <c r="AD47" s="53"/>
      <c r="AE47" s="53"/>
      <c r="AF47" s="53"/>
      <c r="AG47" s="53"/>
      <c r="AH47" s="53"/>
      <c r="AI47" s="53"/>
      <c r="AK47" s="27" t="str">
        <f t="shared" ref="AK47" si="13">Q43</f>
        <v>M1no7</v>
      </c>
    </row>
    <row r="48" spans="17:43" ht="31.95" customHeight="1" thickBot="1" x14ac:dyDescent="0.45">
      <c r="R48" s="25">
        <v>0.625</v>
      </c>
      <c r="S48" s="64">
        <f>'dynamic scaling metrics'!EF45</f>
        <v>56.583333333333336</v>
      </c>
      <c r="T48" s="65">
        <f>'dynamic scaling metrics'!EG45</f>
        <v>75.961538461538467</v>
      </c>
      <c r="U48" s="65">
        <f>'dynamic scaling metrics'!EH45</f>
        <v>74.40865384615384</v>
      </c>
      <c r="V48" s="65">
        <f>'dynamic scaling metrics'!EI45</f>
        <v>72.552884615384627</v>
      </c>
      <c r="W48" s="65">
        <f>'dynamic scaling metrics'!EJ45</f>
        <v>62.697115384615394</v>
      </c>
      <c r="X48" s="65">
        <f>'dynamic scaling metrics'!EK45</f>
        <v>67.730769230769241</v>
      </c>
      <c r="Y48" s="65">
        <f>'dynamic scaling metrics'!EL45</f>
        <v>59.379807692307701</v>
      </c>
      <c r="Z48" s="66">
        <f>'dynamic scaling metrics'!EM45</f>
        <v>61.495192307692314</v>
      </c>
      <c r="AA48" s="58"/>
      <c r="AB48">
        <v>0</v>
      </c>
      <c r="AC48" s="25">
        <v>0.125</v>
      </c>
      <c r="AD48" s="26">
        <v>0.25</v>
      </c>
      <c r="AE48" s="25">
        <v>0.375</v>
      </c>
      <c r="AF48" s="26">
        <v>0.5</v>
      </c>
      <c r="AG48" s="25">
        <v>0.625</v>
      </c>
      <c r="AH48" s="26">
        <v>0.75</v>
      </c>
      <c r="AI48" s="25">
        <v>0.875</v>
      </c>
      <c r="AK48" s="74" t="s">
        <v>107</v>
      </c>
      <c r="AL48">
        <f t="shared" ref="AL48" si="14">AVERAGE(U47:X48,AD49:AG49)</f>
        <v>69.347355769230774</v>
      </c>
      <c r="AN48" s="84"/>
      <c r="AQ48" s="84"/>
    </row>
    <row r="49" spans="3:49" ht="31.95" customHeight="1" x14ac:dyDescent="0.4">
      <c r="Q49" t="s">
        <v>17</v>
      </c>
      <c r="R49">
        <v>0</v>
      </c>
      <c r="S49" s="59">
        <f>'dynamic scaling metrics'!CS51</f>
        <v>100</v>
      </c>
      <c r="T49" s="60">
        <f>'dynamic scaling metrics'!CT51</f>
        <v>95.858974358974379</v>
      </c>
      <c r="U49" s="60">
        <f>'dynamic scaling metrics'!CU51</f>
        <v>90.910256410256423</v>
      </c>
      <c r="V49" s="60">
        <f>'dynamic scaling metrics'!CV51</f>
        <v>74.884615384615387</v>
      </c>
      <c r="W49" s="60">
        <f>'dynamic scaling metrics'!CW51</f>
        <v>78.051282051282072</v>
      </c>
      <c r="X49" s="60">
        <f>'dynamic scaling metrics'!CX51</f>
        <v>66.038461538461547</v>
      </c>
      <c r="Y49" s="60">
        <f>'dynamic scaling metrics'!CY51</f>
        <v>61.42307692307692</v>
      </c>
      <c r="Z49" s="61">
        <f>'dynamic scaling metrics'!CZ51</f>
        <v>51.628205128205131</v>
      </c>
      <c r="AA49" s="67">
        <f t="shared" ref="AA49:AA50" si="15">AA43</f>
        <v>0.75</v>
      </c>
      <c r="AB49" s="57">
        <f>'dynamic scaling metrics'!EN45</f>
        <v>57.822115384615387</v>
      </c>
      <c r="AC49" s="57">
        <f>'dynamic scaling metrics'!EO45</f>
        <v>71.153846153846175</v>
      </c>
      <c r="AD49" s="57">
        <f>'dynamic scaling metrics'!EP45</f>
        <v>70.118589743589752</v>
      </c>
      <c r="AE49" s="57">
        <f>'dynamic scaling metrics'!EQ45</f>
        <v>68.881410256410263</v>
      </c>
      <c r="AF49" s="57">
        <f>'dynamic scaling metrics'!ER45</f>
        <v>60.259615384615387</v>
      </c>
      <c r="AG49" s="57">
        <f>'dynamic scaling metrics'!ES45</f>
        <v>65.666666666666686</v>
      </c>
      <c r="AH49" s="57">
        <f>'dynamic scaling metrics'!ET45</f>
        <v>58.048076923076941</v>
      </c>
      <c r="AI49" s="57">
        <f>'dynamic scaling metrics'!EU45</f>
        <v>61.509615384615401</v>
      </c>
      <c r="AK49" s="27"/>
    </row>
    <row r="50" spans="3:49" ht="31.95" customHeight="1" x14ac:dyDescent="0.4">
      <c r="Q50" t="s">
        <v>95</v>
      </c>
      <c r="R50" s="25">
        <v>0.125</v>
      </c>
      <c r="S50" s="62">
        <f>'dynamic scaling metrics'!DA51</f>
        <v>92.94871794871797</v>
      </c>
      <c r="T50" s="53">
        <f>'dynamic scaling metrics'!DB51</f>
        <v>89.384615384615401</v>
      </c>
      <c r="U50" s="53">
        <f>'dynamic scaling metrics'!DC51</f>
        <v>85.108974358974365</v>
      </c>
      <c r="V50" s="53">
        <f>'dynamic scaling metrics'!DD51</f>
        <v>70.589743589743605</v>
      </c>
      <c r="W50" s="53">
        <f>'dynamic scaling metrics'!DE51</f>
        <v>73.94871794871797</v>
      </c>
      <c r="X50" s="53">
        <f>'dynamic scaling metrics'!DF51</f>
        <v>62.897435897435912</v>
      </c>
      <c r="Y50" s="53">
        <f>'dynamic scaling metrics'!DG51</f>
        <v>59.46794871794873</v>
      </c>
      <c r="Z50" s="63">
        <f>'dynamic scaling metrics'!DH51</f>
        <v>50.923076923076941</v>
      </c>
      <c r="AA50" s="68">
        <f t="shared" si="15"/>
        <v>0.875</v>
      </c>
      <c r="AB50" s="57">
        <f>'dynamic scaling metrics'!EV45</f>
        <v>59.060897435897452</v>
      </c>
      <c r="AC50" s="57">
        <f>'dynamic scaling metrics'!EW45</f>
        <v>66.346153846153854</v>
      </c>
      <c r="AD50" s="57">
        <f>'dynamic scaling metrics'!EX45</f>
        <v>65.828525641025649</v>
      </c>
      <c r="AE50" s="57">
        <f>'dynamic scaling metrics'!EY45</f>
        <v>65.209935897435912</v>
      </c>
      <c r="AF50" s="57">
        <f>'dynamic scaling metrics'!EZ45</f>
        <v>57.822115384615387</v>
      </c>
      <c r="AG50" s="57">
        <f>'dynamic scaling metrics'!FA45</f>
        <v>63.602564102564109</v>
      </c>
      <c r="AH50" s="57">
        <f>'dynamic scaling metrics'!FB45</f>
        <v>56.716346153846168</v>
      </c>
      <c r="AI50" s="57">
        <f>'dynamic scaling metrics'!FC45</f>
        <v>61.524038461538467</v>
      </c>
      <c r="AK50" s="27"/>
    </row>
    <row r="51" spans="3:49" ht="31.95" customHeight="1" x14ac:dyDescent="0.4">
      <c r="R51" s="26">
        <v>0.25</v>
      </c>
      <c r="S51" s="62">
        <f>'dynamic scaling metrics'!DI51</f>
        <v>85.897435897435912</v>
      </c>
      <c r="T51" s="53">
        <f>'dynamic scaling metrics'!DJ51</f>
        <v>82.910256410256409</v>
      </c>
      <c r="U51" s="53">
        <f>'dynamic scaling metrics'!DK51</f>
        <v>79.307692307692321</v>
      </c>
      <c r="V51" s="53">
        <f>'dynamic scaling metrics'!DL51</f>
        <v>66.29487179487181</v>
      </c>
      <c r="W51" s="53">
        <f>'dynamic scaling metrics'!DM51</f>
        <v>69.846153846153854</v>
      </c>
      <c r="X51" s="53">
        <f>'dynamic scaling metrics'!DN51</f>
        <v>59.756410256410255</v>
      </c>
      <c r="Y51" s="53">
        <f>'dynamic scaling metrics'!DO51</f>
        <v>57.512820512820518</v>
      </c>
      <c r="Z51" s="63">
        <f>'dynamic scaling metrics'!DP51</f>
        <v>50.217948717948715</v>
      </c>
      <c r="AA51" s="58"/>
      <c r="AB51" s="54"/>
      <c r="AC51" s="56"/>
      <c r="AD51" s="53"/>
      <c r="AE51" s="53"/>
      <c r="AF51" s="53"/>
      <c r="AG51" s="53"/>
      <c r="AH51" s="53"/>
      <c r="AI51" s="53"/>
      <c r="AK51" s="27"/>
    </row>
    <row r="52" spans="3:49" ht="31.95" customHeight="1" x14ac:dyDescent="0.4">
      <c r="R52" s="25">
        <v>0.375</v>
      </c>
      <c r="S52" s="62">
        <f>'dynamic scaling metrics'!DQ51</f>
        <v>78.84615384615384</v>
      </c>
      <c r="T52" s="53">
        <f>'dynamic scaling metrics'!DR51</f>
        <v>76.435897435897431</v>
      </c>
      <c r="U52" s="53">
        <f>'dynamic scaling metrics'!DS51</f>
        <v>73.506410256410248</v>
      </c>
      <c r="V52" s="53">
        <f>'dynamic scaling metrics'!DT51</f>
        <v>62</v>
      </c>
      <c r="W52" s="53">
        <f>'dynamic scaling metrics'!DU51</f>
        <v>65.743589743589766</v>
      </c>
      <c r="X52" s="53">
        <f>'dynamic scaling metrics'!DV51</f>
        <v>56.61538461538462</v>
      </c>
      <c r="Y52" s="53">
        <f>'dynamic scaling metrics'!DW51</f>
        <v>55.557692307692314</v>
      </c>
      <c r="Z52" s="63">
        <f>'dynamic scaling metrics'!DX51</f>
        <v>49.512820512820518</v>
      </c>
      <c r="AA52" s="58"/>
      <c r="AB52" s="54"/>
      <c r="AC52" s="55"/>
      <c r="AD52" s="53"/>
      <c r="AE52" s="53"/>
      <c r="AF52" s="53"/>
      <c r="AG52" s="53"/>
      <c r="AH52" s="53"/>
      <c r="AI52" s="53"/>
      <c r="AK52" s="27"/>
    </row>
    <row r="53" spans="3:49" ht="31.95" customHeight="1" x14ac:dyDescent="0.4">
      <c r="R53" s="26">
        <v>0.5</v>
      </c>
      <c r="S53" s="62">
        <f>'dynamic scaling metrics'!DX51</f>
        <v>49.512820512820518</v>
      </c>
      <c r="T53" s="53">
        <f>'dynamic scaling metrics'!DY51</f>
        <v>71.794871794871796</v>
      </c>
      <c r="U53" s="53">
        <f>'dynamic scaling metrics'!DZ51</f>
        <v>69.961538461538467</v>
      </c>
      <c r="V53" s="53">
        <f>'dynamic scaling metrics'!EA51</f>
        <v>67.705128205128204</v>
      </c>
      <c r="W53" s="53">
        <f>'dynamic scaling metrics'!EB51</f>
        <v>57.705128205128204</v>
      </c>
      <c r="X53" s="53">
        <f>'dynamic scaling metrics'!EC51</f>
        <v>61.641025641025642</v>
      </c>
      <c r="Y53" s="53">
        <f>'dynamic scaling metrics'!ED51</f>
        <v>53.474358974358978</v>
      </c>
      <c r="Z53" s="63">
        <f>'dynamic scaling metrics'!EE51</f>
        <v>53.602564102564109</v>
      </c>
      <c r="AA53" s="58"/>
      <c r="AB53" s="54"/>
      <c r="AC53" s="56"/>
      <c r="AD53" s="53"/>
      <c r="AE53" s="53"/>
      <c r="AF53" s="53"/>
      <c r="AG53" s="53"/>
      <c r="AH53" s="53"/>
      <c r="AI53" s="53"/>
      <c r="AK53" s="27" t="str">
        <f t="shared" ref="AK53" si="16">Q49</f>
        <v>M1no8</v>
      </c>
    </row>
    <row r="54" spans="3:49" ht="31.95" customHeight="1" thickBot="1" x14ac:dyDescent="0.45">
      <c r="R54" s="25">
        <v>0.625</v>
      </c>
      <c r="S54" s="64">
        <f>'dynamic scaling metrics'!EF51</f>
        <v>48.807692307692314</v>
      </c>
      <c r="T54" s="65">
        <f>'dynamic scaling metrics'!EG51</f>
        <v>64.743589743589752</v>
      </c>
      <c r="U54" s="65">
        <f>'dynamic scaling metrics'!EH51</f>
        <v>63.487179487179496</v>
      </c>
      <c r="V54" s="65">
        <f>'dynamic scaling metrics'!EI51</f>
        <v>61.90384615384616</v>
      </c>
      <c r="W54" s="65">
        <f>'dynamic scaling metrics'!EJ51</f>
        <v>53.410256410256423</v>
      </c>
      <c r="X54" s="65">
        <f>'dynamic scaling metrics'!EK51</f>
        <v>57.538461538461547</v>
      </c>
      <c r="Y54" s="65">
        <f>'dynamic scaling metrics'!EL51</f>
        <v>50.333333333333343</v>
      </c>
      <c r="Z54" s="66">
        <f>'dynamic scaling metrics'!EM51</f>
        <v>51.647435897435905</v>
      </c>
      <c r="AA54" s="58"/>
      <c r="AB54">
        <v>0</v>
      </c>
      <c r="AC54" s="25">
        <v>0.125</v>
      </c>
      <c r="AD54" s="26">
        <v>0.25</v>
      </c>
      <c r="AE54" s="25">
        <v>0.375</v>
      </c>
      <c r="AF54" s="26">
        <v>0.5</v>
      </c>
      <c r="AG54" s="25">
        <v>0.625</v>
      </c>
      <c r="AH54" s="26">
        <v>0.75</v>
      </c>
      <c r="AI54" s="25">
        <v>0.875</v>
      </c>
      <c r="AK54" s="74" t="s">
        <v>107</v>
      </c>
      <c r="AL54">
        <f t="shared" ref="AL54" si="17">AVERAGE(U53:X54,AD55:AG55)</f>
        <v>59.084935897435905</v>
      </c>
      <c r="AN54" s="84"/>
      <c r="AQ54" s="84"/>
    </row>
    <row r="55" spans="3:49" ht="31.95" customHeight="1" x14ac:dyDescent="0.4">
      <c r="Q55" t="s">
        <v>18</v>
      </c>
      <c r="R55">
        <v>0</v>
      </c>
      <c r="S55" s="59">
        <f>'dynamic scaling metrics'!CS57</f>
        <v>100</v>
      </c>
      <c r="T55" s="60">
        <f>'dynamic scaling metrics'!CT57</f>
        <v>96.424999999999969</v>
      </c>
      <c r="U55" s="60">
        <f>'dynamic scaling metrics'!CU57</f>
        <v>92.025000000000006</v>
      </c>
      <c r="V55" s="60">
        <f>'dynamic scaling metrics'!CV57</f>
        <v>76.525000000000006</v>
      </c>
      <c r="W55" s="60">
        <f>'dynamic scaling metrics'!CW57</f>
        <v>80.199999999999989</v>
      </c>
      <c r="X55" s="60">
        <f>'dynamic scaling metrics'!CX57</f>
        <v>68.274999999999991</v>
      </c>
      <c r="Y55" s="60">
        <f>'dynamic scaling metrics'!CY57</f>
        <v>64.525000000000006</v>
      </c>
      <c r="Z55" s="61">
        <f>'dynamic scaling metrics'!CZ57</f>
        <v>55.174999999999997</v>
      </c>
      <c r="AA55" s="67">
        <f t="shared" ref="AA55:AA56" si="18">AA49</f>
        <v>0.75</v>
      </c>
      <c r="AB55" s="57">
        <f>'dynamic scaling metrics'!EN51</f>
        <v>48.102564102564102</v>
      </c>
      <c r="AC55" s="57">
        <f>'dynamic scaling metrics'!EO51</f>
        <v>57.692307692307701</v>
      </c>
      <c r="AD55" s="57">
        <f>'dynamic scaling metrics'!EP51</f>
        <v>57.012820512820511</v>
      </c>
      <c r="AE55" s="57">
        <f>'dynamic scaling metrics'!EQ51</f>
        <v>56.102564102564095</v>
      </c>
      <c r="AF55" s="57">
        <f>'dynamic scaling metrics'!ER51</f>
        <v>49.115384615384613</v>
      </c>
      <c r="AG55" s="57">
        <f>'dynamic scaling metrics'!ES51</f>
        <v>53.435897435897445</v>
      </c>
      <c r="AH55" s="57">
        <f>'dynamic scaling metrics'!ET51</f>
        <v>47.192307692307686</v>
      </c>
      <c r="AI55" s="57">
        <f>'dynamic scaling metrics'!EU51</f>
        <v>49.692307692307686</v>
      </c>
      <c r="AK55" s="27"/>
    </row>
    <row r="56" spans="3:49" ht="31.95" customHeight="1" x14ac:dyDescent="0.4">
      <c r="Q56" t="s">
        <v>95</v>
      </c>
      <c r="R56" s="25">
        <v>0.125</v>
      </c>
      <c r="S56" s="62">
        <f>'dynamic scaling metrics'!DA57</f>
        <v>93.437500000000014</v>
      </c>
      <c r="T56" s="53">
        <f>'dynamic scaling metrics'!DB57</f>
        <v>90.3671875</v>
      </c>
      <c r="U56" s="53">
        <f>'dynamic scaling metrics'!DC57</f>
        <v>86.570312500000028</v>
      </c>
      <c r="V56" s="53">
        <f>'dynamic scaling metrics'!DD57</f>
        <v>72.4609375</v>
      </c>
      <c r="W56" s="53">
        <f>'dynamic scaling metrics'!DE57</f>
        <v>76.3125</v>
      </c>
      <c r="X56" s="53">
        <f>'dynamic scaling metrics'!DF57</f>
        <v>65.2890625</v>
      </c>
      <c r="Y56" s="53">
        <f>'dynamic scaling metrics'!DG57</f>
        <v>62.664062500000007</v>
      </c>
      <c r="Z56" s="63">
        <f>'dynamic scaling metrics'!DH57</f>
        <v>54.507812499999993</v>
      </c>
      <c r="AA56" s="68">
        <f t="shared" si="18"/>
        <v>0.875</v>
      </c>
      <c r="AB56" s="57">
        <f>'dynamic scaling metrics'!EV51</f>
        <v>47.397435897435898</v>
      </c>
      <c r="AC56" s="57">
        <f>'dynamic scaling metrics'!EW51</f>
        <v>50.641025641025642</v>
      </c>
      <c r="AD56" s="57">
        <f>'dynamic scaling metrics'!EX51</f>
        <v>50.53846153846154</v>
      </c>
      <c r="AE56" s="57">
        <f>'dynamic scaling metrics'!EY51</f>
        <v>50.301282051282058</v>
      </c>
      <c r="AF56" s="57">
        <f>'dynamic scaling metrics'!EZ51</f>
        <v>44.820512820512832</v>
      </c>
      <c r="AG56" s="57">
        <f>'dynamic scaling metrics'!FA51</f>
        <v>49.333333333333336</v>
      </c>
      <c r="AH56" s="57">
        <f>'dynamic scaling metrics'!FB51</f>
        <v>44.051282051282058</v>
      </c>
      <c r="AI56" s="57">
        <f>'dynamic scaling metrics'!FC51</f>
        <v>47.737179487179496</v>
      </c>
      <c r="AK56" s="27"/>
    </row>
    <row r="57" spans="3:49" ht="31.95" customHeight="1" x14ac:dyDescent="0.4">
      <c r="R57" s="26">
        <v>0.25</v>
      </c>
      <c r="S57" s="62">
        <f>'dynamic scaling metrics'!DI57</f>
        <v>86.874999999999986</v>
      </c>
      <c r="T57" s="53">
        <f>'dynamic scaling metrics'!DJ57</f>
        <v>84.309374999999989</v>
      </c>
      <c r="U57" s="53">
        <f>'dynamic scaling metrics'!DK57</f>
        <v>81.11562499999998</v>
      </c>
      <c r="V57" s="53">
        <f>'dynamic scaling metrics'!DL57</f>
        <v>68.396874999999994</v>
      </c>
      <c r="W57" s="53">
        <f>'dynamic scaling metrics'!DM57</f>
        <v>72.424999999999983</v>
      </c>
      <c r="X57" s="53">
        <f>'dynamic scaling metrics'!DN57</f>
        <v>62.303125000000001</v>
      </c>
      <c r="Y57" s="53">
        <f>'dynamic scaling metrics'!DO57</f>
        <v>60.803124999999987</v>
      </c>
      <c r="Z57" s="63">
        <f>'dynamic scaling metrics'!DP57</f>
        <v>53.840624999999996</v>
      </c>
      <c r="AA57" s="58"/>
      <c r="AB57" s="54"/>
      <c r="AC57" s="56"/>
      <c r="AD57" s="53"/>
      <c r="AE57" s="53"/>
      <c r="AF57" s="53"/>
      <c r="AG57" s="53"/>
      <c r="AH57" s="53"/>
      <c r="AI57" s="53"/>
      <c r="AK57" s="27"/>
    </row>
    <row r="58" spans="3:49" ht="31.95" customHeight="1" x14ac:dyDescent="0.4">
      <c r="R58" s="25">
        <v>0.375</v>
      </c>
      <c r="S58" s="62">
        <f>'dynamic scaling metrics'!DQ57</f>
        <v>80.3125</v>
      </c>
      <c r="T58" s="53">
        <f>'dynamic scaling metrics'!DR57</f>
        <v>78.251562500000006</v>
      </c>
      <c r="U58" s="53">
        <f>'dynamic scaling metrics'!DS57</f>
        <v>75.660937500000003</v>
      </c>
      <c r="V58" s="53">
        <f>'dynamic scaling metrics'!DT57</f>
        <v>64.332812500000003</v>
      </c>
      <c r="W58" s="53">
        <f>'dynamic scaling metrics'!DU57</f>
        <v>68.537500000000009</v>
      </c>
      <c r="X58" s="53">
        <f>'dynamic scaling metrics'!DV57</f>
        <v>59.317187500000003</v>
      </c>
      <c r="Y58" s="53">
        <f>'dynamic scaling metrics'!DW57</f>
        <v>58.942187500000003</v>
      </c>
      <c r="Z58" s="63">
        <f>'dynamic scaling metrics'!DX57</f>
        <v>53.173437499999999</v>
      </c>
      <c r="AA58" s="58"/>
      <c r="AB58" s="54"/>
      <c r="AC58" s="55"/>
      <c r="AD58" s="53"/>
      <c r="AE58" s="53"/>
      <c r="AF58" s="53"/>
      <c r="AG58" s="53"/>
      <c r="AH58" s="53"/>
      <c r="AI58" s="53"/>
      <c r="AK58" s="27"/>
    </row>
    <row r="59" spans="3:49" ht="31.95" customHeight="1" x14ac:dyDescent="0.4">
      <c r="R59" s="26">
        <v>0.5</v>
      </c>
      <c r="S59" s="62">
        <f>'dynamic scaling metrics'!DX57</f>
        <v>53.173437499999999</v>
      </c>
      <c r="T59" s="53">
        <f>'dynamic scaling metrics'!DY57</f>
        <v>73.749999999999986</v>
      </c>
      <c r="U59" s="53">
        <f>'dynamic scaling metrics'!DZ57</f>
        <v>72.19374999999998</v>
      </c>
      <c r="V59" s="53">
        <f>'dynamic scaling metrics'!EA57</f>
        <v>70.206249999999997</v>
      </c>
      <c r="W59" s="53">
        <f>'dynamic scaling metrics'!EB57</f>
        <v>60.26874999999999</v>
      </c>
      <c r="X59" s="53">
        <f>'dynamic scaling metrics'!EC57</f>
        <v>64.650000000000006</v>
      </c>
      <c r="Y59" s="53">
        <f>'dynamic scaling metrics'!ED57</f>
        <v>56.331250000000004</v>
      </c>
      <c r="Z59" s="63">
        <f>'dynamic scaling metrics'!EE57</f>
        <v>57.08124999999999</v>
      </c>
      <c r="AA59" s="58"/>
      <c r="AB59" s="54"/>
      <c r="AC59" s="56"/>
      <c r="AD59" s="53"/>
      <c r="AE59" s="53"/>
      <c r="AF59" s="53"/>
      <c r="AG59" s="53"/>
      <c r="AH59" s="53"/>
      <c r="AI59" s="53"/>
      <c r="AK59" s="27" t="str">
        <f t="shared" ref="AK59" si="19">Q55</f>
        <v>M1no9</v>
      </c>
    </row>
    <row r="60" spans="3:49" s="69" customFormat="1" ht="31.95" customHeight="1" thickBot="1" x14ac:dyDescent="0.45">
      <c r="C60" s="79"/>
      <c r="D60" s="79"/>
      <c r="E60" s="79"/>
      <c r="F60" s="79"/>
      <c r="G60" s="79"/>
      <c r="H60" s="79"/>
      <c r="I60" s="79"/>
      <c r="J60" s="79"/>
      <c r="K60" s="79"/>
      <c r="L60" s="79"/>
      <c r="R60" s="70">
        <v>0.625</v>
      </c>
      <c r="S60" s="64">
        <f>'dynamic scaling metrics'!EF57</f>
        <v>52.506250000000001</v>
      </c>
      <c r="T60" s="65">
        <f>'dynamic scaling metrics'!EG57</f>
        <v>67.187499999999986</v>
      </c>
      <c r="U60" s="65">
        <f>'dynamic scaling metrics'!EH57</f>
        <v>66.135937499999997</v>
      </c>
      <c r="V60" s="65">
        <f>'dynamic scaling metrics'!EI57</f>
        <v>64.751562499999991</v>
      </c>
      <c r="W60" s="65">
        <f>'dynamic scaling metrics'!EJ57</f>
        <v>56.204687499999991</v>
      </c>
      <c r="X60" s="65">
        <f>'dynamic scaling metrics'!EK57</f>
        <v>60.762499999999996</v>
      </c>
      <c r="Y60" s="65">
        <f>'dynamic scaling metrics'!EL57</f>
        <v>53.345312499999999</v>
      </c>
      <c r="Z60" s="66">
        <f>'dynamic scaling metrics'!EM57</f>
        <v>55.220312499999999</v>
      </c>
      <c r="AA60" s="58"/>
      <c r="AB60">
        <v>0</v>
      </c>
      <c r="AC60" s="25">
        <v>0.125</v>
      </c>
      <c r="AD60" s="26">
        <v>0.25</v>
      </c>
      <c r="AE60" s="25">
        <v>0.375</v>
      </c>
      <c r="AF60" s="26">
        <v>0.5</v>
      </c>
      <c r="AG60" s="25">
        <v>0.625</v>
      </c>
      <c r="AH60" s="26">
        <v>0.75</v>
      </c>
      <c r="AI60" s="25">
        <v>0.875</v>
      </c>
      <c r="AK60" s="74" t="s">
        <v>107</v>
      </c>
      <c r="AL60">
        <f t="shared" ref="AL60" si="20">AVERAGE(U59:X60,AD61:AG61)</f>
        <v>61.963671874999996</v>
      </c>
      <c r="AM60"/>
      <c r="AN60" s="84"/>
      <c r="AO60" s="83"/>
      <c r="AP60" s="83"/>
      <c r="AQ60" s="84"/>
      <c r="AR60" s="83"/>
      <c r="AS60" s="83"/>
      <c r="AT60" s="83"/>
      <c r="AW60" s="78"/>
    </row>
    <row r="61" spans="3:49" ht="31.95" customHeight="1" x14ac:dyDescent="0.4">
      <c r="Q61" t="s">
        <v>19</v>
      </c>
      <c r="R61">
        <v>0</v>
      </c>
      <c r="S61" s="59">
        <f>'dynamic scaling metrics'!CS63</f>
        <v>100</v>
      </c>
      <c r="T61" s="60">
        <f>'dynamic scaling metrics'!CT63</f>
        <v>97.437499999999972</v>
      </c>
      <c r="U61" s="60">
        <f>'dynamic scaling metrics'!CU63</f>
        <v>93.5625</v>
      </c>
      <c r="V61" s="60">
        <f>'dynamic scaling metrics'!CV63</f>
        <v>77.937499999999986</v>
      </c>
      <c r="W61" s="60">
        <f>'dynamic scaling metrics'!CW63</f>
        <v>80.999999999999986</v>
      </c>
      <c r="X61" s="60">
        <f>'dynamic scaling metrics'!CX63</f>
        <v>68.5625</v>
      </c>
      <c r="Y61" s="60">
        <f>'dynamic scaling metrics'!CY63</f>
        <v>62.312499999999993</v>
      </c>
      <c r="Z61" s="61">
        <f>'dynamic scaling metrics'!CZ63</f>
        <v>50.5625</v>
      </c>
      <c r="AA61" s="67">
        <f t="shared" ref="AA61:AA62" si="21">AA55</f>
        <v>0.75</v>
      </c>
      <c r="AB61" s="57">
        <f>'dynamic scaling metrics'!EN57</f>
        <v>51.839062499999997</v>
      </c>
      <c r="AC61" s="57">
        <f>'dynamic scaling metrics'!EO57</f>
        <v>60.625</v>
      </c>
      <c r="AD61" s="57">
        <f>'dynamic scaling metrics'!EP57</f>
        <v>60.078125</v>
      </c>
      <c r="AE61" s="57">
        <f>'dynamic scaling metrics'!EQ57</f>
        <v>59.296875000000007</v>
      </c>
      <c r="AF61" s="57">
        <f>'dynamic scaling metrics'!ER57</f>
        <v>52.140625000000007</v>
      </c>
      <c r="AG61" s="57">
        <f>'dynamic scaling metrics'!ES57</f>
        <v>56.874999999999993</v>
      </c>
      <c r="AH61" s="57">
        <f>'dynamic scaling metrics'!ET57</f>
        <v>50.359375</v>
      </c>
      <c r="AI61" s="57">
        <f>'dynamic scaling metrics'!EU57</f>
        <v>53.359375</v>
      </c>
      <c r="AK61" s="27"/>
    </row>
    <row r="62" spans="3:49" ht="31.95" customHeight="1" x14ac:dyDescent="0.4">
      <c r="Q62" t="s">
        <v>95</v>
      </c>
      <c r="R62" s="25">
        <v>0.125</v>
      </c>
      <c r="S62" s="62">
        <f>'dynamic scaling metrics'!DA63</f>
        <v>93.75</v>
      </c>
      <c r="T62" s="53">
        <f>'dynamic scaling metrics'!DB63</f>
        <v>91.652343749999986</v>
      </c>
      <c r="U62" s="53">
        <f>'dynamic scaling metrics'!DC63</f>
        <v>88.39453125</v>
      </c>
      <c r="V62" s="53">
        <f>'dynamic scaling metrics'!DD63</f>
        <v>74.214843750000014</v>
      </c>
      <c r="W62" s="53">
        <f>'dynamic scaling metrics'!DE63</f>
        <v>77.625000000000014</v>
      </c>
      <c r="X62" s="53">
        <f>'dynamic scaling metrics'!DF63</f>
        <v>66.12890625</v>
      </c>
      <c r="Y62" s="53">
        <f>'dynamic scaling metrics'!DG63</f>
        <v>61.441406249999993</v>
      </c>
      <c r="Z62" s="63">
        <f>'dynamic scaling metrics'!DH63</f>
        <v>51.222656249999993</v>
      </c>
      <c r="AA62" s="68">
        <f t="shared" si="21"/>
        <v>0.875</v>
      </c>
      <c r="AB62" s="57">
        <f>'dynamic scaling metrics'!EV57</f>
        <v>51.171875</v>
      </c>
      <c r="AC62" s="57">
        <f>'dynamic scaling metrics'!EW57</f>
        <v>54.0625</v>
      </c>
      <c r="AD62" s="57">
        <f>'dynamic scaling metrics'!EX57</f>
        <v>54.020312500000003</v>
      </c>
      <c r="AE62" s="57">
        <f>'dynamic scaling metrics'!EY57</f>
        <v>53.842187500000009</v>
      </c>
      <c r="AF62" s="57">
        <f>'dynamic scaling metrics'!EZ57</f>
        <v>48.076562500000001</v>
      </c>
      <c r="AG62" s="57">
        <f>'dynamic scaling metrics'!FA57</f>
        <v>52.98749999999999</v>
      </c>
      <c r="AH62" s="57">
        <f>'dynamic scaling metrics'!FB57</f>
        <v>47.373437500000001</v>
      </c>
      <c r="AI62" s="57">
        <f>'dynamic scaling metrics'!FC57</f>
        <v>51.498437500000001</v>
      </c>
      <c r="AK62" s="27"/>
    </row>
    <row r="63" spans="3:49" ht="31.95" customHeight="1" x14ac:dyDescent="0.4">
      <c r="R63" s="26">
        <v>0.25</v>
      </c>
      <c r="S63" s="62">
        <f>'dynamic scaling metrics'!DI63</f>
        <v>87.499999999999986</v>
      </c>
      <c r="T63" s="53">
        <f>'dynamic scaling metrics'!DJ63</f>
        <v>85.867187499999986</v>
      </c>
      <c r="U63" s="53">
        <f>'dynamic scaling metrics'!DK63</f>
        <v>83.2265625</v>
      </c>
      <c r="V63" s="53">
        <f>'dynamic scaling metrics'!DL63</f>
        <v>70.4921875</v>
      </c>
      <c r="W63" s="53">
        <f>'dynamic scaling metrics'!DM63</f>
        <v>74.249999999999986</v>
      </c>
      <c r="X63" s="53">
        <f>'dynamic scaling metrics'!DN63</f>
        <v>63.695312499999993</v>
      </c>
      <c r="Y63" s="53">
        <f>'dynamic scaling metrics'!DO63</f>
        <v>60.570312499999986</v>
      </c>
      <c r="Z63" s="63">
        <f>'dynamic scaling metrics'!DP63</f>
        <v>51.882812499999986</v>
      </c>
      <c r="AA63" s="58"/>
      <c r="AB63" s="54"/>
      <c r="AC63" s="56"/>
      <c r="AD63" s="53"/>
      <c r="AE63" s="53"/>
      <c r="AF63" s="53"/>
      <c r="AG63" s="53"/>
      <c r="AH63" s="53"/>
      <c r="AI63" s="53"/>
      <c r="AK63" s="27"/>
    </row>
    <row r="64" spans="3:49" ht="31.95" customHeight="1" x14ac:dyDescent="0.4">
      <c r="R64" s="25">
        <v>0.375</v>
      </c>
      <c r="S64" s="62">
        <f>'dynamic scaling metrics'!DQ63</f>
        <v>81.249999999999986</v>
      </c>
      <c r="T64" s="53">
        <f>'dynamic scaling metrics'!DR63</f>
        <v>80.082031249999986</v>
      </c>
      <c r="U64" s="53">
        <f>'dynamic scaling metrics'!DS63</f>
        <v>78.05859375</v>
      </c>
      <c r="V64" s="53">
        <f>'dynamic scaling metrics'!DT63</f>
        <v>66.76953125</v>
      </c>
      <c r="W64" s="53">
        <f>'dynamic scaling metrics'!DU63</f>
        <v>70.875</v>
      </c>
      <c r="X64" s="53">
        <f>'dynamic scaling metrics'!DV63</f>
        <v>61.26171875</v>
      </c>
      <c r="Y64" s="53">
        <f>'dynamic scaling metrics'!DW63</f>
        <v>59.699218749999986</v>
      </c>
      <c r="Z64" s="63">
        <f>'dynamic scaling metrics'!DX63</f>
        <v>52.54296875</v>
      </c>
      <c r="AA64" s="58"/>
      <c r="AB64" s="54"/>
      <c r="AC64" s="55"/>
      <c r="AD64" s="53"/>
      <c r="AE64" s="53"/>
      <c r="AF64" s="53"/>
      <c r="AG64" s="53"/>
      <c r="AH64" s="53"/>
      <c r="AI64" s="53"/>
      <c r="AK64" s="27"/>
    </row>
    <row r="65" spans="17:43" ht="31.95" customHeight="1" x14ac:dyDescent="0.4">
      <c r="R65" s="26">
        <v>0.5</v>
      </c>
      <c r="S65" s="62">
        <f>'dynamic scaling metrics'!DX63</f>
        <v>52.54296875</v>
      </c>
      <c r="T65" s="53">
        <f>'dynamic scaling metrics'!DY63</f>
        <v>75</v>
      </c>
      <c r="U65" s="53">
        <f>'dynamic scaling metrics'!DZ63</f>
        <v>74.296875</v>
      </c>
      <c r="V65" s="53">
        <f>'dynamic scaling metrics'!EA63</f>
        <v>72.890625</v>
      </c>
      <c r="W65" s="53">
        <f>'dynamic scaling metrics'!EB63</f>
        <v>63.046875</v>
      </c>
      <c r="X65" s="53">
        <f>'dynamic scaling metrics'!EC63</f>
        <v>67.499999999999986</v>
      </c>
      <c r="Y65" s="53">
        <f>'dynamic scaling metrics'!ED63</f>
        <v>58.828124999999993</v>
      </c>
      <c r="Z65" s="63">
        <f>'dynamic scaling metrics'!EE63</f>
        <v>58.828124999999993</v>
      </c>
      <c r="AA65" s="58"/>
      <c r="AB65" s="54"/>
      <c r="AC65" s="56"/>
      <c r="AD65" s="53"/>
      <c r="AE65" s="53"/>
      <c r="AF65" s="53"/>
      <c r="AG65" s="53"/>
      <c r="AH65" s="53"/>
      <c r="AI65" s="53"/>
      <c r="AK65" s="27" t="str">
        <f t="shared" ref="AK65" si="22">Q61</f>
        <v>M2no1</v>
      </c>
    </row>
    <row r="66" spans="17:43" ht="31.95" customHeight="1" thickBot="1" x14ac:dyDescent="0.45">
      <c r="R66" s="25">
        <v>0.625</v>
      </c>
      <c r="S66" s="64">
        <f>'dynamic scaling metrics'!EF63</f>
        <v>53.203124999999993</v>
      </c>
      <c r="T66" s="65">
        <f>'dynamic scaling metrics'!EG63</f>
        <v>68.75</v>
      </c>
      <c r="U66" s="65">
        <f>'dynamic scaling metrics'!EH63</f>
        <v>68.51171875</v>
      </c>
      <c r="V66" s="65">
        <f>'dynamic scaling metrics'!EI63</f>
        <v>67.72265625</v>
      </c>
      <c r="W66" s="65">
        <f>'dynamic scaling metrics'!EJ63</f>
        <v>59.324218750000007</v>
      </c>
      <c r="X66" s="65">
        <f>'dynamic scaling metrics'!EK63</f>
        <v>64.125</v>
      </c>
      <c r="Y66" s="65">
        <f>'dynamic scaling metrics'!EL63</f>
        <v>56.39453125</v>
      </c>
      <c r="Z66" s="66">
        <f>'dynamic scaling metrics'!EM63</f>
        <v>57.957031249999993</v>
      </c>
      <c r="AA66" s="58"/>
      <c r="AB66">
        <v>0</v>
      </c>
      <c r="AC66" s="25">
        <v>0.125</v>
      </c>
      <c r="AD66" s="26">
        <v>0.25</v>
      </c>
      <c r="AE66" s="25">
        <v>0.375</v>
      </c>
      <c r="AF66" s="26">
        <v>0.5</v>
      </c>
      <c r="AG66" s="25">
        <v>0.625</v>
      </c>
      <c r="AH66" s="26">
        <v>0.75</v>
      </c>
      <c r="AI66" s="25">
        <v>0.875</v>
      </c>
      <c r="AK66" s="74" t="s">
        <v>107</v>
      </c>
      <c r="AL66">
        <f t="shared" ref="AL66" si="23">AVERAGE(U65:X66,AD67:AG67)</f>
        <v>64.9208984375</v>
      </c>
      <c r="AN66" s="84"/>
      <c r="AQ66" s="84"/>
    </row>
    <row r="67" spans="17:43" ht="31.95" customHeight="1" x14ac:dyDescent="0.4">
      <c r="Q67" t="s">
        <v>20</v>
      </c>
      <c r="R67">
        <v>0</v>
      </c>
      <c r="S67" s="59">
        <f>'dynamic scaling metrics'!CS69</f>
        <v>100</v>
      </c>
      <c r="T67" s="60">
        <f>'dynamic scaling metrics'!CT69</f>
        <v>97.958333333333329</v>
      </c>
      <c r="U67" s="60">
        <f>'dynamic scaling metrics'!CU69</f>
        <v>94.604166666666657</v>
      </c>
      <c r="V67" s="60">
        <f>'dynamic scaling metrics'!CV69</f>
        <v>79.5</v>
      </c>
      <c r="W67" s="60">
        <f>'dynamic scaling metrics'!CW69</f>
        <v>83.083333333333329</v>
      </c>
      <c r="X67" s="60">
        <f>'dynamic scaling metrics'!CX69</f>
        <v>70.75</v>
      </c>
      <c r="Y67" s="60">
        <f>'dynamic scaling metrics'!CY69</f>
        <v>65.437499999999986</v>
      </c>
      <c r="Z67" s="61">
        <f>'dynamic scaling metrics'!CZ69</f>
        <v>54.208333333333329</v>
      </c>
      <c r="AA67" s="67">
        <f t="shared" ref="AA67:AA68" si="24">AA61</f>
        <v>0.75</v>
      </c>
      <c r="AB67" s="57">
        <f>'dynamic scaling metrics'!EN63</f>
        <v>53.863281249999993</v>
      </c>
      <c r="AC67" s="57">
        <f>'dynamic scaling metrics'!EO63</f>
        <v>62.5</v>
      </c>
      <c r="AD67" s="57">
        <f>'dynamic scaling metrics'!EP63</f>
        <v>62.726562499999986</v>
      </c>
      <c r="AE67" s="57">
        <f>'dynamic scaling metrics'!EQ63</f>
        <v>62.554687500000007</v>
      </c>
      <c r="AF67" s="57">
        <f>'dynamic scaling metrics'!ER63</f>
        <v>55.601562500000007</v>
      </c>
      <c r="AG67" s="57">
        <f>'dynamic scaling metrics'!ES63</f>
        <v>60.75</v>
      </c>
      <c r="AH67" s="57">
        <f>'dynamic scaling metrics'!ET63</f>
        <v>53.960937499999993</v>
      </c>
      <c r="AI67" s="57">
        <f>'dynamic scaling metrics'!EU63</f>
        <v>57.0859375</v>
      </c>
      <c r="AK67" s="27"/>
    </row>
    <row r="68" spans="17:43" ht="31.95" customHeight="1" x14ac:dyDescent="0.4">
      <c r="Q68" t="s">
        <v>95</v>
      </c>
      <c r="R68" s="25">
        <v>0.125</v>
      </c>
      <c r="S68" s="62">
        <f>'dynamic scaling metrics'!DA69</f>
        <v>92.447916666666671</v>
      </c>
      <c r="T68" s="53">
        <f>'dynamic scaling metrics'!DB69</f>
        <v>90.709635416666671</v>
      </c>
      <c r="U68" s="53">
        <f>'dynamic scaling metrics'!DC69</f>
        <v>87.819010416666671</v>
      </c>
      <c r="V68" s="53">
        <f>'dynamic scaling metrics'!DD69</f>
        <v>74.147135416666657</v>
      </c>
      <c r="W68" s="53">
        <f>'dynamic scaling metrics'!DE69</f>
        <v>77.8125</v>
      </c>
      <c r="X68" s="53">
        <f>'dynamic scaling metrics'!DF69</f>
        <v>66.529947916666671</v>
      </c>
      <c r="Y68" s="53">
        <f>'dynamic scaling metrics'!DG69</f>
        <v>62.428385416666664</v>
      </c>
      <c r="Z68" s="63">
        <f>'dynamic scaling metrics'!DH69</f>
        <v>52.623697916666664</v>
      </c>
      <c r="AA68" s="68">
        <f t="shared" si="24"/>
        <v>0.875</v>
      </c>
      <c r="AB68" s="57">
        <f>'dynamic scaling metrics'!EV63</f>
        <v>54.523437499999993</v>
      </c>
      <c r="AC68" s="57">
        <f>'dynamic scaling metrics'!EW63</f>
        <v>56.250000000000007</v>
      </c>
      <c r="AD68" s="57">
        <f>'dynamic scaling metrics'!EX63</f>
        <v>56.941406249999993</v>
      </c>
      <c r="AE68" s="57">
        <f>'dynamic scaling metrics'!EY63</f>
        <v>57.386718749999993</v>
      </c>
      <c r="AF68" s="57">
        <f>'dynamic scaling metrics'!EZ63</f>
        <v>51.87890625</v>
      </c>
      <c r="AG68" s="57">
        <f>'dynamic scaling metrics'!FA63</f>
        <v>57.374999999999993</v>
      </c>
      <c r="AH68" s="57">
        <f>'dynamic scaling metrics'!FB63</f>
        <v>51.527343749999993</v>
      </c>
      <c r="AI68" s="57">
        <f>'dynamic scaling metrics'!FC63</f>
        <v>56.21484375</v>
      </c>
      <c r="AK68" s="27"/>
    </row>
    <row r="69" spans="17:43" ht="31.95" customHeight="1" x14ac:dyDescent="0.4">
      <c r="R69" s="26">
        <v>0.25</v>
      </c>
      <c r="S69" s="62">
        <f>'dynamic scaling metrics'!DI69</f>
        <v>84.895833333333329</v>
      </c>
      <c r="T69" s="53">
        <f>'dynamic scaling metrics'!DJ69</f>
        <v>83.4609375</v>
      </c>
      <c r="U69" s="53">
        <f>'dynamic scaling metrics'!DK69</f>
        <v>81.033854166666657</v>
      </c>
      <c r="V69" s="53">
        <f>'dynamic scaling metrics'!DL69</f>
        <v>68.794270833333329</v>
      </c>
      <c r="W69" s="53">
        <f>'dynamic scaling metrics'!DM69</f>
        <v>72.541666666666657</v>
      </c>
      <c r="X69" s="53">
        <f>'dynamic scaling metrics'!DN69</f>
        <v>62.309895833333329</v>
      </c>
      <c r="Y69" s="53">
        <f>'dynamic scaling metrics'!DO69</f>
        <v>59.419270833333321</v>
      </c>
      <c r="Z69" s="63">
        <f>'dynamic scaling metrics'!DP69</f>
        <v>51.039062499999993</v>
      </c>
      <c r="AA69" s="58"/>
      <c r="AB69" s="54"/>
      <c r="AC69" s="56"/>
      <c r="AD69" s="53"/>
      <c r="AE69" s="53"/>
      <c r="AF69" s="53"/>
      <c r="AG69" s="53"/>
      <c r="AH69" s="53"/>
      <c r="AI69" s="53"/>
      <c r="AK69" s="27"/>
    </row>
    <row r="70" spans="17:43" ht="31.95" customHeight="1" x14ac:dyDescent="0.4">
      <c r="R70" s="25">
        <v>0.375</v>
      </c>
      <c r="S70" s="62">
        <f>'dynamic scaling metrics'!DQ69</f>
        <v>77.343749999999986</v>
      </c>
      <c r="T70" s="53">
        <f>'dynamic scaling metrics'!DR69</f>
        <v>76.212239583333329</v>
      </c>
      <c r="U70" s="53">
        <f>'dynamic scaling metrics'!DS69</f>
        <v>74.248697916666657</v>
      </c>
      <c r="V70" s="53">
        <f>'dynamic scaling metrics'!DT69</f>
        <v>63.441406250000007</v>
      </c>
      <c r="W70" s="53">
        <f>'dynamic scaling metrics'!DU69</f>
        <v>67.270833333333329</v>
      </c>
      <c r="X70" s="53">
        <f>'dynamic scaling metrics'!DV69</f>
        <v>58.08984375</v>
      </c>
      <c r="Y70" s="53">
        <f>'dynamic scaling metrics'!DW69</f>
        <v>56.410156249999993</v>
      </c>
      <c r="Z70" s="63">
        <f>'dynamic scaling metrics'!DX69</f>
        <v>49.454427083333329</v>
      </c>
      <c r="AA70" s="58"/>
      <c r="AB70" s="54"/>
      <c r="AC70" s="55"/>
      <c r="AD70" s="53"/>
      <c r="AE70" s="53"/>
      <c r="AF70" s="53"/>
      <c r="AG70" s="53"/>
      <c r="AH70" s="53"/>
      <c r="AI70" s="53"/>
      <c r="AK70" s="27"/>
    </row>
    <row r="71" spans="17:43" ht="31.95" customHeight="1" x14ac:dyDescent="0.4">
      <c r="R71" s="26">
        <v>0.5</v>
      </c>
      <c r="S71" s="62">
        <f>'dynamic scaling metrics'!DX69</f>
        <v>49.454427083333329</v>
      </c>
      <c r="T71" s="53">
        <f>'dynamic scaling metrics'!DY69</f>
        <v>69.791666666666657</v>
      </c>
      <c r="U71" s="53">
        <f>'dynamic scaling metrics'!DZ69</f>
        <v>68.963541666666657</v>
      </c>
      <c r="V71" s="53">
        <f>'dynamic scaling metrics'!EA69</f>
        <v>67.463541666666657</v>
      </c>
      <c r="W71" s="53">
        <f>'dynamic scaling metrics'!EB69</f>
        <v>58.088541666666671</v>
      </c>
      <c r="X71" s="53">
        <f>'dynamic scaling metrics'!EC69</f>
        <v>62</v>
      </c>
      <c r="Y71" s="53">
        <f>'dynamic scaling metrics'!ED69</f>
        <v>53.869791666666671</v>
      </c>
      <c r="Z71" s="63">
        <f>'dynamic scaling metrics'!EE69</f>
        <v>53.401041666666671</v>
      </c>
      <c r="AA71" s="58"/>
      <c r="AB71" s="54"/>
      <c r="AC71" s="56"/>
      <c r="AD71" s="53"/>
      <c r="AE71" s="53"/>
      <c r="AF71" s="53"/>
      <c r="AG71" s="53"/>
      <c r="AH71" s="53"/>
      <c r="AI71" s="53"/>
      <c r="AK71" s="27" t="str">
        <f t="shared" ref="AK71" si="25">Q67</f>
        <v>M2no2</v>
      </c>
    </row>
    <row r="72" spans="17:43" ht="31.95" customHeight="1" thickBot="1" x14ac:dyDescent="0.45">
      <c r="R72" s="25">
        <v>0.625</v>
      </c>
      <c r="S72" s="64">
        <f>'dynamic scaling metrics'!EF69</f>
        <v>47.869791666666657</v>
      </c>
      <c r="T72" s="65">
        <f>'dynamic scaling metrics'!EG69</f>
        <v>62.239583333333329</v>
      </c>
      <c r="U72" s="65">
        <f>'dynamic scaling metrics'!EH69</f>
        <v>61.714843749999993</v>
      </c>
      <c r="V72" s="65">
        <f>'dynamic scaling metrics'!EI69</f>
        <v>60.678385416666664</v>
      </c>
      <c r="W72" s="65">
        <f>'dynamic scaling metrics'!EJ69</f>
        <v>52.735677083333336</v>
      </c>
      <c r="X72" s="65">
        <f>'dynamic scaling metrics'!EK69</f>
        <v>56.729166666666671</v>
      </c>
      <c r="Y72" s="65">
        <f>'dynamic scaling metrics'!EL69</f>
        <v>49.649739583333336</v>
      </c>
      <c r="Z72" s="66">
        <f>'dynamic scaling metrics'!EM69</f>
        <v>50.391927083333321</v>
      </c>
      <c r="AA72" s="58"/>
      <c r="AB72">
        <v>0</v>
      </c>
      <c r="AC72" s="25">
        <v>0.125</v>
      </c>
      <c r="AD72" s="26">
        <v>0.25</v>
      </c>
      <c r="AE72" s="25">
        <v>0.375</v>
      </c>
      <c r="AF72" s="26">
        <v>0.5</v>
      </c>
      <c r="AG72" s="25">
        <v>0.625</v>
      </c>
      <c r="AH72" s="26">
        <v>0.75</v>
      </c>
      <c r="AI72" s="25">
        <v>0.875</v>
      </c>
      <c r="AK72" s="74" t="s">
        <v>107</v>
      </c>
      <c r="AL72">
        <f t="shared" ref="AL72" si="26">AVERAGE(U71:X72,AD73:AG73)</f>
        <v>57.964518229166664</v>
      </c>
      <c r="AN72" s="84"/>
      <c r="AQ72" s="84"/>
    </row>
    <row r="73" spans="17:43" ht="31.95" customHeight="1" x14ac:dyDescent="0.4">
      <c r="Q73" t="s">
        <v>21</v>
      </c>
      <c r="R73">
        <v>0</v>
      </c>
      <c r="S73" s="59">
        <f>'dynamic scaling metrics'!CS75</f>
        <v>100</v>
      </c>
      <c r="T73" s="60">
        <f>'dynamic scaling metrics'!CT75</f>
        <v>97.958333333333329</v>
      </c>
      <c r="U73" s="60">
        <f>'dynamic scaling metrics'!CU75</f>
        <v>94.604166666666657</v>
      </c>
      <c r="V73" s="60">
        <f>'dynamic scaling metrics'!CV75</f>
        <v>79.5</v>
      </c>
      <c r="W73" s="60">
        <f>'dynamic scaling metrics'!CW75</f>
        <v>83.083333333333329</v>
      </c>
      <c r="X73" s="60">
        <f>'dynamic scaling metrics'!CX75</f>
        <v>70.75</v>
      </c>
      <c r="Y73" s="60">
        <f>'dynamic scaling metrics'!CY75</f>
        <v>65.437499999999986</v>
      </c>
      <c r="Z73" s="61">
        <f>'dynamic scaling metrics'!CZ75</f>
        <v>54.208333333333329</v>
      </c>
      <c r="AA73" s="67">
        <f t="shared" ref="AA73:AA74" si="27">AA67</f>
        <v>0.75</v>
      </c>
      <c r="AB73" s="57">
        <f>'dynamic scaling metrics'!EN69</f>
        <v>46.285156249999986</v>
      </c>
      <c r="AC73" s="57">
        <f>'dynamic scaling metrics'!EO69</f>
        <v>54.687499999999993</v>
      </c>
      <c r="AD73" s="57">
        <f>'dynamic scaling metrics'!EP69</f>
        <v>54.466145833333314</v>
      </c>
      <c r="AE73" s="57">
        <f>'dynamic scaling metrics'!EQ69</f>
        <v>53.89322916666665</v>
      </c>
      <c r="AF73" s="57">
        <f>'dynamic scaling metrics'!ER69</f>
        <v>47.3828125</v>
      </c>
      <c r="AG73" s="57">
        <f>'dynamic scaling metrics'!ES69</f>
        <v>51.458333333333329</v>
      </c>
      <c r="AH73" s="57">
        <f>'dynamic scaling metrics'!ET69</f>
        <v>45.429687499999993</v>
      </c>
      <c r="AI73" s="57">
        <f>'dynamic scaling metrics'!EU69</f>
        <v>47.3828125</v>
      </c>
      <c r="AK73" s="27"/>
    </row>
    <row r="74" spans="17:43" ht="31.95" customHeight="1" x14ac:dyDescent="0.4">
      <c r="Q74" t="s">
        <v>95</v>
      </c>
      <c r="R74" s="25">
        <v>0.125</v>
      </c>
      <c r="S74" s="62">
        <f>'dynamic scaling metrics'!DA75</f>
        <v>92.447916666666671</v>
      </c>
      <c r="T74" s="53">
        <f>'dynamic scaling metrics'!DB75</f>
        <v>90.709635416666671</v>
      </c>
      <c r="U74" s="53">
        <f>'dynamic scaling metrics'!DC75</f>
        <v>87.819010416666671</v>
      </c>
      <c r="V74" s="53">
        <f>'dynamic scaling metrics'!DD75</f>
        <v>74.147135416666657</v>
      </c>
      <c r="W74" s="53">
        <f>'dynamic scaling metrics'!DE75</f>
        <v>77.8125</v>
      </c>
      <c r="X74" s="53">
        <f>'dynamic scaling metrics'!DF75</f>
        <v>66.529947916666671</v>
      </c>
      <c r="Y74" s="53">
        <f>'dynamic scaling metrics'!DG75</f>
        <v>62.428385416666664</v>
      </c>
      <c r="Z74" s="63">
        <f>'dynamic scaling metrics'!DH75</f>
        <v>52.623697916666664</v>
      </c>
      <c r="AA74" s="68">
        <f t="shared" si="27"/>
        <v>0.875</v>
      </c>
      <c r="AB74" s="57">
        <f>'dynamic scaling metrics'!EV69</f>
        <v>44.700520833333321</v>
      </c>
      <c r="AC74" s="57">
        <f>'dynamic scaling metrics'!EW69</f>
        <v>47.135416666666664</v>
      </c>
      <c r="AD74" s="57">
        <f>'dynamic scaling metrics'!EX69</f>
        <v>47.217447916666657</v>
      </c>
      <c r="AE74" s="57">
        <f>'dynamic scaling metrics'!EY69</f>
        <v>47.108072916666664</v>
      </c>
      <c r="AF74" s="57">
        <f>'dynamic scaling metrics'!EZ69</f>
        <v>42.029947916666671</v>
      </c>
      <c r="AG74" s="57">
        <f>'dynamic scaling metrics'!FA69</f>
        <v>46.1875</v>
      </c>
      <c r="AH74" s="57">
        <f>'dynamic scaling metrics'!FB69</f>
        <v>41.209635416666657</v>
      </c>
      <c r="AI74" s="57">
        <f>'dynamic scaling metrics'!FC69</f>
        <v>44.373697916666664</v>
      </c>
      <c r="AK74" s="27"/>
    </row>
    <row r="75" spans="17:43" ht="31.95" customHeight="1" x14ac:dyDescent="0.4">
      <c r="R75" s="26">
        <v>0.25</v>
      </c>
      <c r="S75" s="62">
        <f>'dynamic scaling metrics'!DI75</f>
        <v>84.895833333333329</v>
      </c>
      <c r="T75" s="53">
        <f>'dynamic scaling metrics'!DJ75</f>
        <v>83.4609375</v>
      </c>
      <c r="U75" s="53">
        <f>'dynamic scaling metrics'!DK75</f>
        <v>81.033854166666657</v>
      </c>
      <c r="V75" s="53">
        <f>'dynamic scaling metrics'!DL75</f>
        <v>68.794270833333329</v>
      </c>
      <c r="W75" s="53">
        <f>'dynamic scaling metrics'!DM75</f>
        <v>72.541666666666657</v>
      </c>
      <c r="X75" s="53">
        <f>'dynamic scaling metrics'!DN75</f>
        <v>62.309895833333329</v>
      </c>
      <c r="Y75" s="53">
        <f>'dynamic scaling metrics'!DO75</f>
        <v>59.419270833333321</v>
      </c>
      <c r="Z75" s="63">
        <f>'dynamic scaling metrics'!DP75</f>
        <v>51.039062499999993</v>
      </c>
      <c r="AA75" s="58"/>
      <c r="AB75" s="54"/>
      <c r="AC75" s="56"/>
      <c r="AD75" s="53"/>
      <c r="AE75" s="53"/>
      <c r="AF75" s="53"/>
      <c r="AG75" s="53"/>
      <c r="AH75" s="53"/>
      <c r="AI75" s="53"/>
      <c r="AK75" s="27"/>
    </row>
    <row r="76" spans="17:43" ht="31.95" customHeight="1" x14ac:dyDescent="0.4">
      <c r="R76" s="25">
        <v>0.375</v>
      </c>
      <c r="S76" s="62">
        <f>'dynamic scaling metrics'!DQ75</f>
        <v>77.343749999999986</v>
      </c>
      <c r="T76" s="53">
        <f>'dynamic scaling metrics'!DR75</f>
        <v>76.212239583333329</v>
      </c>
      <c r="U76" s="53">
        <f>'dynamic scaling metrics'!DS75</f>
        <v>74.248697916666657</v>
      </c>
      <c r="V76" s="53">
        <f>'dynamic scaling metrics'!DT75</f>
        <v>63.441406250000007</v>
      </c>
      <c r="W76" s="53">
        <f>'dynamic scaling metrics'!DU75</f>
        <v>67.270833333333329</v>
      </c>
      <c r="X76" s="53">
        <f>'dynamic scaling metrics'!DV75</f>
        <v>58.08984375</v>
      </c>
      <c r="Y76" s="53">
        <f>'dynamic scaling metrics'!DW75</f>
        <v>56.410156249999993</v>
      </c>
      <c r="Z76" s="63">
        <f>'dynamic scaling metrics'!DX75</f>
        <v>49.454427083333329</v>
      </c>
      <c r="AA76" s="58"/>
      <c r="AB76" s="54"/>
      <c r="AC76" s="55"/>
      <c r="AD76" s="53"/>
      <c r="AE76" s="53"/>
      <c r="AF76" s="53"/>
      <c r="AG76" s="53"/>
      <c r="AH76" s="53"/>
      <c r="AI76" s="53"/>
      <c r="AK76" s="27"/>
    </row>
    <row r="77" spans="17:43" ht="31.95" customHeight="1" x14ac:dyDescent="0.4">
      <c r="R77" s="26">
        <v>0.5</v>
      </c>
      <c r="S77" s="62">
        <f>'dynamic scaling metrics'!DX75</f>
        <v>49.454427083333329</v>
      </c>
      <c r="T77" s="53">
        <f>'dynamic scaling metrics'!DY75</f>
        <v>69.791666666666657</v>
      </c>
      <c r="U77" s="53">
        <f>'dynamic scaling metrics'!DZ75</f>
        <v>68.963541666666657</v>
      </c>
      <c r="V77" s="53">
        <f>'dynamic scaling metrics'!EA75</f>
        <v>67.463541666666657</v>
      </c>
      <c r="W77" s="53">
        <f>'dynamic scaling metrics'!EB75</f>
        <v>58.088541666666671</v>
      </c>
      <c r="X77" s="53">
        <f>'dynamic scaling metrics'!EC75</f>
        <v>62</v>
      </c>
      <c r="Y77" s="53">
        <f>'dynamic scaling metrics'!ED75</f>
        <v>53.869791666666671</v>
      </c>
      <c r="Z77" s="63">
        <f>'dynamic scaling metrics'!EE75</f>
        <v>53.401041666666671</v>
      </c>
      <c r="AA77" s="58"/>
      <c r="AB77" s="54"/>
      <c r="AC77" s="56"/>
      <c r="AD77" s="53"/>
      <c r="AE77" s="53"/>
      <c r="AF77" s="53"/>
      <c r="AG77" s="53"/>
      <c r="AH77" s="53"/>
      <c r="AI77" s="53"/>
      <c r="AK77" s="27" t="str">
        <f t="shared" ref="AK77" si="28">Q73</f>
        <v>M2no3</v>
      </c>
    </row>
    <row r="78" spans="17:43" ht="31.95" customHeight="1" thickBot="1" x14ac:dyDescent="0.45">
      <c r="R78" s="25">
        <v>0.625</v>
      </c>
      <c r="S78" s="64">
        <f>'dynamic scaling metrics'!EF75</f>
        <v>47.869791666666657</v>
      </c>
      <c r="T78" s="65">
        <f>'dynamic scaling metrics'!EG75</f>
        <v>62.239583333333329</v>
      </c>
      <c r="U78" s="65">
        <f>'dynamic scaling metrics'!EH75</f>
        <v>61.714843749999993</v>
      </c>
      <c r="V78" s="65">
        <f>'dynamic scaling metrics'!EI75</f>
        <v>60.678385416666664</v>
      </c>
      <c r="W78" s="65">
        <f>'dynamic scaling metrics'!EJ75</f>
        <v>52.735677083333336</v>
      </c>
      <c r="X78" s="65">
        <f>'dynamic scaling metrics'!EK75</f>
        <v>56.729166666666671</v>
      </c>
      <c r="Y78" s="65">
        <f>'dynamic scaling metrics'!EL75</f>
        <v>49.649739583333336</v>
      </c>
      <c r="Z78" s="66">
        <f>'dynamic scaling metrics'!EM75</f>
        <v>50.391927083333321</v>
      </c>
      <c r="AA78" s="58"/>
      <c r="AB78">
        <v>0</v>
      </c>
      <c r="AC78" s="25">
        <v>0.125</v>
      </c>
      <c r="AD78" s="26">
        <v>0.25</v>
      </c>
      <c r="AE78" s="25">
        <v>0.375</v>
      </c>
      <c r="AF78" s="26">
        <v>0.5</v>
      </c>
      <c r="AG78" s="25">
        <v>0.625</v>
      </c>
      <c r="AH78" s="26">
        <v>0.75</v>
      </c>
      <c r="AI78" s="25">
        <v>0.875</v>
      </c>
      <c r="AK78" s="74" t="s">
        <v>107</v>
      </c>
      <c r="AL78">
        <f t="shared" ref="AL78" si="29">AVERAGE(U77:X78,AD79:AG79)</f>
        <v>57.964518229166664</v>
      </c>
      <c r="AN78" s="84"/>
      <c r="AQ78" s="84"/>
    </row>
    <row r="79" spans="17:43" ht="31.95" customHeight="1" x14ac:dyDescent="0.4">
      <c r="Q79" t="s">
        <v>22</v>
      </c>
      <c r="R79">
        <v>0</v>
      </c>
      <c r="S79" s="59">
        <f>'dynamic scaling metrics'!CS81</f>
        <v>100</v>
      </c>
      <c r="T79" s="60">
        <f>'dynamic scaling metrics'!CT81</f>
        <v>94.66326530612244</v>
      </c>
      <c r="U79" s="60">
        <f>'dynamic scaling metrics'!CU81</f>
        <v>88.68367346938777</v>
      </c>
      <c r="V79" s="60">
        <f>'dynamic scaling metrics'!CV81</f>
        <v>71.84693877551021</v>
      </c>
      <c r="W79" s="60">
        <f>'dynamic scaling metrics'!CW81</f>
        <v>74.367346938775512</v>
      </c>
      <c r="X79" s="60">
        <f>'dynamic scaling metrics'!CX81</f>
        <v>62.357142857142861</v>
      </c>
      <c r="Y79" s="60">
        <f>'dynamic scaling metrics'!CY81</f>
        <v>57.051020408163268</v>
      </c>
      <c r="Z79" s="61">
        <f>'dynamic scaling metrics'!CZ81</f>
        <v>47.214285714285708</v>
      </c>
      <c r="AA79" s="67">
        <f t="shared" ref="AA79:AA80" si="30">AA73</f>
        <v>0.75</v>
      </c>
      <c r="AB79" s="57">
        <f>'dynamic scaling metrics'!EN75</f>
        <v>46.285156249999986</v>
      </c>
      <c r="AC79" s="57">
        <f>'dynamic scaling metrics'!EO75</f>
        <v>54.687499999999993</v>
      </c>
      <c r="AD79" s="57">
        <f>'dynamic scaling metrics'!EP75</f>
        <v>54.466145833333314</v>
      </c>
      <c r="AE79" s="57">
        <f>'dynamic scaling metrics'!EQ75</f>
        <v>53.89322916666665</v>
      </c>
      <c r="AF79" s="57">
        <f>'dynamic scaling metrics'!ER75</f>
        <v>47.3828125</v>
      </c>
      <c r="AG79" s="57">
        <f>'dynamic scaling metrics'!ES75</f>
        <v>51.458333333333329</v>
      </c>
      <c r="AH79" s="57">
        <f>'dynamic scaling metrics'!ET75</f>
        <v>45.429687499999993</v>
      </c>
      <c r="AI79" s="57">
        <f>'dynamic scaling metrics'!EU75</f>
        <v>47.3828125</v>
      </c>
      <c r="AK79" s="27"/>
    </row>
    <row r="80" spans="17:43" ht="31.95" customHeight="1" x14ac:dyDescent="0.4">
      <c r="Q80" t="s">
        <v>95</v>
      </c>
      <c r="R80" s="25">
        <v>0.125</v>
      </c>
      <c r="S80" s="62">
        <f>'dynamic scaling metrics'!DA81</f>
        <v>94.132653061224502</v>
      </c>
      <c r="T80" s="53">
        <f>'dynamic scaling metrics'!DB81</f>
        <v>89.463010204081655</v>
      </c>
      <c r="U80" s="53">
        <f>'dynamic scaling metrics'!DC81</f>
        <v>84.230867346938794</v>
      </c>
      <c r="V80" s="53">
        <f>'dynamic scaling metrics'!DD81</f>
        <v>68.835459183673478</v>
      </c>
      <c r="W80" s="53">
        <f>'dynamic scaling metrics'!DE81</f>
        <v>71.704081632653072</v>
      </c>
      <c r="X80" s="53">
        <f>'dynamic scaling metrics'!DF81</f>
        <v>60.531887755102055</v>
      </c>
      <c r="Y80" s="53">
        <f>'dynamic scaling metrics'!DG81</f>
        <v>56.552295918367356</v>
      </c>
      <c r="Z80" s="63">
        <f>'dynamic scaling metrics'!DH81</f>
        <v>47.945153061224488</v>
      </c>
      <c r="AA80" s="68">
        <f t="shared" si="30"/>
        <v>0.875</v>
      </c>
      <c r="AB80" s="57">
        <f>'dynamic scaling metrics'!EV75</f>
        <v>44.700520833333321</v>
      </c>
      <c r="AC80" s="57">
        <f>'dynamic scaling metrics'!EW75</f>
        <v>47.135416666666664</v>
      </c>
      <c r="AD80" s="57">
        <f>'dynamic scaling metrics'!EX75</f>
        <v>47.217447916666657</v>
      </c>
      <c r="AE80" s="57">
        <f>'dynamic scaling metrics'!EY75</f>
        <v>47.108072916666664</v>
      </c>
      <c r="AF80" s="57">
        <f>'dynamic scaling metrics'!EZ75</f>
        <v>42.029947916666671</v>
      </c>
      <c r="AG80" s="57">
        <f>'dynamic scaling metrics'!FA75</f>
        <v>46.1875</v>
      </c>
      <c r="AH80" s="57">
        <f>'dynamic scaling metrics'!FB75</f>
        <v>41.209635416666657</v>
      </c>
      <c r="AI80" s="57">
        <f>'dynamic scaling metrics'!FC75</f>
        <v>44.373697916666664</v>
      </c>
      <c r="AK80" s="27"/>
    </row>
    <row r="81" spans="17:43" ht="31.95" customHeight="1" x14ac:dyDescent="0.4">
      <c r="R81" s="26">
        <v>0.25</v>
      </c>
      <c r="S81" s="62">
        <f>'dynamic scaling metrics'!DI81</f>
        <v>88.26530612244899</v>
      </c>
      <c r="T81" s="53">
        <f>'dynamic scaling metrics'!DJ81</f>
        <v>84.262755102040828</v>
      </c>
      <c r="U81" s="53">
        <f>'dynamic scaling metrics'!DK81</f>
        <v>79.778061224489818</v>
      </c>
      <c r="V81" s="53">
        <f>'dynamic scaling metrics'!DL81</f>
        <v>65.823979591836746</v>
      </c>
      <c r="W81" s="53">
        <f>'dynamic scaling metrics'!DM81</f>
        <v>69.040816326530617</v>
      </c>
      <c r="X81" s="53">
        <f>'dynamic scaling metrics'!DN81</f>
        <v>58.706632653061227</v>
      </c>
      <c r="Y81" s="53">
        <f>'dynamic scaling metrics'!DO81</f>
        <v>56.053571428571423</v>
      </c>
      <c r="Z81" s="63">
        <f>'dynamic scaling metrics'!DP81</f>
        <v>48.676020408163261</v>
      </c>
      <c r="AA81" s="58"/>
      <c r="AB81" s="54"/>
      <c r="AC81" s="56"/>
      <c r="AD81" s="53"/>
      <c r="AE81" s="53"/>
      <c r="AF81" s="53"/>
      <c r="AG81" s="53"/>
      <c r="AH81" s="53"/>
      <c r="AI81" s="53"/>
      <c r="AK81" s="27"/>
    </row>
    <row r="82" spans="17:43" ht="31.95" customHeight="1" x14ac:dyDescent="0.4">
      <c r="R82" s="25">
        <v>0.375</v>
      </c>
      <c r="S82" s="62">
        <f>'dynamic scaling metrics'!DQ81</f>
        <v>82.397959183673478</v>
      </c>
      <c r="T82" s="53">
        <f>'dynamic scaling metrics'!DR81</f>
        <v>79.0625</v>
      </c>
      <c r="U82" s="53">
        <f>'dynamic scaling metrics'!DS81</f>
        <v>75.325255102040828</v>
      </c>
      <c r="V82" s="53">
        <f>'dynamic scaling metrics'!DT81</f>
        <v>62.812500000000007</v>
      </c>
      <c r="W82" s="53">
        <f>'dynamic scaling metrics'!DU81</f>
        <v>66.377551020408163</v>
      </c>
      <c r="X82" s="53">
        <f>'dynamic scaling metrics'!DV81</f>
        <v>56.881377551020414</v>
      </c>
      <c r="Y82" s="53">
        <f>'dynamic scaling metrics'!DW81</f>
        <v>55.554846938775512</v>
      </c>
      <c r="Z82" s="63">
        <f>'dynamic scaling metrics'!DX81</f>
        <v>49.406887755102041</v>
      </c>
      <c r="AA82" s="58"/>
      <c r="AB82" s="54"/>
      <c r="AC82" s="55"/>
      <c r="AD82" s="53"/>
      <c r="AE82" s="53"/>
      <c r="AF82" s="53"/>
      <c r="AG82" s="53"/>
      <c r="AH82" s="53"/>
      <c r="AI82" s="53"/>
      <c r="AK82" s="27"/>
    </row>
    <row r="83" spans="17:43" ht="31.95" customHeight="1" x14ac:dyDescent="0.4">
      <c r="R83" s="26">
        <v>0.5</v>
      </c>
      <c r="S83" s="62">
        <f>'dynamic scaling metrics'!DX81</f>
        <v>49.406887755102041</v>
      </c>
      <c r="T83" s="53">
        <f>'dynamic scaling metrics'!DY81</f>
        <v>76.530612244897966</v>
      </c>
      <c r="U83" s="53">
        <f>'dynamic scaling metrics'!DZ81</f>
        <v>73.862244897959187</v>
      </c>
      <c r="V83" s="53">
        <f>'dynamic scaling metrics'!EA81</f>
        <v>70.872448979591823</v>
      </c>
      <c r="W83" s="53">
        <f>'dynamic scaling metrics'!EB81</f>
        <v>59.801020408163254</v>
      </c>
      <c r="X83" s="53">
        <f>'dynamic scaling metrics'!EC81</f>
        <v>63.714285714285722</v>
      </c>
      <c r="Y83" s="53">
        <f>'dynamic scaling metrics'!ED81</f>
        <v>55.056122448979593</v>
      </c>
      <c r="Z83" s="63">
        <f>'dynamic scaling metrics'!EE81</f>
        <v>55.056122448979593</v>
      </c>
      <c r="AA83" s="58"/>
      <c r="AB83" s="54"/>
      <c r="AC83" s="56"/>
      <c r="AD83" s="53"/>
      <c r="AE83" s="53"/>
      <c r="AF83" s="53"/>
      <c r="AG83" s="53"/>
      <c r="AH83" s="53"/>
      <c r="AI83" s="53"/>
      <c r="AK83" s="27" t="str">
        <f t="shared" ref="AK83" si="31">Q79</f>
        <v>M2no4</v>
      </c>
    </row>
    <row r="84" spans="17:43" ht="31.95" customHeight="1" thickBot="1" x14ac:dyDescent="0.45">
      <c r="R84" s="25">
        <v>0.625</v>
      </c>
      <c r="S84" s="64">
        <f>'dynamic scaling metrics'!EF81</f>
        <v>50.137755102040813</v>
      </c>
      <c r="T84" s="65">
        <f>'dynamic scaling metrics'!EG81</f>
        <v>70.663265306122469</v>
      </c>
      <c r="U84" s="65">
        <f>'dynamic scaling metrics'!EH81</f>
        <v>68.661989795918387</v>
      </c>
      <c r="V84" s="65">
        <f>'dynamic scaling metrics'!EI81</f>
        <v>66.419642857142875</v>
      </c>
      <c r="W84" s="65">
        <f>'dynamic scaling metrics'!EJ81</f>
        <v>56.789540816326543</v>
      </c>
      <c r="X84" s="65">
        <f>'dynamic scaling metrics'!EK81</f>
        <v>61.051020408163275</v>
      </c>
      <c r="Y84" s="65">
        <f>'dynamic scaling metrics'!EL81</f>
        <v>53.230867346938787</v>
      </c>
      <c r="Z84" s="66">
        <f>'dynamic scaling metrics'!EM81</f>
        <v>54.557397959183682</v>
      </c>
      <c r="AA84" s="58"/>
      <c r="AB84">
        <v>0</v>
      </c>
      <c r="AC84" s="25">
        <v>0.125</v>
      </c>
      <c r="AD84" s="26">
        <v>0.25</v>
      </c>
      <c r="AE84" s="25">
        <v>0.375</v>
      </c>
      <c r="AF84" s="26">
        <v>0.5</v>
      </c>
      <c r="AG84" s="25">
        <v>0.625</v>
      </c>
      <c r="AH84" s="26">
        <v>0.75</v>
      </c>
      <c r="AI84" s="25">
        <v>0.875</v>
      </c>
      <c r="AK84" s="74" t="s">
        <v>107</v>
      </c>
      <c r="AL84">
        <f t="shared" ref="AL84" si="32">AVERAGE(U83:X84,AD85:AG85)</f>
        <v>63.230548469387763</v>
      </c>
      <c r="AN84" s="84"/>
      <c r="AQ84" s="84"/>
    </row>
    <row r="85" spans="17:43" ht="31.95" customHeight="1" x14ac:dyDescent="0.4">
      <c r="Q85" t="s">
        <v>23</v>
      </c>
      <c r="R85">
        <v>0</v>
      </c>
      <c r="S85" s="59">
        <f>'dynamic scaling metrics'!CS87</f>
        <v>100</v>
      </c>
      <c r="T85" s="60">
        <f>'dynamic scaling metrics'!CT87</f>
        <v>94.552083333333314</v>
      </c>
      <c r="U85" s="60">
        <f>'dynamic scaling metrics'!CU87</f>
        <v>88.447916666666657</v>
      </c>
      <c r="V85" s="60">
        <f>'dynamic scaling metrics'!CV87</f>
        <v>71.46875</v>
      </c>
      <c r="W85" s="60">
        <f>'dynamic scaling metrics'!CW87</f>
        <v>73.833333333333314</v>
      </c>
      <c r="X85" s="60">
        <f>'dynamic scaling metrics'!CX87</f>
        <v>61.781249999999993</v>
      </c>
      <c r="Y85" s="60">
        <f>'dynamic scaling metrics'!CY87</f>
        <v>56.156249999999993</v>
      </c>
      <c r="Z85" s="61">
        <f>'dynamic scaling metrics'!CZ87</f>
        <v>46.114583333333329</v>
      </c>
      <c r="AA85" s="67">
        <f t="shared" ref="AA85:AA86" si="33">AA79</f>
        <v>0.75</v>
      </c>
      <c r="AB85" s="57">
        <f>'dynamic scaling metrics'!EN81</f>
        <v>50.868622448979593</v>
      </c>
      <c r="AC85" s="57">
        <f>'dynamic scaling metrics'!EO81</f>
        <v>64.795918367346943</v>
      </c>
      <c r="AD85" s="57">
        <f>'dynamic scaling metrics'!EP81</f>
        <v>63.461734693877553</v>
      </c>
      <c r="AE85" s="57">
        <f>'dynamic scaling metrics'!EQ81</f>
        <v>61.966836734693878</v>
      </c>
      <c r="AF85" s="57">
        <f>'dynamic scaling metrics'!ER81</f>
        <v>53.778061224489797</v>
      </c>
      <c r="AG85" s="57">
        <f>'dynamic scaling metrics'!ES81</f>
        <v>58.387755102040828</v>
      </c>
      <c r="AH85" s="57">
        <f>'dynamic scaling metrics'!ET81</f>
        <v>51.405612244897974</v>
      </c>
      <c r="AI85" s="57">
        <f>'dynamic scaling metrics'!EU81</f>
        <v>54.058673469387756</v>
      </c>
      <c r="AK85" s="27"/>
    </row>
    <row r="86" spans="17:43" ht="31.95" customHeight="1" x14ac:dyDescent="0.4">
      <c r="Q86" t="s">
        <v>95</v>
      </c>
      <c r="R86" s="25">
        <v>0.125</v>
      </c>
      <c r="S86" s="62">
        <f>'dynamic scaling metrics'!DA87</f>
        <v>92.447916666666671</v>
      </c>
      <c r="T86" s="53">
        <f>'dynamic scaling metrics'!DB87</f>
        <v>87.680989583333329</v>
      </c>
      <c r="U86" s="53">
        <f>'dynamic scaling metrics'!DC87</f>
        <v>82.339843750000014</v>
      </c>
      <c r="V86" s="53">
        <f>'dynamic scaling metrics'!DD87</f>
        <v>66.988281250000014</v>
      </c>
      <c r="W86" s="53">
        <f>'dynamic scaling metrics'!DE87</f>
        <v>69.552083333333329</v>
      </c>
      <c r="X86" s="53">
        <f>'dynamic scaling metrics'!DF87</f>
        <v>58.51171875</v>
      </c>
      <c r="Y86" s="53">
        <f>'dynamic scaling metrics'!DG87</f>
        <v>54.084635416666664</v>
      </c>
      <c r="Z86" s="63">
        <f>'dynamic scaling metrics'!DH87</f>
        <v>45.298177083333336</v>
      </c>
      <c r="AA86" s="68">
        <f t="shared" si="33"/>
        <v>0.875</v>
      </c>
      <c r="AB86" s="57">
        <f>'dynamic scaling metrics'!EV81</f>
        <v>51.599489795918366</v>
      </c>
      <c r="AC86" s="57">
        <f>'dynamic scaling metrics'!EW81</f>
        <v>58.928571428571431</v>
      </c>
      <c r="AD86" s="57">
        <f>'dynamic scaling metrics'!EX81</f>
        <v>58.261479591836732</v>
      </c>
      <c r="AE86" s="57">
        <f>'dynamic scaling metrics'!EY81</f>
        <v>57.514030612244902</v>
      </c>
      <c r="AF86" s="57">
        <f>'dynamic scaling metrics'!EZ81</f>
        <v>50.766581632653057</v>
      </c>
      <c r="AG86" s="57">
        <f>'dynamic scaling metrics'!FA81</f>
        <v>55.724489795918366</v>
      </c>
      <c r="AH86" s="57">
        <f>'dynamic scaling metrics'!FB81</f>
        <v>49.580357142857146</v>
      </c>
      <c r="AI86" s="57">
        <f>'dynamic scaling metrics'!FC81</f>
        <v>53.559948979591844</v>
      </c>
      <c r="AK86" s="27"/>
    </row>
    <row r="87" spans="17:43" ht="31.95" customHeight="1" x14ac:dyDescent="0.4">
      <c r="R87" s="26">
        <v>0.25</v>
      </c>
      <c r="S87" s="62">
        <f>'dynamic scaling metrics'!DI87</f>
        <v>84.895833333333329</v>
      </c>
      <c r="T87" s="53">
        <f>'dynamic scaling metrics'!DJ87</f>
        <v>80.809895833333314</v>
      </c>
      <c r="U87" s="53">
        <f>'dynamic scaling metrics'!DK87</f>
        <v>76.231770833333329</v>
      </c>
      <c r="V87" s="53">
        <f>'dynamic scaling metrics'!DL87</f>
        <v>62.5078125</v>
      </c>
      <c r="W87" s="53">
        <f>'dynamic scaling metrics'!DM87</f>
        <v>65.270833333333329</v>
      </c>
      <c r="X87" s="53">
        <f>'dynamic scaling metrics'!DN87</f>
        <v>55.2421875</v>
      </c>
      <c r="Y87" s="53">
        <f>'dynamic scaling metrics'!DO87</f>
        <v>52.013020833333336</v>
      </c>
      <c r="Z87" s="63">
        <f>'dynamic scaling metrics'!DP87</f>
        <v>44.481770833333336</v>
      </c>
      <c r="AA87" s="58"/>
      <c r="AB87" s="54"/>
      <c r="AC87" s="56"/>
      <c r="AD87" s="53"/>
      <c r="AE87" s="53"/>
      <c r="AF87" s="53"/>
      <c r="AG87" s="53"/>
      <c r="AH87" s="53"/>
      <c r="AI87" s="53"/>
      <c r="AK87" s="27"/>
    </row>
    <row r="88" spans="17:43" ht="31.95" customHeight="1" thickBot="1" x14ac:dyDescent="0.45">
      <c r="R88" s="25">
        <v>0.375</v>
      </c>
      <c r="S88" s="62">
        <f>'dynamic scaling metrics'!DQ87</f>
        <v>77.343749999999986</v>
      </c>
      <c r="T88" s="53">
        <f>'dynamic scaling metrics'!DR87</f>
        <v>73.938802083333329</v>
      </c>
      <c r="U88" s="53">
        <f>'dynamic scaling metrics'!DS87</f>
        <v>70.123697916666657</v>
      </c>
      <c r="V88" s="53">
        <f>'dynamic scaling metrics'!DT87</f>
        <v>58.027343749999993</v>
      </c>
      <c r="W88" s="53">
        <f>'dynamic scaling metrics'!DU87</f>
        <v>60.989583333333314</v>
      </c>
      <c r="X88" s="53">
        <f>'dynamic scaling metrics'!DV87</f>
        <v>51.972656249999986</v>
      </c>
      <c r="Y88" s="53">
        <f>'dynamic scaling metrics'!DW87</f>
        <v>49.941406249999993</v>
      </c>
      <c r="Z88" s="63">
        <f>'dynamic scaling metrics'!DX87</f>
        <v>43.665364583333329</v>
      </c>
      <c r="AA88" s="58"/>
      <c r="AB88" s="54"/>
      <c r="AC88" s="55"/>
      <c r="AD88" s="53"/>
      <c r="AE88" s="53"/>
      <c r="AF88" s="53"/>
      <c r="AG88" s="53"/>
      <c r="AH88" s="53"/>
      <c r="AI88" s="53"/>
      <c r="AK88" s="27"/>
    </row>
    <row r="89" spans="17:43" ht="31.95" customHeight="1" x14ac:dyDescent="0.4">
      <c r="R89" s="26">
        <v>0.5</v>
      </c>
      <c r="S89" s="62">
        <f>'dynamic scaling metrics'!DX87</f>
        <v>43.665364583333329</v>
      </c>
      <c r="T89" s="53">
        <f>'dynamic scaling metrics'!DY87</f>
        <v>69.791666666666657</v>
      </c>
      <c r="U89" s="53">
        <f>'dynamic scaling metrics'!DZ87</f>
        <v>67.067708333333329</v>
      </c>
      <c r="V89" s="53">
        <f>'dynamic scaling metrics'!EA87</f>
        <v>64.015625</v>
      </c>
      <c r="W89" s="53">
        <f>'dynamic scaling metrics'!EB87</f>
        <v>53.546874999999993</v>
      </c>
      <c r="X89" s="53">
        <f>'dynamic scaling metrics'!EC87</f>
        <v>56.708333333333336</v>
      </c>
      <c r="Y89" s="53">
        <f>'dynamic scaling metrics'!ED87</f>
        <v>48.703124999999993</v>
      </c>
      <c r="Z89" s="63">
        <f>'dynamic scaling metrics'!EE87</f>
        <v>47.869791666666664</v>
      </c>
      <c r="AA89" s="58"/>
      <c r="AB89" s="54"/>
      <c r="AC89" s="56"/>
      <c r="AD89" s="53"/>
      <c r="AE89" s="53"/>
      <c r="AF89" s="53"/>
      <c r="AG89" s="53"/>
      <c r="AH89" s="53"/>
      <c r="AI89" s="53"/>
      <c r="AK89" s="75" t="str">
        <f t="shared" ref="AK89" si="34">Q85</f>
        <v>M2no5</v>
      </c>
    </row>
    <row r="90" spans="17:43" ht="31.95" customHeight="1" thickBot="1" x14ac:dyDescent="0.45">
      <c r="R90" s="25">
        <v>0.625</v>
      </c>
      <c r="S90" s="64">
        <f>'dynamic scaling metrics'!EF87</f>
        <v>42.848958333333336</v>
      </c>
      <c r="T90" s="65">
        <f>'dynamic scaling metrics'!EG87</f>
        <v>62.239583333333329</v>
      </c>
      <c r="U90" s="65">
        <f>'dynamic scaling metrics'!EH87</f>
        <v>60.196614583333321</v>
      </c>
      <c r="V90" s="65">
        <f>'dynamic scaling metrics'!EI87</f>
        <v>57.907552083333329</v>
      </c>
      <c r="W90" s="65">
        <f>'dynamic scaling metrics'!EJ87</f>
        <v>49.06640625</v>
      </c>
      <c r="X90" s="65">
        <f>'dynamic scaling metrics'!EK87</f>
        <v>52.427083333333329</v>
      </c>
      <c r="Y90" s="65">
        <f>'dynamic scaling metrics'!EL87</f>
        <v>45.433593750000007</v>
      </c>
      <c r="Z90" s="66">
        <f>'dynamic scaling metrics'!EM87</f>
        <v>45.798177083333329</v>
      </c>
      <c r="AA90" s="58"/>
      <c r="AB90">
        <v>0</v>
      </c>
      <c r="AC90" s="25">
        <v>0.125</v>
      </c>
      <c r="AD90" s="26">
        <v>0.25</v>
      </c>
      <c r="AE90" s="25">
        <v>0.375</v>
      </c>
      <c r="AF90" s="26">
        <v>0.5</v>
      </c>
      <c r="AG90" s="25">
        <v>0.625</v>
      </c>
      <c r="AH90" s="26">
        <v>0.75</v>
      </c>
      <c r="AI90" s="25">
        <v>0.875</v>
      </c>
      <c r="AK90" s="76" t="s">
        <v>107</v>
      </c>
      <c r="AL90">
        <f t="shared" ref="AL90" si="35">AVERAGE(U89:X90,AD91:AG91)</f>
        <v>54.8994140625</v>
      </c>
      <c r="AN90" s="84"/>
      <c r="AQ90" s="84"/>
    </row>
    <row r="91" spans="17:43" ht="31.95" customHeight="1" x14ac:dyDescent="0.4">
      <c r="Q91" t="s">
        <v>24</v>
      </c>
      <c r="R91">
        <v>0</v>
      </c>
      <c r="S91" s="59">
        <f>'dynamic scaling metrics'!CS93</f>
        <v>100</v>
      </c>
      <c r="T91" s="60">
        <f>'dynamic scaling metrics'!CT93</f>
        <v>94.937499999999972</v>
      </c>
      <c r="U91" s="60">
        <f>'dynamic scaling metrics'!CU93</f>
        <v>89.1875</v>
      </c>
      <c r="V91" s="60">
        <f>'dynamic scaling metrics'!CV93</f>
        <v>72.520833333333329</v>
      </c>
      <c r="W91" s="60">
        <f>'dynamic scaling metrics'!CW93</f>
        <v>75.166666666666657</v>
      </c>
      <c r="X91" s="60">
        <f>'dynamic scaling metrics'!CX93</f>
        <v>63.145833333333321</v>
      </c>
      <c r="Y91" s="60">
        <f>'dynamic scaling metrics'!CY93</f>
        <v>57.937499999999986</v>
      </c>
      <c r="Z91" s="61">
        <f>'dynamic scaling metrics'!CZ93</f>
        <v>48.062499999999986</v>
      </c>
      <c r="AA91" s="67">
        <f t="shared" ref="AA91:AA92" si="36">AA85</f>
        <v>0.75</v>
      </c>
      <c r="AB91" s="57">
        <f>'dynamic scaling metrics'!EN87</f>
        <v>42.032552083333336</v>
      </c>
      <c r="AC91" s="57">
        <f>'dynamic scaling metrics'!EO87</f>
        <v>54.687499999999993</v>
      </c>
      <c r="AD91" s="57">
        <f>'dynamic scaling metrics'!EP87</f>
        <v>53.325520833333321</v>
      </c>
      <c r="AE91" s="57">
        <f>'dynamic scaling metrics'!EQ87</f>
        <v>51.799479166666657</v>
      </c>
      <c r="AF91" s="57">
        <f>'dynamic scaling metrics'!ER87</f>
        <v>44.585937499999993</v>
      </c>
      <c r="AG91" s="57">
        <f>'dynamic scaling metrics'!ES87</f>
        <v>48.145833333333329</v>
      </c>
      <c r="AH91" s="57">
        <f>'dynamic scaling metrics'!ET87</f>
        <v>42.1640625</v>
      </c>
      <c r="AI91" s="57">
        <f>'dynamic scaling metrics'!EU87</f>
        <v>43.726562499999993</v>
      </c>
      <c r="AK91" s="27"/>
    </row>
    <row r="92" spans="17:43" ht="31.95" customHeight="1" x14ac:dyDescent="0.4">
      <c r="Q92" t="s">
        <v>95</v>
      </c>
      <c r="R92" s="25">
        <v>0.125</v>
      </c>
      <c r="S92" s="62">
        <f>'dynamic scaling metrics'!DA93</f>
        <v>92.447916666666671</v>
      </c>
      <c r="T92" s="53">
        <f>'dynamic scaling metrics'!DB93</f>
        <v>88.066406249999986</v>
      </c>
      <c r="U92" s="53">
        <f>'dynamic scaling metrics'!DC93</f>
        <v>83.079427083333343</v>
      </c>
      <c r="V92" s="53">
        <f>'dynamic scaling metrics'!DD93</f>
        <v>68.040364583333343</v>
      </c>
      <c r="W92" s="53">
        <f>'dynamic scaling metrics'!DE93</f>
        <v>70.885416666666657</v>
      </c>
      <c r="X92" s="53">
        <f>'dynamic scaling metrics'!DF93</f>
        <v>59.876302083333329</v>
      </c>
      <c r="Y92" s="53">
        <f>'dynamic scaling metrics'!DG93</f>
        <v>55.86588541666665</v>
      </c>
      <c r="Z92" s="63">
        <f>'dynamic scaling metrics'!DH93</f>
        <v>47.24609375</v>
      </c>
      <c r="AA92" s="68">
        <f t="shared" si="36"/>
        <v>0.875</v>
      </c>
      <c r="AB92" s="57">
        <f>'dynamic scaling metrics'!EV87</f>
        <v>41.216145833333329</v>
      </c>
      <c r="AC92" s="57">
        <f>'dynamic scaling metrics'!EW87</f>
        <v>47.135416666666664</v>
      </c>
      <c r="AD92" s="57">
        <f>'dynamic scaling metrics'!EX87</f>
        <v>46.454427083333329</v>
      </c>
      <c r="AE92" s="57">
        <f>'dynamic scaling metrics'!EY87</f>
        <v>45.69140625</v>
      </c>
      <c r="AF92" s="57">
        <f>'dynamic scaling metrics'!EZ87</f>
        <v>40.10546875</v>
      </c>
      <c r="AG92" s="57">
        <f>'dynamic scaling metrics'!FA87</f>
        <v>43.864583333333336</v>
      </c>
      <c r="AH92" s="57">
        <f>'dynamic scaling metrics'!FB87</f>
        <v>38.89453125</v>
      </c>
      <c r="AI92" s="57">
        <f>'dynamic scaling metrics'!FC87</f>
        <v>41.654947916666664</v>
      </c>
      <c r="AK92" s="27"/>
    </row>
    <row r="93" spans="17:43" ht="31.95" customHeight="1" x14ac:dyDescent="0.4">
      <c r="R93" s="26">
        <v>0.25</v>
      </c>
      <c r="S93" s="62">
        <f>'dynamic scaling metrics'!DI93</f>
        <v>84.895833333333329</v>
      </c>
      <c r="T93" s="53">
        <f>'dynamic scaling metrics'!DJ93</f>
        <v>81.195312499999986</v>
      </c>
      <c r="U93" s="53">
        <f>'dynamic scaling metrics'!DK93</f>
        <v>76.971354166666657</v>
      </c>
      <c r="V93" s="53">
        <f>'dynamic scaling metrics'!DL93</f>
        <v>63.559895833333336</v>
      </c>
      <c r="W93" s="53">
        <f>'dynamic scaling metrics'!DM93</f>
        <v>66.604166666666657</v>
      </c>
      <c r="X93" s="53">
        <f>'dynamic scaling metrics'!DN93</f>
        <v>56.606770833333329</v>
      </c>
      <c r="Y93" s="53">
        <f>'dynamic scaling metrics'!DO93</f>
        <v>53.794270833333321</v>
      </c>
      <c r="Z93" s="63">
        <f>'dynamic scaling metrics'!DP93</f>
        <v>46.4296875</v>
      </c>
      <c r="AA93" s="58"/>
      <c r="AB93" s="54"/>
      <c r="AC93" s="56"/>
      <c r="AD93" s="53"/>
      <c r="AE93" s="53"/>
      <c r="AF93" s="53"/>
      <c r="AG93" s="53"/>
      <c r="AH93" s="53"/>
      <c r="AI93" s="53"/>
      <c r="AK93" s="27"/>
    </row>
    <row r="94" spans="17:43" ht="31.95" customHeight="1" x14ac:dyDescent="0.4">
      <c r="R94" s="25">
        <v>0.375</v>
      </c>
      <c r="S94" s="62">
        <f>'dynamic scaling metrics'!DQ93</f>
        <v>77.343749999999986</v>
      </c>
      <c r="T94" s="53">
        <f>'dynamic scaling metrics'!DR93</f>
        <v>74.324218749999986</v>
      </c>
      <c r="U94" s="53">
        <f>'dynamic scaling metrics'!DS93</f>
        <v>70.863281249999972</v>
      </c>
      <c r="V94" s="53">
        <f>'dynamic scaling metrics'!DT93</f>
        <v>59.079427083333329</v>
      </c>
      <c r="W94" s="53">
        <f>'dynamic scaling metrics'!DU93</f>
        <v>62.322916666666657</v>
      </c>
      <c r="X94" s="53">
        <f>'dynamic scaling metrics'!DV93</f>
        <v>53.337239583333329</v>
      </c>
      <c r="Y94" s="53">
        <f>'dynamic scaling metrics'!DW93</f>
        <v>51.722656249999993</v>
      </c>
      <c r="Z94" s="63">
        <f>'dynamic scaling metrics'!DX93</f>
        <v>45.613281249999993</v>
      </c>
      <c r="AA94" s="58"/>
      <c r="AB94" s="54"/>
      <c r="AC94" s="55"/>
      <c r="AD94" s="53"/>
      <c r="AE94" s="53"/>
      <c r="AF94" s="53"/>
      <c r="AG94" s="53"/>
      <c r="AH94" s="53"/>
      <c r="AI94" s="53"/>
      <c r="AK94" s="27"/>
    </row>
    <row r="95" spans="17:43" ht="31.95" customHeight="1" x14ac:dyDescent="0.4">
      <c r="R95" s="26">
        <v>0.5</v>
      </c>
      <c r="S95" s="62">
        <f>'dynamic scaling metrics'!DX93</f>
        <v>45.613281249999993</v>
      </c>
      <c r="T95" s="53">
        <f>'dynamic scaling metrics'!DY93</f>
        <v>69.791666666666657</v>
      </c>
      <c r="U95" s="53">
        <f>'dynamic scaling metrics'!DZ93</f>
        <v>67.453125</v>
      </c>
      <c r="V95" s="53">
        <f>'dynamic scaling metrics'!EA93</f>
        <v>64.755208333333329</v>
      </c>
      <c r="W95" s="53">
        <f>'dynamic scaling metrics'!EB93</f>
        <v>54.598958333333329</v>
      </c>
      <c r="X95" s="53">
        <f>'dynamic scaling metrics'!EC93</f>
        <v>58.041666666666657</v>
      </c>
      <c r="Y95" s="53">
        <f>'dynamic scaling metrics'!ED93</f>
        <v>50.067708333333336</v>
      </c>
      <c r="Z95" s="63">
        <f>'dynamic scaling metrics'!EE93</f>
        <v>49.651041666666664</v>
      </c>
      <c r="AA95" s="58"/>
      <c r="AB95" s="54"/>
      <c r="AC95" s="56"/>
      <c r="AD95" s="53"/>
      <c r="AE95" s="53"/>
      <c r="AF95" s="53"/>
      <c r="AG95" s="53"/>
      <c r="AH95" s="53"/>
      <c r="AI95" s="53"/>
      <c r="AK95" s="27" t="str">
        <f t="shared" ref="AK95" si="37">Q91</f>
        <v>M2no6</v>
      </c>
    </row>
    <row r="96" spans="17:43" ht="31.95" customHeight="1" thickBot="1" x14ac:dyDescent="0.45">
      <c r="R96" s="25">
        <v>0.625</v>
      </c>
      <c r="S96" s="64">
        <f>'dynamic scaling metrics'!EF93</f>
        <v>44.796874999999993</v>
      </c>
      <c r="T96" s="65">
        <f>'dynamic scaling metrics'!EG93</f>
        <v>62.239583333333329</v>
      </c>
      <c r="U96" s="65">
        <f>'dynamic scaling metrics'!EH93</f>
        <v>60.582031249999993</v>
      </c>
      <c r="V96" s="65">
        <f>'dynamic scaling metrics'!EI93</f>
        <v>58.647135416666671</v>
      </c>
      <c r="W96" s="65">
        <f>'dynamic scaling metrics'!EJ93</f>
        <v>50.118489583333343</v>
      </c>
      <c r="X96" s="65">
        <f>'dynamic scaling metrics'!EK93</f>
        <v>53.760416666666664</v>
      </c>
      <c r="Y96" s="65">
        <f>'dynamic scaling metrics'!EL93</f>
        <v>46.798177083333329</v>
      </c>
      <c r="Z96" s="66">
        <f>'dynamic scaling metrics'!EM93</f>
        <v>47.579427083333329</v>
      </c>
      <c r="AA96" s="58"/>
      <c r="AB96">
        <v>0</v>
      </c>
      <c r="AC96" s="25">
        <v>0.125</v>
      </c>
      <c r="AD96" s="26">
        <v>0.25</v>
      </c>
      <c r="AE96" s="25">
        <v>0.375</v>
      </c>
      <c r="AF96" s="26">
        <v>0.5</v>
      </c>
      <c r="AG96" s="25">
        <v>0.625</v>
      </c>
      <c r="AH96" s="26">
        <v>0.75</v>
      </c>
      <c r="AI96" s="25">
        <v>0.875</v>
      </c>
      <c r="AK96" s="74" t="s">
        <v>107</v>
      </c>
      <c r="AL96">
        <f t="shared" ref="AL96" si="38">AVERAGE(U95:X96,AD97:AG97)</f>
        <v>55.777018229166657</v>
      </c>
      <c r="AN96" s="84"/>
      <c r="AQ96" s="84"/>
    </row>
    <row r="97" spans="17:43" ht="31.95" customHeight="1" x14ac:dyDescent="0.4">
      <c r="Q97" t="s">
        <v>25</v>
      </c>
      <c r="R97">
        <v>0</v>
      </c>
      <c r="S97" s="59">
        <f>'dynamic scaling metrics'!CS99</f>
        <v>100</v>
      </c>
      <c r="T97" s="60">
        <f>'dynamic scaling metrics'!CT99</f>
        <v>94.802083333333314</v>
      </c>
      <c r="U97" s="60">
        <f>'dynamic scaling metrics'!CU99</f>
        <v>88.885416666666657</v>
      </c>
      <c r="V97" s="60">
        <f>'dynamic scaling metrics'!CV99</f>
        <v>72.010416666666671</v>
      </c>
      <c r="W97" s="60">
        <f>'dynamic scaling metrics'!CW99</f>
        <v>74.416666666666657</v>
      </c>
      <c r="X97" s="60">
        <f>'dynamic scaling metrics'!CX99</f>
        <v>62.322916666666657</v>
      </c>
      <c r="Y97" s="60">
        <f>'dynamic scaling metrics'!CY99</f>
        <v>56.593749999999993</v>
      </c>
      <c r="Z97" s="61">
        <f>'dynamic scaling metrics'!CZ99</f>
        <v>46.364583333333321</v>
      </c>
      <c r="AA97" s="67">
        <f t="shared" ref="AA97:AA98" si="39">AA91</f>
        <v>0.75</v>
      </c>
      <c r="AB97" s="57">
        <f>'dynamic scaling metrics'!EN93</f>
        <v>43.980468749999986</v>
      </c>
      <c r="AC97" s="57">
        <f>'dynamic scaling metrics'!EO93</f>
        <v>54.687499999999993</v>
      </c>
      <c r="AD97" s="57">
        <f>'dynamic scaling metrics'!EP93</f>
        <v>53.710937499999993</v>
      </c>
      <c r="AE97" s="57">
        <f>'dynamic scaling metrics'!EQ93</f>
        <v>52.539062499999993</v>
      </c>
      <c r="AF97" s="57">
        <f>'dynamic scaling metrics'!ER93</f>
        <v>45.638020833333329</v>
      </c>
      <c r="AG97" s="57">
        <f>'dynamic scaling metrics'!ES93</f>
        <v>49.479166666666657</v>
      </c>
      <c r="AH97" s="57">
        <f>'dynamic scaling metrics'!ET93</f>
        <v>43.528645833333321</v>
      </c>
      <c r="AI97" s="57">
        <f>'dynamic scaling metrics'!EU93</f>
        <v>45.5078125</v>
      </c>
      <c r="AK97" s="27"/>
    </row>
    <row r="98" spans="17:43" ht="31.95" customHeight="1" x14ac:dyDescent="0.4">
      <c r="Q98" t="s">
        <v>95</v>
      </c>
      <c r="R98" s="25">
        <v>0.125</v>
      </c>
      <c r="S98" s="62">
        <f>'dynamic scaling metrics'!DA99</f>
        <v>94.010416666666671</v>
      </c>
      <c r="T98" s="53">
        <f>'dynamic scaling metrics'!DB99</f>
        <v>89.462239583333314</v>
      </c>
      <c r="U98" s="53">
        <f>'dynamic scaling metrics'!DC99</f>
        <v>84.28515625</v>
      </c>
      <c r="V98" s="53">
        <f>'dynamic scaling metrics'!DD99</f>
        <v>68.868489583333329</v>
      </c>
      <c r="W98" s="53">
        <f>'dynamic scaling metrics'!DE99</f>
        <v>71.625</v>
      </c>
      <c r="X98" s="53">
        <f>'dynamic scaling metrics'!DF99</f>
        <v>60.391927083333329</v>
      </c>
      <c r="Y98" s="53">
        <f>'dynamic scaling metrics'!DG99</f>
        <v>56.029947916666671</v>
      </c>
      <c r="Z98" s="63">
        <f>'dynamic scaling metrics'!DH99</f>
        <v>47.079427083333336</v>
      </c>
      <c r="AA98" s="68">
        <f t="shared" si="39"/>
        <v>0.875</v>
      </c>
      <c r="AB98" s="57">
        <f>'dynamic scaling metrics'!EV93</f>
        <v>43.164062499999993</v>
      </c>
      <c r="AC98" s="57">
        <f>'dynamic scaling metrics'!EW93</f>
        <v>47.135416666666664</v>
      </c>
      <c r="AD98" s="57">
        <f>'dynamic scaling metrics'!EX93</f>
        <v>46.839843749999986</v>
      </c>
      <c r="AE98" s="57">
        <f>'dynamic scaling metrics'!EY93</f>
        <v>46.430989583333321</v>
      </c>
      <c r="AF98" s="57">
        <f>'dynamic scaling metrics'!EZ93</f>
        <v>41.157552083333329</v>
      </c>
      <c r="AG98" s="57">
        <f>'dynamic scaling metrics'!FA93</f>
        <v>45.197916666666657</v>
      </c>
      <c r="AH98" s="57">
        <f>'dynamic scaling metrics'!FB93</f>
        <v>40.259114583333321</v>
      </c>
      <c r="AI98" s="57">
        <f>'dynamic scaling metrics'!FC93</f>
        <v>43.436197916666657</v>
      </c>
      <c r="AK98" s="27"/>
    </row>
    <row r="99" spans="17:43" ht="31.95" customHeight="1" x14ac:dyDescent="0.4">
      <c r="R99" s="26">
        <v>0.25</v>
      </c>
      <c r="S99" s="62">
        <f>'dynamic scaling metrics'!DI99</f>
        <v>88.020833333333329</v>
      </c>
      <c r="T99" s="53">
        <f>'dynamic scaling metrics'!DJ99</f>
        <v>84.122395833333329</v>
      </c>
      <c r="U99" s="53">
        <f>'dynamic scaling metrics'!DK99</f>
        <v>79.684895833333329</v>
      </c>
      <c r="V99" s="53">
        <f>'dynamic scaling metrics'!DL99</f>
        <v>65.7265625</v>
      </c>
      <c r="W99" s="53">
        <f>'dynamic scaling metrics'!DM99</f>
        <v>68.833333333333329</v>
      </c>
      <c r="X99" s="53">
        <f>'dynamic scaling metrics'!DN99</f>
        <v>58.4609375</v>
      </c>
      <c r="Y99" s="53">
        <f>'dynamic scaling metrics'!DO99</f>
        <v>55.466145833333329</v>
      </c>
      <c r="Z99" s="63">
        <f>'dynamic scaling metrics'!DP99</f>
        <v>47.794270833333336</v>
      </c>
      <c r="AA99" s="58"/>
      <c r="AB99" s="54"/>
      <c r="AC99" s="56"/>
      <c r="AD99" s="53"/>
      <c r="AE99" s="53"/>
      <c r="AF99" s="53"/>
      <c r="AG99" s="53"/>
      <c r="AH99" s="53"/>
      <c r="AI99" s="53"/>
      <c r="AK99" s="27"/>
    </row>
    <row r="100" spans="17:43" ht="31.95" customHeight="1" x14ac:dyDescent="0.4">
      <c r="R100" s="25">
        <v>0.375</v>
      </c>
      <c r="S100" s="62">
        <f>'dynamic scaling metrics'!DQ99</f>
        <v>82.03125</v>
      </c>
      <c r="T100" s="53">
        <f>'dynamic scaling metrics'!DR99</f>
        <v>78.782552083333329</v>
      </c>
      <c r="U100" s="53">
        <f>'dynamic scaling metrics'!DS99</f>
        <v>75.084635416666657</v>
      </c>
      <c r="V100" s="53">
        <f>'dynamic scaling metrics'!DT99</f>
        <v>62.584635416666657</v>
      </c>
      <c r="W100" s="53">
        <f>'dynamic scaling metrics'!DU99</f>
        <v>66.041666666666671</v>
      </c>
      <c r="X100" s="53">
        <f>'dynamic scaling metrics'!DV99</f>
        <v>56.529947916666664</v>
      </c>
      <c r="Y100" s="53">
        <f>'dynamic scaling metrics'!DW99</f>
        <v>54.902343750000007</v>
      </c>
      <c r="Z100" s="63">
        <f>'dynamic scaling metrics'!DX99</f>
        <v>48.509114583333336</v>
      </c>
      <c r="AA100" s="58"/>
      <c r="AB100" s="54"/>
      <c r="AC100" s="55"/>
      <c r="AD100" s="53"/>
      <c r="AE100" s="53"/>
      <c r="AF100" s="53"/>
      <c r="AG100" s="53"/>
      <c r="AH100" s="53"/>
      <c r="AI100" s="53"/>
      <c r="AK100" s="27"/>
    </row>
    <row r="101" spans="17:43" ht="31.95" customHeight="1" x14ac:dyDescent="0.4">
      <c r="R101" s="26">
        <v>0.5</v>
      </c>
      <c r="S101" s="62">
        <f>'dynamic scaling metrics'!DX99</f>
        <v>48.509114583333336</v>
      </c>
      <c r="T101" s="53">
        <f>'dynamic scaling metrics'!DY99</f>
        <v>76.041666666666671</v>
      </c>
      <c r="U101" s="53">
        <f>'dynamic scaling metrics'!DZ99</f>
        <v>73.442708333333329</v>
      </c>
      <c r="V101" s="53">
        <f>'dynamic scaling metrics'!EA99</f>
        <v>70.484375000000014</v>
      </c>
      <c r="W101" s="53">
        <f>'dynamic scaling metrics'!EB99</f>
        <v>59.442708333333336</v>
      </c>
      <c r="X101" s="53">
        <f>'dynamic scaling metrics'!EC99</f>
        <v>63.25</v>
      </c>
      <c r="Y101" s="53">
        <f>'dynamic scaling metrics'!ED99</f>
        <v>54.598958333333329</v>
      </c>
      <c r="Z101" s="63">
        <f>'dynamic scaling metrics'!EE99</f>
        <v>54.338541666666664</v>
      </c>
      <c r="AA101" s="58"/>
      <c r="AB101" s="54"/>
      <c r="AC101" s="56"/>
      <c r="AD101" s="53"/>
      <c r="AE101" s="53"/>
      <c r="AF101" s="53"/>
      <c r="AG101" s="53"/>
      <c r="AH101" s="53"/>
      <c r="AI101" s="53"/>
      <c r="AK101" s="27" t="str">
        <f t="shared" ref="AK101" si="40">Q97</f>
        <v>M2no7</v>
      </c>
    </row>
    <row r="102" spans="17:43" ht="31.95" customHeight="1" thickBot="1" x14ac:dyDescent="0.45">
      <c r="R102" s="25">
        <v>0.625</v>
      </c>
      <c r="S102" s="64">
        <f>'dynamic scaling metrics'!EF99</f>
        <v>49.223958333333329</v>
      </c>
      <c r="T102" s="65">
        <f>'dynamic scaling metrics'!EG99</f>
        <v>70.052083333333329</v>
      </c>
      <c r="U102" s="65">
        <f>'dynamic scaling metrics'!EH99</f>
        <v>68.102864583333329</v>
      </c>
      <c r="V102" s="65">
        <f>'dynamic scaling metrics'!EI99</f>
        <v>65.884114583333329</v>
      </c>
      <c r="W102" s="65">
        <f>'dynamic scaling metrics'!EJ99</f>
        <v>56.30078125</v>
      </c>
      <c r="X102" s="65">
        <f>'dynamic scaling metrics'!EK99</f>
        <v>60.458333333333329</v>
      </c>
      <c r="Y102" s="65">
        <f>'dynamic scaling metrics'!EL99</f>
        <v>52.66796875</v>
      </c>
      <c r="Z102" s="66">
        <f>'dynamic scaling metrics'!EM99</f>
        <v>53.774739583333321</v>
      </c>
      <c r="AA102" s="58"/>
      <c r="AB102">
        <v>0</v>
      </c>
      <c r="AC102" s="25">
        <v>0.125</v>
      </c>
      <c r="AD102" s="26">
        <v>0.25</v>
      </c>
      <c r="AE102" s="25">
        <v>0.375</v>
      </c>
      <c r="AF102" s="26">
        <v>0.5</v>
      </c>
      <c r="AG102" s="25">
        <v>0.625</v>
      </c>
      <c r="AH102" s="26">
        <v>0.75</v>
      </c>
      <c r="AI102" s="25">
        <v>0.875</v>
      </c>
      <c r="AK102" s="74" t="s">
        <v>107</v>
      </c>
      <c r="AL102">
        <f t="shared" ref="AL102" si="41">AVERAGE(U101:X102,AD103:AG103)</f>
        <v>62.686523437499993</v>
      </c>
      <c r="AN102" s="84"/>
      <c r="AQ102" s="84"/>
    </row>
    <row r="103" spans="17:43" ht="31.95" customHeight="1" x14ac:dyDescent="0.4">
      <c r="Q103" t="s">
        <v>26</v>
      </c>
      <c r="R103">
        <v>0</v>
      </c>
      <c r="S103" s="59">
        <f>'dynamic scaling metrics'!CS105</f>
        <v>100</v>
      </c>
      <c r="T103" s="60">
        <f>'dynamic scaling metrics'!CT105</f>
        <v>94.829787234042556</v>
      </c>
      <c r="U103" s="60">
        <f>'dynamic scaling metrics'!CU105</f>
        <v>88.957446808510653</v>
      </c>
      <c r="V103" s="60">
        <f>'dynamic scaling metrics'!CV105</f>
        <v>72.148936170212778</v>
      </c>
      <c r="W103" s="60">
        <f>'dynamic scaling metrics'!CW105</f>
        <v>74.638297872340416</v>
      </c>
      <c r="X103" s="60">
        <f>'dynamic scaling metrics'!CX105</f>
        <v>62.574468085106382</v>
      </c>
      <c r="Y103" s="60">
        <f>'dynamic scaling metrics'!CY105</f>
        <v>57.042553191489361</v>
      </c>
      <c r="Z103" s="61">
        <f>'dynamic scaling metrics'!CZ105</f>
        <v>46.957446808510639</v>
      </c>
      <c r="AA103" s="67">
        <f t="shared" ref="AA103:AA104" si="42">AA97</f>
        <v>0.75</v>
      </c>
      <c r="AB103" s="57">
        <f>'dynamic scaling metrics'!EN99</f>
        <v>49.938802083333329</v>
      </c>
      <c r="AC103" s="57">
        <f>'dynamic scaling metrics'!EO99</f>
        <v>64.0625</v>
      </c>
      <c r="AD103" s="57">
        <f>'dynamic scaling metrics'!EP99</f>
        <v>62.763020833333329</v>
      </c>
      <c r="AE103" s="57">
        <f>'dynamic scaling metrics'!EQ99</f>
        <v>61.283854166666671</v>
      </c>
      <c r="AF103" s="57">
        <f>'dynamic scaling metrics'!ER99</f>
        <v>53.158854166666671</v>
      </c>
      <c r="AG103" s="57">
        <f>'dynamic scaling metrics'!ES99</f>
        <v>57.666666666666671</v>
      </c>
      <c r="AH103" s="57">
        <f>'dynamic scaling metrics'!ET99</f>
        <v>50.736979166666664</v>
      </c>
      <c r="AI103" s="57">
        <f>'dynamic scaling metrics'!EU99</f>
        <v>53.2109375</v>
      </c>
      <c r="AK103" s="27"/>
    </row>
    <row r="104" spans="17:43" ht="31.95" customHeight="1" x14ac:dyDescent="0.4">
      <c r="Q104" t="s">
        <v>95</v>
      </c>
      <c r="R104" s="25">
        <v>0.125</v>
      </c>
      <c r="S104" s="62">
        <f>'dynamic scaling metrics'!DA105</f>
        <v>92.287234042553209</v>
      </c>
      <c r="T104" s="53">
        <f>'dynamic scaling metrics'!DB105</f>
        <v>87.8125</v>
      </c>
      <c r="U104" s="53">
        <f>'dynamic scaling metrics'!DC105</f>
        <v>82.719414893617028</v>
      </c>
      <c r="V104" s="53">
        <f>'dynamic scaling metrics'!DD105</f>
        <v>67.573138297872362</v>
      </c>
      <c r="W104" s="53">
        <f>'dynamic scaling metrics'!DE105</f>
        <v>70.265957446808514</v>
      </c>
      <c r="X104" s="53">
        <f>'dynamic scaling metrics'!DF105</f>
        <v>59.235372340425535</v>
      </c>
      <c r="Y104" s="53">
        <f>'dynamic scaling metrics'!DG105</f>
        <v>54.92686170212766</v>
      </c>
      <c r="Z104" s="63">
        <f>'dynamic scaling metrics'!DH105</f>
        <v>46.123670212765958</v>
      </c>
      <c r="AA104" s="68">
        <f t="shared" si="42"/>
        <v>0.875</v>
      </c>
      <c r="AB104" s="57">
        <f>'dynamic scaling metrics'!EV99</f>
        <v>50.653645833333329</v>
      </c>
      <c r="AC104" s="57">
        <f>'dynamic scaling metrics'!EW99</f>
        <v>58.072916666666664</v>
      </c>
      <c r="AD104" s="57">
        <f>'dynamic scaling metrics'!EX99</f>
        <v>57.423177083333336</v>
      </c>
      <c r="AE104" s="57">
        <f>'dynamic scaling metrics'!EY99</f>
        <v>56.68359375</v>
      </c>
      <c r="AF104" s="57">
        <f>'dynamic scaling metrics'!EZ99</f>
        <v>50.016927083333336</v>
      </c>
      <c r="AG104" s="57">
        <f>'dynamic scaling metrics'!FA99</f>
        <v>54.875</v>
      </c>
      <c r="AH104" s="57">
        <f>'dynamic scaling metrics'!FB99</f>
        <v>48.805989583333336</v>
      </c>
      <c r="AI104" s="57">
        <f>'dynamic scaling metrics'!FC99</f>
        <v>52.647135416666664</v>
      </c>
      <c r="AK104" s="27"/>
    </row>
    <row r="105" spans="17:43" ht="31.95" customHeight="1" x14ac:dyDescent="0.4">
      <c r="R105" s="26">
        <v>0.25</v>
      </c>
      <c r="S105" s="62">
        <f>'dynamic scaling metrics'!DI105</f>
        <v>84.574468085106389</v>
      </c>
      <c r="T105" s="53">
        <f>'dynamic scaling metrics'!DJ105</f>
        <v>80.795212765957459</v>
      </c>
      <c r="U105" s="53">
        <f>'dynamic scaling metrics'!DK105</f>
        <v>76.481382978723403</v>
      </c>
      <c r="V105" s="53">
        <f>'dynamic scaling metrics'!DL105</f>
        <v>62.997340425531917</v>
      </c>
      <c r="W105" s="53">
        <f>'dynamic scaling metrics'!DM105</f>
        <v>65.893617021276597</v>
      </c>
      <c r="X105" s="53">
        <f>'dynamic scaling metrics'!DN105</f>
        <v>55.896276595744695</v>
      </c>
      <c r="Y105" s="53">
        <f>'dynamic scaling metrics'!DO105</f>
        <v>52.811170212765958</v>
      </c>
      <c r="Z105" s="63">
        <f>'dynamic scaling metrics'!DP105</f>
        <v>45.289893617021278</v>
      </c>
      <c r="AA105" s="58"/>
      <c r="AB105" s="54"/>
      <c r="AC105" s="56"/>
      <c r="AD105" s="53"/>
      <c r="AE105" s="53"/>
      <c r="AF105" s="53"/>
      <c r="AG105" s="53"/>
      <c r="AH105" s="53"/>
      <c r="AI105" s="53"/>
      <c r="AK105" s="27"/>
    </row>
    <row r="106" spans="17:43" ht="31.95" customHeight="1" x14ac:dyDescent="0.4">
      <c r="R106" s="25">
        <v>0.375</v>
      </c>
      <c r="S106" s="62">
        <f>'dynamic scaling metrics'!DQ105</f>
        <v>76.861702127659569</v>
      </c>
      <c r="T106" s="53">
        <f>'dynamic scaling metrics'!DR105</f>
        <v>73.777925531914875</v>
      </c>
      <c r="U106" s="53">
        <f>'dynamic scaling metrics'!DS105</f>
        <v>70.243351063829792</v>
      </c>
      <c r="V106" s="53">
        <f>'dynamic scaling metrics'!DT105</f>
        <v>58.421542553191493</v>
      </c>
      <c r="W106" s="53">
        <f>'dynamic scaling metrics'!DU105</f>
        <v>61.521276595744673</v>
      </c>
      <c r="X106" s="53">
        <f>'dynamic scaling metrics'!DV105</f>
        <v>52.557180851063826</v>
      </c>
      <c r="Y106" s="53">
        <f>'dynamic scaling metrics'!DW105</f>
        <v>50.69547872340425</v>
      </c>
      <c r="Z106" s="63">
        <f>'dynamic scaling metrics'!DX105</f>
        <v>44.456117021276597</v>
      </c>
      <c r="AA106" s="58"/>
      <c r="AB106" s="54"/>
      <c r="AC106" s="55"/>
      <c r="AD106" s="53"/>
      <c r="AE106" s="53"/>
      <c r="AF106" s="53"/>
      <c r="AG106" s="53"/>
      <c r="AH106" s="53"/>
      <c r="AI106" s="53"/>
      <c r="AK106" s="27"/>
    </row>
    <row r="107" spans="17:43" ht="31.95" customHeight="1" x14ac:dyDescent="0.4">
      <c r="R107" s="26">
        <v>0.5</v>
      </c>
      <c r="S107" s="62">
        <f>'dynamic scaling metrics'!DX105</f>
        <v>44.456117021276597</v>
      </c>
      <c r="T107" s="53">
        <f>'dynamic scaling metrics'!DY105</f>
        <v>69.148936170212764</v>
      </c>
      <c r="U107" s="53">
        <f>'dynamic scaling metrics'!DZ105</f>
        <v>66.760638297872347</v>
      </c>
      <c r="V107" s="53">
        <f>'dynamic scaling metrics'!EA105</f>
        <v>64.005319148936181</v>
      </c>
      <c r="W107" s="53">
        <f>'dynamic scaling metrics'!EB105</f>
        <v>53.845744680851062</v>
      </c>
      <c r="X107" s="53">
        <f>'dynamic scaling metrics'!EC105</f>
        <v>57.148936170212778</v>
      </c>
      <c r="Y107" s="53">
        <f>'dynamic scaling metrics'!ED105</f>
        <v>49.218085106382986</v>
      </c>
      <c r="Z107" s="63">
        <f>'dynamic scaling metrics'!EE105</f>
        <v>48.579787234042563</v>
      </c>
      <c r="AA107" s="58"/>
      <c r="AB107" s="54"/>
      <c r="AC107" s="56"/>
      <c r="AD107" s="53"/>
      <c r="AE107" s="53"/>
      <c r="AF107" s="53"/>
      <c r="AG107" s="53"/>
      <c r="AH107" s="53"/>
      <c r="AI107" s="53"/>
      <c r="AK107" s="27" t="str">
        <f t="shared" ref="AK107" si="43">Q103</f>
        <v>M2no8</v>
      </c>
    </row>
    <row r="108" spans="17:43" ht="31.95" customHeight="1" thickBot="1" x14ac:dyDescent="0.45">
      <c r="R108" s="25">
        <v>0.625</v>
      </c>
      <c r="S108" s="64">
        <f>'dynamic scaling metrics'!EF105</f>
        <v>43.62234042553191</v>
      </c>
      <c r="T108" s="65">
        <f>'dynamic scaling metrics'!EG105</f>
        <v>61.436170212765958</v>
      </c>
      <c r="U108" s="65">
        <f>'dynamic scaling metrics'!EH105</f>
        <v>59.743351063829785</v>
      </c>
      <c r="V108" s="65">
        <f>'dynamic scaling metrics'!EI105</f>
        <v>57.767287234042556</v>
      </c>
      <c r="W108" s="65">
        <f>'dynamic scaling metrics'!EJ105</f>
        <v>49.269946808510646</v>
      </c>
      <c r="X108" s="65">
        <f>'dynamic scaling metrics'!EK105</f>
        <v>52.776595744680854</v>
      </c>
      <c r="Y108" s="65">
        <f>'dynamic scaling metrics'!EL105</f>
        <v>45.878989361702132</v>
      </c>
      <c r="Z108" s="66">
        <f>'dynamic scaling metrics'!EM105</f>
        <v>46.464095744680854</v>
      </c>
      <c r="AA108" s="58"/>
      <c r="AB108">
        <v>0</v>
      </c>
      <c r="AC108" s="25">
        <v>0.125</v>
      </c>
      <c r="AD108" s="26">
        <v>0.25</v>
      </c>
      <c r="AE108" s="25">
        <v>0.375</v>
      </c>
      <c r="AF108" s="26">
        <v>0.5</v>
      </c>
      <c r="AG108" s="25">
        <v>0.625</v>
      </c>
      <c r="AH108" s="26">
        <v>0.75</v>
      </c>
      <c r="AI108" s="25">
        <v>0.875</v>
      </c>
      <c r="AK108" s="74" t="s">
        <v>107</v>
      </c>
      <c r="AL108">
        <f t="shared" ref="AL108" si="44">AVERAGE(U107:X108,AD109:AG109)</f>
        <v>54.889295212765951</v>
      </c>
      <c r="AN108" s="84"/>
      <c r="AQ108" s="84"/>
    </row>
    <row r="109" spans="17:43" ht="31.95" customHeight="1" x14ac:dyDescent="0.4">
      <c r="Q109" t="s">
        <v>27</v>
      </c>
      <c r="R109">
        <v>0</v>
      </c>
      <c r="S109" s="59">
        <f>'dynamic scaling metrics'!CS111</f>
        <v>100</v>
      </c>
      <c r="T109" s="60">
        <f>'dynamic scaling metrics'!CT111</f>
        <v>94.908163265306129</v>
      </c>
      <c r="U109" s="60">
        <f>'dynamic scaling metrics'!CU111</f>
        <v>89.112244897959187</v>
      </c>
      <c r="V109" s="60">
        <f>'dynamic scaling metrics'!CV111</f>
        <v>72.377551020408163</v>
      </c>
      <c r="W109" s="60">
        <f>'dynamic scaling metrics'!CW111</f>
        <v>74.938775510204081</v>
      </c>
      <c r="X109" s="60">
        <f>'dynamic scaling metrics'!CX111</f>
        <v>62.887755102040828</v>
      </c>
      <c r="Y109" s="60">
        <f>'dynamic scaling metrics'!CY111</f>
        <v>57.479591836734699</v>
      </c>
      <c r="Z109" s="61">
        <f>'dynamic scaling metrics'!CZ111</f>
        <v>47.459183673469383</v>
      </c>
      <c r="AA109" s="67">
        <f t="shared" ref="AA109:AA110" si="45">AA103</f>
        <v>0.75</v>
      </c>
      <c r="AB109" s="57">
        <f>'dynamic scaling metrics'!EN105</f>
        <v>42.788563829787236</v>
      </c>
      <c r="AC109" s="57">
        <f>'dynamic scaling metrics'!EO105</f>
        <v>53.723404255319146</v>
      </c>
      <c r="AD109" s="57">
        <f>'dynamic scaling metrics'!EP105</f>
        <v>52.726063829787229</v>
      </c>
      <c r="AE109" s="57">
        <f>'dynamic scaling metrics'!EQ105</f>
        <v>51.529255319148938</v>
      </c>
      <c r="AF109" s="57">
        <f>'dynamic scaling metrics'!ER105</f>
        <v>44.694148936170208</v>
      </c>
      <c r="AG109" s="57">
        <f>'dynamic scaling metrics'!ES105</f>
        <v>48.404255319148938</v>
      </c>
      <c r="AH109" s="57">
        <f>'dynamic scaling metrics'!ET105</f>
        <v>42.539893617021271</v>
      </c>
      <c r="AI109" s="57">
        <f>'dynamic scaling metrics'!EU105</f>
        <v>44.348404255319153</v>
      </c>
      <c r="AK109" s="27"/>
    </row>
    <row r="110" spans="17:43" ht="31.95" customHeight="1" x14ac:dyDescent="0.4">
      <c r="Q110" t="s">
        <v>95</v>
      </c>
      <c r="R110" s="25">
        <v>0.125</v>
      </c>
      <c r="S110" s="62">
        <f>'dynamic scaling metrics'!DA111</f>
        <v>92.60204081632655</v>
      </c>
      <c r="T110" s="53">
        <f>'dynamic scaling metrics'!DB111</f>
        <v>88.193877551020421</v>
      </c>
      <c r="U110" s="53">
        <f>'dynamic scaling metrics'!DC111</f>
        <v>83.165816326530631</v>
      </c>
      <c r="V110" s="53">
        <f>'dynamic scaling metrics'!DD111</f>
        <v>68.051020408163282</v>
      </c>
      <c r="W110" s="53">
        <f>'dynamic scaling metrics'!DE111</f>
        <v>70.83673469387756</v>
      </c>
      <c r="X110" s="53">
        <f>'dynamic scaling metrics'!DF111</f>
        <v>59.785714285714299</v>
      </c>
      <c r="Y110" s="53">
        <f>'dynamic scaling metrics'!DG111</f>
        <v>55.614795918367349</v>
      </c>
      <c r="Z110" s="63">
        <f>'dynamic scaling metrics'!DH111</f>
        <v>46.867346938775512</v>
      </c>
      <c r="AA110" s="68">
        <f t="shared" si="45"/>
        <v>0.875</v>
      </c>
      <c r="AB110" s="57">
        <f>'dynamic scaling metrics'!EV105</f>
        <v>41.954787234042556</v>
      </c>
      <c r="AC110" s="57">
        <f>'dynamic scaling metrics'!EW105</f>
        <v>46.01063829787234</v>
      </c>
      <c r="AD110" s="57">
        <f>'dynamic scaling metrics'!EX105</f>
        <v>45.708776595744681</v>
      </c>
      <c r="AE110" s="57">
        <f>'dynamic scaling metrics'!EY105</f>
        <v>45.291223404255312</v>
      </c>
      <c r="AF110" s="57">
        <f>'dynamic scaling metrics'!EZ105</f>
        <v>40.118351063829792</v>
      </c>
      <c r="AG110" s="57">
        <f>'dynamic scaling metrics'!FA105</f>
        <v>44.031914893617014</v>
      </c>
      <c r="AH110" s="57">
        <f>'dynamic scaling metrics'!FB105</f>
        <v>39.200797872340424</v>
      </c>
      <c r="AI110" s="57">
        <f>'dynamic scaling metrics'!FC105</f>
        <v>42.232712765957451</v>
      </c>
      <c r="AK110" s="27"/>
    </row>
    <row r="111" spans="17:43" ht="31.95" customHeight="1" x14ac:dyDescent="0.4">
      <c r="R111" s="26">
        <v>0.25</v>
      </c>
      <c r="S111" s="62">
        <f>'dynamic scaling metrics'!DI111</f>
        <v>85.204081632653072</v>
      </c>
      <c r="T111" s="53">
        <f>'dynamic scaling metrics'!DJ111</f>
        <v>81.479591836734684</v>
      </c>
      <c r="U111" s="53">
        <f>'dynamic scaling metrics'!DK111</f>
        <v>77.219387755102062</v>
      </c>
      <c r="V111" s="53">
        <f>'dynamic scaling metrics'!DL111</f>
        <v>63.72448979591838</v>
      </c>
      <c r="W111" s="53">
        <f>'dynamic scaling metrics'!DM111</f>
        <v>66.734693877551024</v>
      </c>
      <c r="X111" s="53">
        <f>'dynamic scaling metrics'!DN111</f>
        <v>56.683673469387756</v>
      </c>
      <c r="Y111" s="53">
        <f>'dynamic scaling metrics'!DO111</f>
        <v>53.75</v>
      </c>
      <c r="Z111" s="63">
        <f>'dynamic scaling metrics'!DP111</f>
        <v>46.275510204081641</v>
      </c>
      <c r="AA111" s="58"/>
      <c r="AB111" s="54"/>
      <c r="AC111" s="56"/>
      <c r="AD111" s="53"/>
      <c r="AE111" s="53"/>
      <c r="AF111" s="53"/>
      <c r="AG111" s="53"/>
      <c r="AH111" s="53"/>
      <c r="AI111" s="53"/>
      <c r="AK111" s="27"/>
    </row>
    <row r="112" spans="17:43" ht="31.95" customHeight="1" x14ac:dyDescent="0.4">
      <c r="R112" s="25">
        <v>0.375</v>
      </c>
      <c r="S112" s="62">
        <f>'dynamic scaling metrics'!DQ111</f>
        <v>77.806122448979607</v>
      </c>
      <c r="T112" s="53">
        <f>'dynamic scaling metrics'!DR111</f>
        <v>74.765306122448976</v>
      </c>
      <c r="U112" s="53">
        <f>'dynamic scaling metrics'!DS111</f>
        <v>71.272959183673478</v>
      </c>
      <c r="V112" s="53">
        <f>'dynamic scaling metrics'!DT111</f>
        <v>59.397959183673471</v>
      </c>
      <c r="W112" s="53">
        <f>'dynamic scaling metrics'!DU111</f>
        <v>62.632653061224495</v>
      </c>
      <c r="X112" s="53">
        <f>'dynamic scaling metrics'!DV111</f>
        <v>53.581632653061227</v>
      </c>
      <c r="Y112" s="53">
        <f>'dynamic scaling metrics'!DW111</f>
        <v>51.885204081632651</v>
      </c>
      <c r="Z112" s="63">
        <f>'dynamic scaling metrics'!DX111</f>
        <v>45.683673469387749</v>
      </c>
      <c r="AA112" s="58"/>
      <c r="AB112" s="54"/>
      <c r="AC112" s="55"/>
      <c r="AD112" s="53"/>
      <c r="AE112" s="53"/>
      <c r="AF112" s="53"/>
      <c r="AG112" s="53"/>
      <c r="AH112" s="53"/>
      <c r="AI112" s="53"/>
      <c r="AK112" s="27"/>
    </row>
    <row r="113" spans="3:49" ht="31.95" customHeight="1" x14ac:dyDescent="0.4">
      <c r="R113" s="26">
        <v>0.5</v>
      </c>
      <c r="S113" s="62">
        <f>'dynamic scaling metrics'!DX111</f>
        <v>45.683673469387749</v>
      </c>
      <c r="T113" s="53">
        <f>'dynamic scaling metrics'!DY111</f>
        <v>70.408163265306129</v>
      </c>
      <c r="U113" s="53">
        <f>'dynamic scaling metrics'!DZ111</f>
        <v>68.051020408163268</v>
      </c>
      <c r="V113" s="53">
        <f>'dynamic scaling metrics'!EA111</f>
        <v>65.326530612244895</v>
      </c>
      <c r="W113" s="53">
        <f>'dynamic scaling metrics'!EB111</f>
        <v>55.071428571428591</v>
      </c>
      <c r="X113" s="53">
        <f>'dynamic scaling metrics'!EC111</f>
        <v>58.530612244897966</v>
      </c>
      <c r="Y113" s="53">
        <f>'dynamic scaling metrics'!ED111</f>
        <v>50.479591836734691</v>
      </c>
      <c r="Z113" s="63">
        <f>'dynamic scaling metrics'!EE111</f>
        <v>50.020408163265309</v>
      </c>
      <c r="AA113" s="58"/>
      <c r="AB113" s="54"/>
      <c r="AC113" s="56"/>
      <c r="AD113" s="53"/>
      <c r="AE113" s="53"/>
      <c r="AF113" s="53"/>
      <c r="AG113" s="53"/>
      <c r="AH113" s="53"/>
      <c r="AI113" s="53"/>
      <c r="AK113" s="27" t="str">
        <f t="shared" ref="AK113" si="46">Q109</f>
        <v>M2no9</v>
      </c>
    </row>
    <row r="114" spans="3:49" s="69" customFormat="1" ht="31.95" customHeight="1" thickBot="1" x14ac:dyDescent="0.45"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R114" s="70">
        <v>0.625</v>
      </c>
      <c r="S114" s="64">
        <f>'dynamic scaling metrics'!EF111</f>
        <v>45.091836734693885</v>
      </c>
      <c r="T114" s="65">
        <f>'dynamic scaling metrics'!EG111</f>
        <v>63.010204081632658</v>
      </c>
      <c r="U114" s="65">
        <f>'dynamic scaling metrics'!EH111</f>
        <v>61.336734693877567</v>
      </c>
      <c r="V114" s="65">
        <f>'dynamic scaling metrics'!EI111</f>
        <v>59.38010204081634</v>
      </c>
      <c r="W114" s="65">
        <f>'dynamic scaling metrics'!EJ111</f>
        <v>50.744897959183675</v>
      </c>
      <c r="X114" s="65">
        <f>'dynamic scaling metrics'!EK111</f>
        <v>54.428571428571431</v>
      </c>
      <c r="Y114" s="65">
        <f>'dynamic scaling metrics'!EL111</f>
        <v>47.37755102040817</v>
      </c>
      <c r="Z114" s="66">
        <f>'dynamic scaling metrics'!EM111</f>
        <v>48.155612244897959</v>
      </c>
      <c r="AA114" s="58"/>
      <c r="AB114">
        <v>0</v>
      </c>
      <c r="AC114" s="25">
        <v>0.125</v>
      </c>
      <c r="AD114" s="26">
        <v>0.25</v>
      </c>
      <c r="AE114" s="25">
        <v>0.375</v>
      </c>
      <c r="AF114" s="26">
        <v>0.5</v>
      </c>
      <c r="AG114" s="25">
        <v>0.625</v>
      </c>
      <c r="AH114" s="26">
        <v>0.75</v>
      </c>
      <c r="AI114" s="25">
        <v>0.875</v>
      </c>
      <c r="AK114" s="74" t="s">
        <v>107</v>
      </c>
      <c r="AL114">
        <f t="shared" ref="AL114" si="47">AVERAGE(U113:X114,AD115:AG115)</f>
        <v>56.472576530612258</v>
      </c>
      <c r="AM114"/>
      <c r="AN114" s="84"/>
      <c r="AO114" s="83"/>
      <c r="AP114" s="83"/>
      <c r="AQ114" s="84"/>
      <c r="AR114" s="83"/>
      <c r="AS114" s="83"/>
      <c r="AT114" s="83"/>
      <c r="AW114" s="78"/>
    </row>
    <row r="115" spans="3:49" ht="31.95" customHeight="1" x14ac:dyDescent="0.4">
      <c r="Q115" t="s">
        <v>28</v>
      </c>
      <c r="R115">
        <v>0</v>
      </c>
      <c r="S115" s="59">
        <f>'dynamic scaling metrics'!CS117</f>
        <v>100</v>
      </c>
      <c r="T115" s="60">
        <f>'dynamic scaling metrics'!CT117</f>
        <v>96.231481481481481</v>
      </c>
      <c r="U115" s="60">
        <f>'dynamic scaling metrics'!CU117</f>
        <v>91.379629629629633</v>
      </c>
      <c r="V115" s="60">
        <f>'dynamic scaling metrics'!CV117</f>
        <v>75.083333333333343</v>
      </c>
      <c r="W115" s="60">
        <f>'dynamic scaling metrics'!CW117</f>
        <v>77.703703703703695</v>
      </c>
      <c r="X115" s="60">
        <f>'dynamic scaling metrics'!CX117</f>
        <v>65.361111111111114</v>
      </c>
      <c r="Y115" s="60">
        <f>'dynamic scaling metrics'!CY117</f>
        <v>58.972222222222229</v>
      </c>
      <c r="Z115" s="61">
        <f>'dynamic scaling metrics'!CZ117</f>
        <v>47.620370370370374</v>
      </c>
      <c r="AA115" s="67">
        <f t="shared" ref="AA115:AA116" si="48">AA109</f>
        <v>0.75</v>
      </c>
      <c r="AB115" s="57">
        <f>'dynamic scaling metrics'!EN111</f>
        <v>44.500000000000007</v>
      </c>
      <c r="AC115" s="57">
        <f>'dynamic scaling metrics'!EO111</f>
        <v>55.612244897959187</v>
      </c>
      <c r="AD115" s="57">
        <f>'dynamic scaling metrics'!EP111</f>
        <v>54.622448979591844</v>
      </c>
      <c r="AE115" s="57">
        <f>'dynamic scaling metrics'!EQ111</f>
        <v>53.43367346938777</v>
      </c>
      <c r="AF115" s="57">
        <f>'dynamic scaling metrics'!ER111</f>
        <v>46.41836734693878</v>
      </c>
      <c r="AG115" s="57">
        <f>'dynamic scaling metrics'!ES111</f>
        <v>50.326530612244902</v>
      </c>
      <c r="AH115" s="57">
        <f>'dynamic scaling metrics'!ET111</f>
        <v>44.275510204081634</v>
      </c>
      <c r="AI115" s="57">
        <f>'dynamic scaling metrics'!EU111</f>
        <v>46.290816326530617</v>
      </c>
      <c r="AK115" s="27"/>
    </row>
    <row r="116" spans="3:49" ht="31.95" customHeight="1" x14ac:dyDescent="0.4">
      <c r="Q116" t="s">
        <v>95</v>
      </c>
      <c r="R116" s="25">
        <v>0.125</v>
      </c>
      <c r="S116" s="62">
        <f>'dynamic scaling metrics'!DA117</f>
        <v>93.518518518518533</v>
      </c>
      <c r="T116" s="53">
        <f>'dynamic scaling metrics'!DB117</f>
        <v>90.22106481481481</v>
      </c>
      <c r="U116" s="53">
        <f>'dynamic scaling metrics'!DC117</f>
        <v>85.975694444444457</v>
      </c>
      <c r="V116" s="53">
        <f>'dynamic scaling metrics'!DD117</f>
        <v>71.114583333333357</v>
      </c>
      <c r="W116" s="53">
        <f>'dynamic scaling metrics'!DE117</f>
        <v>74.009259259259281</v>
      </c>
      <c r="X116" s="53">
        <f>'dynamic scaling metrics'!DF117</f>
        <v>62.607638888888893</v>
      </c>
      <c r="Y116" s="53">
        <f>'dynamic scaling metrics'!DG117</f>
        <v>57.619212962962969</v>
      </c>
      <c r="Z116" s="63">
        <f>'dynamic scaling metrics'!DH117</f>
        <v>47.686342592592595</v>
      </c>
      <c r="AA116" s="68">
        <f t="shared" si="48"/>
        <v>0.875</v>
      </c>
      <c r="AB116" s="57">
        <f>'dynamic scaling metrics'!EV111</f>
        <v>43.908163265306122</v>
      </c>
      <c r="AC116" s="57">
        <f>'dynamic scaling metrics'!EW111</f>
        <v>48.214285714285715</v>
      </c>
      <c r="AD116" s="57">
        <f>'dynamic scaling metrics'!EX111</f>
        <v>47.908163265306122</v>
      </c>
      <c r="AE116" s="57">
        <f>'dynamic scaling metrics'!EY111</f>
        <v>47.487244897959194</v>
      </c>
      <c r="AF116" s="57">
        <f>'dynamic scaling metrics'!EZ111</f>
        <v>42.091836734693885</v>
      </c>
      <c r="AG116" s="57">
        <f>'dynamic scaling metrics'!FA111</f>
        <v>46.22448979591838</v>
      </c>
      <c r="AH116" s="57">
        <f>'dynamic scaling metrics'!FB111</f>
        <v>41.173469387755112</v>
      </c>
      <c r="AI116" s="57">
        <f>'dynamic scaling metrics'!FC111</f>
        <v>44.426020408163275</v>
      </c>
      <c r="AK116" s="27"/>
    </row>
    <row r="117" spans="3:49" ht="31.95" customHeight="1" x14ac:dyDescent="0.4">
      <c r="R117" s="26">
        <v>0.25</v>
      </c>
      <c r="S117" s="62">
        <f>'dynamic scaling metrics'!DI117</f>
        <v>87.037037037037052</v>
      </c>
      <c r="T117" s="53">
        <f>'dynamic scaling metrics'!DJ117</f>
        <v>84.210648148148152</v>
      </c>
      <c r="U117" s="53">
        <f>'dynamic scaling metrics'!DK117</f>
        <v>80.571759259259267</v>
      </c>
      <c r="V117" s="53">
        <f>'dynamic scaling metrics'!DL117</f>
        <v>67.145833333333343</v>
      </c>
      <c r="W117" s="53">
        <f>'dynamic scaling metrics'!DM117</f>
        <v>70.314814814814824</v>
      </c>
      <c r="X117" s="53">
        <f>'dynamic scaling metrics'!DN117</f>
        <v>59.854166666666657</v>
      </c>
      <c r="Y117" s="53">
        <f>'dynamic scaling metrics'!DO117</f>
        <v>56.266203703703709</v>
      </c>
      <c r="Z117" s="63">
        <f>'dynamic scaling metrics'!DP117</f>
        <v>47.75231481481481</v>
      </c>
      <c r="AA117" s="58"/>
      <c r="AB117" s="54"/>
      <c r="AC117" s="56"/>
      <c r="AD117" s="53"/>
      <c r="AE117" s="53"/>
      <c r="AF117" s="53"/>
      <c r="AG117" s="53"/>
      <c r="AH117" s="53"/>
      <c r="AI117" s="53"/>
      <c r="AK117" s="27"/>
    </row>
    <row r="118" spans="3:49" ht="31.95" customHeight="1" x14ac:dyDescent="0.4">
      <c r="R118" s="25">
        <v>0.375</v>
      </c>
      <c r="S118" s="62">
        <f>'dynamic scaling metrics'!DQ117</f>
        <v>80.555555555555557</v>
      </c>
      <c r="T118" s="53">
        <f>'dynamic scaling metrics'!DR117</f>
        <v>78.200231481481481</v>
      </c>
      <c r="U118" s="53">
        <f>'dynamic scaling metrics'!DS117</f>
        <v>75.16782407407409</v>
      </c>
      <c r="V118" s="53">
        <f>'dynamic scaling metrics'!DT117</f>
        <v>63.177083333333343</v>
      </c>
      <c r="W118" s="53">
        <f>'dynamic scaling metrics'!DU117</f>
        <v>66.620370370370367</v>
      </c>
      <c r="X118" s="53">
        <f>'dynamic scaling metrics'!DV117</f>
        <v>57.100694444444443</v>
      </c>
      <c r="Y118" s="53">
        <f>'dynamic scaling metrics'!DW117</f>
        <v>54.91319444444445</v>
      </c>
      <c r="Z118" s="63">
        <f>'dynamic scaling metrics'!DX117</f>
        <v>47.818287037037038</v>
      </c>
      <c r="AA118" s="58"/>
      <c r="AB118" s="54"/>
      <c r="AC118" s="55"/>
      <c r="AD118" s="53"/>
      <c r="AE118" s="53"/>
      <c r="AF118" s="53"/>
      <c r="AG118" s="53"/>
      <c r="AH118" s="53"/>
      <c r="AI118" s="53"/>
      <c r="AK118" s="27"/>
    </row>
    <row r="119" spans="3:49" ht="31.95" customHeight="1" x14ac:dyDescent="0.4">
      <c r="R119" s="26">
        <v>0.5</v>
      </c>
      <c r="S119" s="62">
        <f>'dynamic scaling metrics'!DX117</f>
        <v>47.818287037037038</v>
      </c>
      <c r="T119" s="53">
        <f>'dynamic scaling metrics'!DY117</f>
        <v>74.074074074074076</v>
      </c>
      <c r="U119" s="53">
        <f>'dynamic scaling metrics'!DZ117</f>
        <v>72.18981481481481</v>
      </c>
      <c r="V119" s="53">
        <f>'dynamic scaling metrics'!EA117</f>
        <v>69.763888888888886</v>
      </c>
      <c r="W119" s="53">
        <f>'dynamic scaling metrics'!EB117</f>
        <v>59.208333333333336</v>
      </c>
      <c r="X119" s="53">
        <f>'dynamic scaling metrics'!EC117</f>
        <v>62.925925925925924</v>
      </c>
      <c r="Y119" s="53">
        <f>'dynamic scaling metrics'!ED117</f>
        <v>54.347222222222221</v>
      </c>
      <c r="Z119" s="63">
        <f>'dynamic scaling metrics'!EE117</f>
        <v>53.560185185185183</v>
      </c>
      <c r="AA119" s="58"/>
      <c r="AB119" s="54"/>
      <c r="AC119" s="56"/>
      <c r="AD119" s="53"/>
      <c r="AE119" s="53"/>
      <c r="AF119" s="53"/>
      <c r="AG119" s="53"/>
      <c r="AH119" s="53"/>
      <c r="AI119" s="53"/>
      <c r="AK119" s="27" t="str">
        <f t="shared" ref="AK119" si="49">Q115</f>
        <v>M3no1</v>
      </c>
    </row>
    <row r="120" spans="3:49" ht="31.95" customHeight="1" thickBot="1" x14ac:dyDescent="0.45">
      <c r="R120" s="25">
        <v>0.625</v>
      </c>
      <c r="S120" s="64">
        <f>'dynamic scaling metrics'!EF117</f>
        <v>47.88425925925926</v>
      </c>
      <c r="T120" s="65">
        <f>'dynamic scaling metrics'!EG117</f>
        <v>67.592592592592609</v>
      </c>
      <c r="U120" s="65">
        <f>'dynamic scaling metrics'!EH117</f>
        <v>66.179398148148167</v>
      </c>
      <c r="V120" s="65">
        <f>'dynamic scaling metrics'!EI117</f>
        <v>64.359953703703724</v>
      </c>
      <c r="W120" s="65">
        <f>'dynamic scaling metrics'!EJ117</f>
        <v>55.23958333333335</v>
      </c>
      <c r="X120" s="65">
        <f>'dynamic scaling metrics'!EK117</f>
        <v>59.231481481481488</v>
      </c>
      <c r="Y120" s="65">
        <f>'dynamic scaling metrics'!EL117</f>
        <v>51.593750000000007</v>
      </c>
      <c r="Z120" s="66">
        <f>'dynamic scaling metrics'!EM117</f>
        <v>52.207175925925931</v>
      </c>
      <c r="AA120" s="58"/>
      <c r="AB120">
        <v>0</v>
      </c>
      <c r="AC120" s="25">
        <v>0.125</v>
      </c>
      <c r="AD120" s="26">
        <v>0.25</v>
      </c>
      <c r="AE120" s="25">
        <v>0.375</v>
      </c>
      <c r="AF120" s="26">
        <v>0.5</v>
      </c>
      <c r="AG120" s="25">
        <v>0.625</v>
      </c>
      <c r="AH120" s="26">
        <v>0.75</v>
      </c>
      <c r="AI120" s="25">
        <v>0.875</v>
      </c>
      <c r="AK120" s="74" t="s">
        <v>107</v>
      </c>
      <c r="AL120">
        <f t="shared" ref="AL120" si="50">AVERAGE(U119:X120,AD121:AG121)</f>
        <v>61.252604166666664</v>
      </c>
      <c r="AN120" s="84"/>
      <c r="AQ120" s="84"/>
    </row>
    <row r="121" spans="3:49" ht="31.95" customHeight="1" x14ac:dyDescent="0.4">
      <c r="Q121" t="s">
        <v>29</v>
      </c>
      <c r="R121">
        <v>0</v>
      </c>
      <c r="S121" s="59">
        <f>'dynamic scaling metrics'!CS123</f>
        <v>100</v>
      </c>
      <c r="T121" s="60">
        <f>'dynamic scaling metrics'!CT123</f>
        <v>96.129629629629619</v>
      </c>
      <c r="U121" s="60">
        <f>'dynamic scaling metrics'!CU123</f>
        <v>91.259259259259267</v>
      </c>
      <c r="V121" s="60">
        <f>'dynamic scaling metrics'!CV123</f>
        <v>75.055555555555571</v>
      </c>
      <c r="W121" s="60">
        <f>'dynamic scaling metrics'!CW123</f>
        <v>77.851851851851862</v>
      </c>
      <c r="X121" s="60">
        <f>'dynamic scaling metrics'!CX123</f>
        <v>65.611111111111114</v>
      </c>
      <c r="Y121" s="60">
        <f>'dynamic scaling metrics'!CY123</f>
        <v>59.777777777777786</v>
      </c>
      <c r="Z121" s="61">
        <f>'dynamic scaling metrics'!CZ123</f>
        <v>48.907407407407412</v>
      </c>
      <c r="AA121" s="67">
        <f t="shared" ref="AA121:AA122" si="51">AA115</f>
        <v>0.75</v>
      </c>
      <c r="AB121" s="57">
        <f>'dynamic scaling metrics'!EN117</f>
        <v>47.950231481481481</v>
      </c>
      <c r="AC121" s="57">
        <f>'dynamic scaling metrics'!EO117</f>
        <v>61.111111111111114</v>
      </c>
      <c r="AD121" s="57">
        <f>'dynamic scaling metrics'!EP117</f>
        <v>60.168981481481488</v>
      </c>
      <c r="AE121" s="57">
        <f>'dynamic scaling metrics'!EQ117</f>
        <v>58.956018518518526</v>
      </c>
      <c r="AF121" s="57">
        <f>'dynamic scaling metrics'!ER117</f>
        <v>51.270833333333336</v>
      </c>
      <c r="AG121" s="57">
        <f>'dynamic scaling metrics'!ES117</f>
        <v>55.537037037037045</v>
      </c>
      <c r="AH121" s="57">
        <f>'dynamic scaling metrics'!ET117</f>
        <v>48.840277777777779</v>
      </c>
      <c r="AI121" s="57">
        <f>'dynamic scaling metrics'!EU117</f>
        <v>50.854166666666679</v>
      </c>
      <c r="AK121" s="27"/>
    </row>
    <row r="122" spans="3:49" ht="31.95" customHeight="1" x14ac:dyDescent="0.4">
      <c r="Q122" t="s">
        <v>95</v>
      </c>
      <c r="R122" s="25">
        <v>0.125</v>
      </c>
      <c r="S122" s="62">
        <f>'dynamic scaling metrics'!DA123</f>
        <v>92.129629629629648</v>
      </c>
      <c r="T122" s="53">
        <f>'dynamic scaling metrics'!DB123</f>
        <v>88.743055555555571</v>
      </c>
      <c r="U122" s="53">
        <f>'dynamic scaling metrics'!DC123</f>
        <v>84.481481481481481</v>
      </c>
      <c r="V122" s="53">
        <f>'dynamic scaling metrics'!DD123</f>
        <v>69.840277777777786</v>
      </c>
      <c r="W122" s="53">
        <f>'dynamic scaling metrics'!DE123</f>
        <v>72.75</v>
      </c>
      <c r="X122" s="53">
        <f>'dynamic scaling metrics'!DF123</f>
        <v>61.576388888888886</v>
      </c>
      <c r="Y122" s="53">
        <f>'dynamic scaling metrics'!DG123</f>
        <v>56.93518518518519</v>
      </c>
      <c r="Z122" s="63">
        <f>'dynamic scaling metrics'!DH123</f>
        <v>47.423611111111114</v>
      </c>
      <c r="AA122" s="68">
        <f t="shared" si="51"/>
        <v>0.875</v>
      </c>
      <c r="AB122" s="57">
        <f>'dynamic scaling metrics'!EV117</f>
        <v>48.016203703703709</v>
      </c>
      <c r="AC122" s="57">
        <f>'dynamic scaling metrics'!EW117</f>
        <v>54.629629629629633</v>
      </c>
      <c r="AD122" s="57">
        <f>'dynamic scaling metrics'!EX117</f>
        <v>54.15856481481481</v>
      </c>
      <c r="AE122" s="57">
        <f>'dynamic scaling metrics'!EY117</f>
        <v>53.552083333333336</v>
      </c>
      <c r="AF122" s="57">
        <f>'dynamic scaling metrics'!EZ117</f>
        <v>47.302083333333336</v>
      </c>
      <c r="AG122" s="57">
        <f>'dynamic scaling metrics'!FA117</f>
        <v>51.842592592592588</v>
      </c>
      <c r="AH122" s="57">
        <f>'dynamic scaling metrics'!FB117</f>
        <v>46.086805555555557</v>
      </c>
      <c r="AI122" s="57">
        <f>'dynamic scaling metrics'!FC117</f>
        <v>49.501157407407405</v>
      </c>
      <c r="AK122" s="27"/>
    </row>
    <row r="123" spans="3:49" ht="31.95" customHeight="1" x14ac:dyDescent="0.4">
      <c r="R123" s="26">
        <v>0.25</v>
      </c>
      <c r="S123" s="62">
        <f>'dynamic scaling metrics'!DI123</f>
        <v>84.259259259259267</v>
      </c>
      <c r="T123" s="53">
        <f>'dynamic scaling metrics'!DJ123</f>
        <v>81.356481481481481</v>
      </c>
      <c r="U123" s="53">
        <f>'dynamic scaling metrics'!DK123</f>
        <v>77.703703703703695</v>
      </c>
      <c r="V123" s="53">
        <f>'dynamic scaling metrics'!DL123</f>
        <v>64.625</v>
      </c>
      <c r="W123" s="53">
        <f>'dynamic scaling metrics'!DM123</f>
        <v>67.648148148148152</v>
      </c>
      <c r="X123" s="53">
        <f>'dynamic scaling metrics'!DN123</f>
        <v>57.541666666666671</v>
      </c>
      <c r="Y123" s="53">
        <f>'dynamic scaling metrics'!DO123</f>
        <v>54.092592592592595</v>
      </c>
      <c r="Z123" s="63">
        <f>'dynamic scaling metrics'!DP123</f>
        <v>45.93981481481481</v>
      </c>
      <c r="AA123" s="58"/>
      <c r="AB123" s="54"/>
      <c r="AC123" s="56"/>
      <c r="AD123" s="53"/>
      <c r="AE123" s="53"/>
      <c r="AF123" s="53"/>
      <c r="AG123" s="53"/>
      <c r="AH123" s="53"/>
      <c r="AI123" s="53"/>
      <c r="AK123" s="27"/>
    </row>
    <row r="124" spans="3:49" ht="31.95" customHeight="1" x14ac:dyDescent="0.4">
      <c r="R124" s="25">
        <v>0.375</v>
      </c>
      <c r="S124" s="62">
        <f>'dynamic scaling metrics'!DQ123</f>
        <v>76.3888888888889</v>
      </c>
      <c r="T124" s="53">
        <f>'dynamic scaling metrics'!DR123</f>
        <v>73.969907407407419</v>
      </c>
      <c r="U124" s="53">
        <f>'dynamic scaling metrics'!DS123</f>
        <v>70.925925925925938</v>
      </c>
      <c r="V124" s="53">
        <f>'dynamic scaling metrics'!DT123</f>
        <v>59.409722222222236</v>
      </c>
      <c r="W124" s="53">
        <f>'dynamic scaling metrics'!DU123</f>
        <v>62.546296296296305</v>
      </c>
      <c r="X124" s="53">
        <f>'dynamic scaling metrics'!DV123</f>
        <v>53.506944444444457</v>
      </c>
      <c r="Y124" s="53">
        <f>'dynamic scaling metrics'!DW123</f>
        <v>51.25</v>
      </c>
      <c r="Z124" s="63">
        <f>'dynamic scaling metrics'!DX123</f>
        <v>44.456018518518519</v>
      </c>
      <c r="AA124" s="58"/>
      <c r="AB124" s="54"/>
      <c r="AC124" s="55"/>
      <c r="AD124" s="53"/>
      <c r="AE124" s="53"/>
      <c r="AF124" s="53"/>
      <c r="AG124" s="53"/>
      <c r="AH124" s="53"/>
      <c r="AI124" s="53"/>
      <c r="AK124" s="27"/>
    </row>
    <row r="125" spans="3:49" ht="31.95" customHeight="1" x14ac:dyDescent="0.4">
      <c r="R125" s="26">
        <v>0.5</v>
      </c>
      <c r="S125" s="62">
        <f>'dynamic scaling metrics'!DX123</f>
        <v>44.456018518518519</v>
      </c>
      <c r="T125" s="53">
        <f>'dynamic scaling metrics'!DY123</f>
        <v>68.518518518518519</v>
      </c>
      <c r="U125" s="53">
        <f>'dynamic scaling metrics'!DZ123</f>
        <v>66.583333333333343</v>
      </c>
      <c r="V125" s="53">
        <f>'dynamic scaling metrics'!EA123</f>
        <v>64.148148148148152</v>
      </c>
      <c r="W125" s="53">
        <f>'dynamic scaling metrics'!EB123</f>
        <v>54.19444444444445</v>
      </c>
      <c r="X125" s="53">
        <f>'dynamic scaling metrics'!EC123</f>
        <v>57.444444444444443</v>
      </c>
      <c r="Y125" s="53">
        <f>'dynamic scaling metrics'!ED123</f>
        <v>49.472222222222221</v>
      </c>
      <c r="Z125" s="63">
        <f>'dynamic scaling metrics'!EE123</f>
        <v>48.407407407407405</v>
      </c>
      <c r="AA125" s="58"/>
      <c r="AB125" s="54"/>
      <c r="AC125" s="56"/>
      <c r="AD125" s="53"/>
      <c r="AE125" s="53"/>
      <c r="AF125" s="53"/>
      <c r="AG125" s="53"/>
      <c r="AH125" s="53"/>
      <c r="AI125" s="53"/>
      <c r="AK125" s="27" t="str">
        <f t="shared" ref="AK125" si="52">Q121</f>
        <v>M3no2</v>
      </c>
    </row>
    <row r="126" spans="3:49" ht="31.95" customHeight="1" thickBot="1" x14ac:dyDescent="0.45">
      <c r="R126" s="25">
        <v>0.625</v>
      </c>
      <c r="S126" s="64">
        <f>'dynamic scaling metrics'!EF123</f>
        <v>42.972222222222221</v>
      </c>
      <c r="T126" s="65">
        <f>'dynamic scaling metrics'!EG123</f>
        <v>60.648148148148152</v>
      </c>
      <c r="U126" s="65">
        <f>'dynamic scaling metrics'!EH123</f>
        <v>59.19675925925926</v>
      </c>
      <c r="V126" s="65">
        <f>'dynamic scaling metrics'!EI123</f>
        <v>57.370370370370374</v>
      </c>
      <c r="W126" s="65">
        <f>'dynamic scaling metrics'!EJ123</f>
        <v>48.979166666666671</v>
      </c>
      <c r="X126" s="65">
        <f>'dynamic scaling metrics'!EK123</f>
        <v>52.342592592592588</v>
      </c>
      <c r="Y126" s="65">
        <f>'dynamic scaling metrics'!EL123</f>
        <v>45.4375</v>
      </c>
      <c r="Z126" s="66">
        <f>'dynamic scaling metrics'!EM123</f>
        <v>45.564814814814824</v>
      </c>
      <c r="AA126" s="58"/>
      <c r="AB126">
        <v>0</v>
      </c>
      <c r="AC126" s="25">
        <v>0.125</v>
      </c>
      <c r="AD126" s="26">
        <v>0.25</v>
      </c>
      <c r="AE126" s="25">
        <v>0.375</v>
      </c>
      <c r="AF126" s="26">
        <v>0.5</v>
      </c>
      <c r="AG126" s="25">
        <v>0.625</v>
      </c>
      <c r="AH126" s="26">
        <v>0.75</v>
      </c>
      <c r="AI126" s="25">
        <v>0.875</v>
      </c>
      <c r="AK126" s="74" t="s">
        <v>107</v>
      </c>
      <c r="AL126">
        <f t="shared" ref="AL126" si="53">AVERAGE(U125:X126,AD127:AG127)</f>
        <v>54.472222222222229</v>
      </c>
      <c r="AN126" s="84"/>
      <c r="AQ126" s="84"/>
    </row>
    <row r="127" spans="3:49" ht="31.95" customHeight="1" x14ac:dyDescent="0.4">
      <c r="Q127" t="s">
        <v>30</v>
      </c>
      <c r="R127">
        <v>0</v>
      </c>
      <c r="S127" s="59">
        <f>'dynamic scaling metrics'!CS129</f>
        <v>100</v>
      </c>
      <c r="T127" s="60">
        <f>'dynamic scaling metrics'!CT129</f>
        <v>96.418181818181807</v>
      </c>
      <c r="U127" s="60">
        <f>'dynamic scaling metrics'!CU129</f>
        <v>91.8</v>
      </c>
      <c r="V127" s="60">
        <f>'dynamic scaling metrics'!CV129</f>
        <v>75.8</v>
      </c>
      <c r="W127" s="60">
        <f>'dynamic scaling metrics'!CW129</f>
        <v>78.763636363636351</v>
      </c>
      <c r="X127" s="60">
        <f>'dynamic scaling metrics'!CX129</f>
        <v>66.527272727272717</v>
      </c>
      <c r="Y127" s="60">
        <f>'dynamic scaling metrics'!CY129</f>
        <v>60.890909090909084</v>
      </c>
      <c r="Z127" s="61">
        <f>'dynamic scaling metrics'!CZ129</f>
        <v>50.054545454545448</v>
      </c>
      <c r="AA127" s="67">
        <f t="shared" ref="AA127:AA128" si="54">AA121</f>
        <v>0.75</v>
      </c>
      <c r="AB127" s="57">
        <f>'dynamic scaling metrics'!EN123</f>
        <v>41.488425925925924</v>
      </c>
      <c r="AC127" s="57">
        <f>'dynamic scaling metrics'!EO123</f>
        <v>52.777777777777779</v>
      </c>
      <c r="AD127" s="57">
        <f>'dynamic scaling metrics'!EP123</f>
        <v>51.810185185185183</v>
      </c>
      <c r="AE127" s="57">
        <f>'dynamic scaling metrics'!EQ123</f>
        <v>50.592592592592595</v>
      </c>
      <c r="AF127" s="57">
        <f>'dynamic scaling metrics'!ER123</f>
        <v>43.763888888888893</v>
      </c>
      <c r="AG127" s="57">
        <f>'dynamic scaling metrics'!ES123</f>
        <v>47.24074074074074</v>
      </c>
      <c r="AH127" s="57">
        <f>'dynamic scaling metrics'!ET123</f>
        <v>41.402777777777786</v>
      </c>
      <c r="AI127" s="57">
        <f>'dynamic scaling metrics'!EU123</f>
        <v>42.722222222222221</v>
      </c>
      <c r="AK127" s="27"/>
    </row>
    <row r="128" spans="3:49" ht="31.95" customHeight="1" x14ac:dyDescent="0.4">
      <c r="Q128" t="s">
        <v>95</v>
      </c>
      <c r="R128" s="25">
        <v>0.125</v>
      </c>
      <c r="S128" s="62">
        <f>'dynamic scaling metrics'!DA129</f>
        <v>92.272727272727266</v>
      </c>
      <c r="T128" s="53">
        <f>'dynamic scaling metrics'!DB129</f>
        <v>89.138636363636365</v>
      </c>
      <c r="U128" s="53">
        <f>'dynamic scaling metrics'!DC129</f>
        <v>85.097727272727283</v>
      </c>
      <c r="V128" s="53">
        <f>'dynamic scaling metrics'!DD129</f>
        <v>70.62045454545455</v>
      </c>
      <c r="W128" s="53">
        <f>'dynamic scaling metrics'!DE129</f>
        <v>73.690909090909102</v>
      </c>
      <c r="X128" s="53">
        <f>'dynamic scaling metrics'!DF129</f>
        <v>62.506818181818176</v>
      </c>
      <c r="Y128" s="53">
        <f>'dynamic scaling metrics'!DG129</f>
        <v>58.052272727272737</v>
      </c>
      <c r="Z128" s="63">
        <f>'dynamic scaling metrics'!DH129</f>
        <v>48.570454545454538</v>
      </c>
      <c r="AA128" s="68">
        <f t="shared" si="54"/>
        <v>0.875</v>
      </c>
      <c r="AB128" s="57">
        <f>'dynamic scaling metrics'!EV123</f>
        <v>40.004629629629626</v>
      </c>
      <c r="AC128" s="57">
        <f>'dynamic scaling metrics'!EW123</f>
        <v>44.907407407407412</v>
      </c>
      <c r="AD128" s="57">
        <f>'dynamic scaling metrics'!EX123</f>
        <v>44.423611111111107</v>
      </c>
      <c r="AE128" s="57">
        <f>'dynamic scaling metrics'!EY123</f>
        <v>43.814814814814817</v>
      </c>
      <c r="AF128" s="57">
        <f>'dynamic scaling metrics'!EZ123</f>
        <v>38.548611111111114</v>
      </c>
      <c r="AG128" s="57">
        <f>'dynamic scaling metrics'!FA123</f>
        <v>42.138888888888893</v>
      </c>
      <c r="AH128" s="57">
        <f>'dynamic scaling metrics'!FB123</f>
        <v>37.368055555555557</v>
      </c>
      <c r="AI128" s="57">
        <f>'dynamic scaling metrics'!FC123</f>
        <v>39.879629629629626</v>
      </c>
      <c r="AK128" s="27"/>
    </row>
    <row r="129" spans="17:43" ht="31.95" customHeight="1" x14ac:dyDescent="0.4">
      <c r="R129" s="26">
        <v>0.25</v>
      </c>
      <c r="S129" s="62">
        <f>'dynamic scaling metrics'!DI129</f>
        <v>84.545454545454533</v>
      </c>
      <c r="T129" s="53">
        <f>'dynamic scaling metrics'!DJ129</f>
        <v>81.859090909090895</v>
      </c>
      <c r="U129" s="53">
        <f>'dynamic scaling metrics'!DK129</f>
        <v>78.395454545454541</v>
      </c>
      <c r="V129" s="53">
        <f>'dynamic scaling metrics'!DL129</f>
        <v>65.440909090909102</v>
      </c>
      <c r="W129" s="53">
        <f>'dynamic scaling metrics'!DM129</f>
        <v>68.61818181818181</v>
      </c>
      <c r="X129" s="53">
        <f>'dynamic scaling metrics'!DN129</f>
        <v>58.486363636363642</v>
      </c>
      <c r="Y129" s="53">
        <f>'dynamic scaling metrics'!DO129</f>
        <v>55.213636363636361</v>
      </c>
      <c r="Z129" s="63">
        <f>'dynamic scaling metrics'!DP129</f>
        <v>47.086363636363629</v>
      </c>
      <c r="AA129" s="58"/>
      <c r="AB129" s="54"/>
      <c r="AC129" s="56"/>
      <c r="AD129" s="53"/>
      <c r="AE129" s="53"/>
      <c r="AF129" s="53"/>
      <c r="AG129" s="53"/>
      <c r="AH129" s="53"/>
      <c r="AI129" s="53"/>
      <c r="AK129" s="27"/>
    </row>
    <row r="130" spans="17:43" ht="31.95" customHeight="1" x14ac:dyDescent="0.4">
      <c r="R130" s="25">
        <v>0.375</v>
      </c>
      <c r="S130" s="62">
        <f>'dynamic scaling metrics'!DQ129</f>
        <v>76.818181818181827</v>
      </c>
      <c r="T130" s="53">
        <f>'dynamic scaling metrics'!DR129</f>
        <v>74.579545454545453</v>
      </c>
      <c r="U130" s="53">
        <f>'dynamic scaling metrics'!DS129</f>
        <v>71.693181818181813</v>
      </c>
      <c r="V130" s="53">
        <f>'dynamic scaling metrics'!DT129</f>
        <v>60.261363636363626</v>
      </c>
      <c r="W130" s="53">
        <f>'dynamic scaling metrics'!DU129</f>
        <v>63.545454545454547</v>
      </c>
      <c r="X130" s="53">
        <f>'dynamic scaling metrics'!DV129</f>
        <v>54.465909090909086</v>
      </c>
      <c r="Y130" s="53">
        <f>'dynamic scaling metrics'!DW129</f>
        <v>52.375</v>
      </c>
      <c r="Z130" s="63">
        <f>'dynamic scaling metrics'!DX129</f>
        <v>45.60227272727272</v>
      </c>
      <c r="AA130" s="58"/>
      <c r="AB130" s="54"/>
      <c r="AC130" s="55"/>
      <c r="AD130" s="53"/>
      <c r="AE130" s="53"/>
      <c r="AF130" s="53"/>
      <c r="AG130" s="53"/>
      <c r="AH130" s="53"/>
      <c r="AI130" s="53"/>
      <c r="AK130" s="27"/>
    </row>
    <row r="131" spans="17:43" ht="31.95" customHeight="1" x14ac:dyDescent="0.4">
      <c r="R131" s="26">
        <v>0.5</v>
      </c>
      <c r="S131" s="62">
        <f>'dynamic scaling metrics'!DX129</f>
        <v>45.60227272727272</v>
      </c>
      <c r="T131" s="53">
        <f>'dynamic scaling metrics'!DY129</f>
        <v>69.090909090909079</v>
      </c>
      <c r="U131" s="53">
        <f>'dynamic scaling metrics'!DZ129</f>
        <v>67.299999999999983</v>
      </c>
      <c r="V131" s="53">
        <f>'dynamic scaling metrics'!EA129</f>
        <v>64.990909090909085</v>
      </c>
      <c r="W131" s="53">
        <f>'dynamic scaling metrics'!EB129</f>
        <v>55.081818181818178</v>
      </c>
      <c r="X131" s="53">
        <f>'dynamic scaling metrics'!EC129</f>
        <v>58.472727272727269</v>
      </c>
      <c r="Y131" s="53">
        <f>'dynamic scaling metrics'!ED129</f>
        <v>50.445454545454538</v>
      </c>
      <c r="Z131" s="63">
        <f>'dynamic scaling metrics'!EE129</f>
        <v>49.536363636363632</v>
      </c>
      <c r="AA131" s="58"/>
      <c r="AB131" s="54"/>
      <c r="AC131" s="56"/>
      <c r="AD131" s="53"/>
      <c r="AE131" s="53"/>
      <c r="AF131" s="53"/>
      <c r="AG131" s="53"/>
      <c r="AH131" s="53"/>
      <c r="AI131" s="53"/>
      <c r="AK131" s="27" t="str">
        <f t="shared" ref="AK131" si="55">Q127</f>
        <v>M3no3</v>
      </c>
    </row>
    <row r="132" spans="17:43" ht="31.95" customHeight="1" thickBot="1" x14ac:dyDescent="0.45">
      <c r="R132" s="25">
        <v>0.625</v>
      </c>
      <c r="S132" s="64">
        <f>'dynamic scaling metrics'!EF129</f>
        <v>44.11818181818181</v>
      </c>
      <c r="T132" s="65">
        <f>'dynamic scaling metrics'!EG129</f>
        <v>61.363636363636367</v>
      </c>
      <c r="U132" s="65">
        <f>'dynamic scaling metrics'!EH129</f>
        <v>60.020454545454541</v>
      </c>
      <c r="V132" s="65">
        <f>'dynamic scaling metrics'!EI129</f>
        <v>58.288636363636364</v>
      </c>
      <c r="W132" s="65">
        <f>'dynamic scaling metrics'!EJ129</f>
        <v>49.902272727272724</v>
      </c>
      <c r="X132" s="65">
        <f>'dynamic scaling metrics'!EK129</f>
        <v>53.4</v>
      </c>
      <c r="Y132" s="65">
        <f>'dynamic scaling metrics'!EL129</f>
        <v>46.424999999999997</v>
      </c>
      <c r="Z132" s="66">
        <f>'dynamic scaling metrics'!EM129</f>
        <v>46.697727272727271</v>
      </c>
      <c r="AA132" s="58"/>
      <c r="AB132">
        <v>0</v>
      </c>
      <c r="AC132" s="25">
        <v>0.125</v>
      </c>
      <c r="AD132" s="26">
        <v>0.25</v>
      </c>
      <c r="AE132" s="25">
        <v>0.375</v>
      </c>
      <c r="AF132" s="26">
        <v>0.5</v>
      </c>
      <c r="AG132" s="25">
        <v>0.625</v>
      </c>
      <c r="AH132" s="26">
        <v>0.75</v>
      </c>
      <c r="AI132" s="25">
        <v>0.875</v>
      </c>
      <c r="AK132" s="74" t="s">
        <v>107</v>
      </c>
      <c r="AL132">
        <f t="shared" ref="AL132" si="56">AVERAGE(U131:X132,AD133:AG133)</f>
        <v>55.402840909090912</v>
      </c>
      <c r="AN132" s="84"/>
      <c r="AQ132" s="84"/>
    </row>
    <row r="133" spans="17:43" ht="31.95" customHeight="1" x14ac:dyDescent="0.4">
      <c r="Q133" t="s">
        <v>31</v>
      </c>
      <c r="R133">
        <v>0</v>
      </c>
      <c r="S133" s="59">
        <f>'dynamic scaling metrics'!CS135</f>
        <v>100</v>
      </c>
      <c r="T133" s="60">
        <f>'dynamic scaling metrics'!CT135</f>
        <v>94.436363636363637</v>
      </c>
      <c r="U133" s="60">
        <f>'dynamic scaling metrics'!CU135</f>
        <v>88.218181818181804</v>
      </c>
      <c r="V133" s="60">
        <f>'dynamic scaling metrics'!CV135</f>
        <v>71.127272727272725</v>
      </c>
      <c r="W133" s="60">
        <f>'dynamic scaling metrics'!CW135</f>
        <v>73.381818181818176</v>
      </c>
      <c r="X133" s="60">
        <f>'dynamic scaling metrics'!CX135</f>
        <v>61.309090909090898</v>
      </c>
      <c r="Y133" s="60">
        <f>'dynamic scaling metrics'!CY135</f>
        <v>55.490909090909085</v>
      </c>
      <c r="Z133" s="61">
        <f>'dynamic scaling metrics'!CZ135</f>
        <v>45.345454545454537</v>
      </c>
      <c r="AA133" s="67">
        <f t="shared" ref="AA133:AA134" si="57">AA127</f>
        <v>0.75</v>
      </c>
      <c r="AB133" s="57">
        <f>'dynamic scaling metrics'!EN129</f>
        <v>42.634090909090901</v>
      </c>
      <c r="AC133" s="57">
        <f>'dynamic scaling metrics'!EO129</f>
        <v>53.636363636363633</v>
      </c>
      <c r="AD133" s="57">
        <f>'dynamic scaling metrics'!EP129</f>
        <v>52.740909090909085</v>
      </c>
      <c r="AE133" s="57">
        <f>'dynamic scaling metrics'!EQ129</f>
        <v>51.586363636363629</v>
      </c>
      <c r="AF133" s="57">
        <f>'dynamic scaling metrics'!ER129</f>
        <v>44.722727272727262</v>
      </c>
      <c r="AG133" s="57">
        <f>'dynamic scaling metrics'!ES129</f>
        <v>48.327272727272735</v>
      </c>
      <c r="AH133" s="57">
        <f>'dynamic scaling metrics'!ET129</f>
        <v>42.404545454545449</v>
      </c>
      <c r="AI133" s="57">
        <f>'dynamic scaling metrics'!EU129</f>
        <v>43.859090909090902</v>
      </c>
      <c r="AK133" s="27"/>
    </row>
    <row r="134" spans="17:43" ht="31.95" customHeight="1" x14ac:dyDescent="0.4">
      <c r="Q134" t="s">
        <v>95</v>
      </c>
      <c r="R134" s="25">
        <v>0.125</v>
      </c>
      <c r="S134" s="62">
        <f>'dynamic scaling metrics'!DA135</f>
        <v>93.86363636363636</v>
      </c>
      <c r="T134" s="53">
        <f>'dynamic scaling metrics'!DB135</f>
        <v>88.99545454545455</v>
      </c>
      <c r="U134" s="53">
        <f>'dynamic scaling metrics'!DC135</f>
        <v>83.554545454545448</v>
      </c>
      <c r="V134" s="53">
        <f>'dynamic scaling metrics'!DD135</f>
        <v>67.963636363636354</v>
      </c>
      <c r="W134" s="53">
        <f>'dynamic scaling metrics'!DE135</f>
        <v>70.572727272727278</v>
      </c>
      <c r="X134" s="53">
        <f>'dynamic scaling metrics'!DF135</f>
        <v>59.372727272727275</v>
      </c>
      <c r="Y134" s="53">
        <f>'dynamic scaling metrics'!DG135</f>
        <v>54.918181818181814</v>
      </c>
      <c r="Z134" s="63">
        <f>'dynamic scaling metrics'!DH135</f>
        <v>46.040909090909089</v>
      </c>
      <c r="AA134" s="68">
        <f t="shared" si="57"/>
        <v>0.875</v>
      </c>
      <c r="AB134" s="57">
        <f>'dynamic scaling metrics'!EV129</f>
        <v>41.149999999999991</v>
      </c>
      <c r="AC134" s="57">
        <f>'dynamic scaling metrics'!EW129</f>
        <v>45.909090909090914</v>
      </c>
      <c r="AD134" s="57">
        <f>'dynamic scaling metrics'!EX129</f>
        <v>45.461363636363636</v>
      </c>
      <c r="AE134" s="57">
        <f>'dynamic scaling metrics'!EY129</f>
        <v>44.884090909090908</v>
      </c>
      <c r="AF134" s="57">
        <f>'dynamic scaling metrics'!EZ129</f>
        <v>39.543181818181814</v>
      </c>
      <c r="AG134" s="57">
        <f>'dynamic scaling metrics'!FA129</f>
        <v>43.254545454545458</v>
      </c>
      <c r="AH134" s="57">
        <f>'dynamic scaling metrics'!FB129</f>
        <v>38.384090909090915</v>
      </c>
      <c r="AI134" s="57">
        <f>'dynamic scaling metrics'!FC129</f>
        <v>41.020454545454541</v>
      </c>
      <c r="AK134" s="27"/>
    </row>
    <row r="135" spans="17:43" ht="31.95" customHeight="1" x14ac:dyDescent="0.4">
      <c r="R135" s="26">
        <v>0.25</v>
      </c>
      <c r="S135" s="62">
        <f>'dynamic scaling metrics'!DI135</f>
        <v>87.72727272727272</v>
      </c>
      <c r="T135" s="53">
        <f>'dynamic scaling metrics'!DJ135</f>
        <v>83.554545454545448</v>
      </c>
      <c r="U135" s="53">
        <f>'dynamic scaling metrics'!DK135</f>
        <v>78.890909090909105</v>
      </c>
      <c r="V135" s="53">
        <f>'dynamic scaling metrics'!DL135</f>
        <v>64.800000000000011</v>
      </c>
      <c r="W135" s="53">
        <f>'dynamic scaling metrics'!DM135</f>
        <v>67.763636363636351</v>
      </c>
      <c r="X135" s="53">
        <f>'dynamic scaling metrics'!DN135</f>
        <v>57.436363636363637</v>
      </c>
      <c r="Y135" s="53">
        <f>'dynamic scaling metrics'!DO135</f>
        <v>54.345454545454544</v>
      </c>
      <c r="Z135" s="63">
        <f>'dynamic scaling metrics'!DP135</f>
        <v>46.736363636363627</v>
      </c>
      <c r="AA135" s="58"/>
      <c r="AB135" s="54"/>
      <c r="AC135" s="56"/>
      <c r="AD135" s="53"/>
      <c r="AE135" s="53"/>
      <c r="AF135" s="53"/>
      <c r="AG135" s="53"/>
      <c r="AH135" s="53"/>
      <c r="AI135" s="53"/>
      <c r="AK135" s="27"/>
    </row>
    <row r="136" spans="17:43" ht="31.95" customHeight="1" x14ac:dyDescent="0.4">
      <c r="R136" s="25">
        <v>0.375</v>
      </c>
      <c r="S136" s="62">
        <f>'dynamic scaling metrics'!DQ135</f>
        <v>81.590909090909079</v>
      </c>
      <c r="T136" s="53">
        <f>'dynamic scaling metrics'!DR135</f>
        <v>78.113636363636374</v>
      </c>
      <c r="U136" s="53">
        <f>'dynamic scaling metrics'!DS135</f>
        <v>74.227272727272734</v>
      </c>
      <c r="V136" s="53">
        <f>'dynamic scaling metrics'!DT135</f>
        <v>61.636363636363633</v>
      </c>
      <c r="W136" s="53">
        <f>'dynamic scaling metrics'!DU135</f>
        <v>64.954545454545467</v>
      </c>
      <c r="X136" s="53">
        <f>'dynamic scaling metrics'!DV135</f>
        <v>55.5</v>
      </c>
      <c r="Y136" s="53">
        <f>'dynamic scaling metrics'!DW135</f>
        <v>53.772727272727273</v>
      </c>
      <c r="Z136" s="63">
        <f>'dynamic scaling metrics'!DX135</f>
        <v>47.43181818181818</v>
      </c>
      <c r="AA136" s="58"/>
      <c r="AB136" s="54"/>
      <c r="AC136" s="55"/>
      <c r="AD136" s="53"/>
      <c r="AE136" s="53"/>
      <c r="AF136" s="53"/>
      <c r="AG136" s="53"/>
      <c r="AH136" s="53"/>
      <c r="AI136" s="53"/>
      <c r="AK136" s="27"/>
    </row>
    <row r="137" spans="17:43" ht="31.95" customHeight="1" x14ac:dyDescent="0.4">
      <c r="R137" s="26">
        <v>0.5</v>
      </c>
      <c r="S137" s="62">
        <f>'dynamic scaling metrics'!DX135</f>
        <v>47.43181818181818</v>
      </c>
      <c r="T137" s="53">
        <f>'dynamic scaling metrics'!DY135</f>
        <v>75.454545454545453</v>
      </c>
      <c r="U137" s="53">
        <f>'dynamic scaling metrics'!DZ135</f>
        <v>72.672727272727258</v>
      </c>
      <c r="V137" s="53">
        <f>'dynamic scaling metrics'!EA135</f>
        <v>69.563636363636363</v>
      </c>
      <c r="W137" s="53">
        <f>'dynamic scaling metrics'!EB135</f>
        <v>58.472727272727269</v>
      </c>
      <c r="X137" s="53">
        <f>'dynamic scaling metrics'!EC135</f>
        <v>62.145454545454548</v>
      </c>
      <c r="Y137" s="53">
        <f>'dynamic scaling metrics'!ED135</f>
        <v>53.563636363636355</v>
      </c>
      <c r="Z137" s="63">
        <f>'dynamic scaling metrics'!EE135</f>
        <v>53.199999999999996</v>
      </c>
      <c r="AA137" s="58"/>
      <c r="AB137" s="54"/>
      <c r="AC137" s="56"/>
      <c r="AD137" s="53"/>
      <c r="AE137" s="53"/>
      <c r="AF137" s="53"/>
      <c r="AG137" s="53"/>
      <c r="AH137" s="53"/>
      <c r="AI137" s="53"/>
      <c r="AK137" s="27" t="str">
        <f t="shared" ref="AK137" si="58">Q133</f>
        <v>M3no4</v>
      </c>
    </row>
    <row r="138" spans="17:43" ht="31.95" customHeight="1" thickBot="1" x14ac:dyDescent="0.45">
      <c r="R138" s="25">
        <v>0.625</v>
      </c>
      <c r="S138" s="64">
        <f>'dynamic scaling metrics'!EF135</f>
        <v>48.127272727272725</v>
      </c>
      <c r="T138" s="65">
        <f>'dynamic scaling metrics'!EG135</f>
        <v>69.318181818181827</v>
      </c>
      <c r="U138" s="65">
        <f>'dynamic scaling metrics'!EH135</f>
        <v>67.231818181818184</v>
      </c>
      <c r="V138" s="65">
        <f>'dynamic scaling metrics'!EI135</f>
        <v>64.900000000000006</v>
      </c>
      <c r="W138" s="65">
        <f>'dynamic scaling metrics'!EJ135</f>
        <v>55.309090909090912</v>
      </c>
      <c r="X138" s="65">
        <f>'dynamic scaling metrics'!EK135</f>
        <v>59.336363636363636</v>
      </c>
      <c r="Y138" s="65">
        <f>'dynamic scaling metrics'!EL135</f>
        <v>51.627272727272725</v>
      </c>
      <c r="Z138" s="66">
        <f>'dynamic scaling metrics'!EM135</f>
        <v>52.627272727272725</v>
      </c>
      <c r="AA138" s="58"/>
      <c r="AB138">
        <v>0</v>
      </c>
      <c r="AC138" s="25">
        <v>0.125</v>
      </c>
      <c r="AD138" s="26">
        <v>0.25</v>
      </c>
      <c r="AE138" s="25">
        <v>0.375</v>
      </c>
      <c r="AF138" s="26">
        <v>0.5</v>
      </c>
      <c r="AG138" s="25">
        <v>0.625</v>
      </c>
      <c r="AH138" s="26">
        <v>0.75</v>
      </c>
      <c r="AI138" s="25">
        <v>0.875</v>
      </c>
      <c r="AK138" s="74" t="s">
        <v>107</v>
      </c>
      <c r="AL138">
        <f t="shared" ref="AL138" si="59">AVERAGE(U137:X138,AD139:AG139)</f>
        <v>61.694318181818176</v>
      </c>
      <c r="AN138" s="84"/>
      <c r="AQ138" s="84"/>
    </row>
    <row r="139" spans="17:43" ht="31.95" customHeight="1" x14ac:dyDescent="0.4">
      <c r="Q139" t="s">
        <v>32</v>
      </c>
      <c r="R139">
        <v>0</v>
      </c>
      <c r="S139" s="59">
        <f>'dynamic scaling metrics'!CS141</f>
        <v>100</v>
      </c>
      <c r="T139" s="60">
        <f>'dynamic scaling metrics'!CT141</f>
        <v>94.436363636363637</v>
      </c>
      <c r="U139" s="60">
        <f>'dynamic scaling metrics'!CU141</f>
        <v>88.218181818181804</v>
      </c>
      <c r="V139" s="60">
        <f>'dynamic scaling metrics'!CV141</f>
        <v>71.127272727272725</v>
      </c>
      <c r="W139" s="60">
        <f>'dynamic scaling metrics'!CW141</f>
        <v>73.381818181818176</v>
      </c>
      <c r="X139" s="60">
        <f>'dynamic scaling metrics'!CX141</f>
        <v>61.309090909090898</v>
      </c>
      <c r="Y139" s="60">
        <f>'dynamic scaling metrics'!CY141</f>
        <v>55.490909090909085</v>
      </c>
      <c r="Z139" s="61">
        <f>'dynamic scaling metrics'!CZ141</f>
        <v>45.345454545454537</v>
      </c>
      <c r="AA139" s="67">
        <f t="shared" ref="AA139:AA140" si="60">AA133</f>
        <v>0.75</v>
      </c>
      <c r="AB139" s="57">
        <f>'dynamic scaling metrics'!EN135</f>
        <v>48.822727272727271</v>
      </c>
      <c r="AC139" s="57">
        <f>'dynamic scaling metrics'!EO135</f>
        <v>63.181818181818187</v>
      </c>
      <c r="AD139" s="57">
        <f>'dynamic scaling metrics'!EP135</f>
        <v>61.790909090909089</v>
      </c>
      <c r="AE139" s="57">
        <f>'dynamic scaling metrics'!EQ135</f>
        <v>60.236363636363627</v>
      </c>
      <c r="AF139" s="57">
        <f>'dynamic scaling metrics'!ER135</f>
        <v>52.145454545454548</v>
      </c>
      <c r="AG139" s="57">
        <f>'dynamic scaling metrics'!ES135</f>
        <v>56.527272727272724</v>
      </c>
      <c r="AH139" s="57">
        <f>'dynamic scaling metrics'!ET135</f>
        <v>49.690909090909088</v>
      </c>
      <c r="AI139" s="57">
        <f>'dynamic scaling metrics'!EU135</f>
        <v>52.054545454545455</v>
      </c>
      <c r="AK139" s="27"/>
    </row>
    <row r="140" spans="17:43" ht="31.95" customHeight="1" x14ac:dyDescent="0.4">
      <c r="Q140" t="s">
        <v>95</v>
      </c>
      <c r="R140" s="25">
        <v>0.125</v>
      </c>
      <c r="S140" s="62">
        <f>'dynamic scaling metrics'!DA141</f>
        <v>92.272727272727266</v>
      </c>
      <c r="T140" s="53">
        <f>'dynamic scaling metrics'!DB141</f>
        <v>87.404545454545456</v>
      </c>
      <c r="U140" s="53">
        <f>'dynamic scaling metrics'!DC141</f>
        <v>81.963636363636382</v>
      </c>
      <c r="V140" s="53">
        <f>'dynamic scaling metrics'!DD141</f>
        <v>66.531818181818167</v>
      </c>
      <c r="W140" s="53">
        <f>'dynamic scaling metrics'!DE141</f>
        <v>68.981818181818184</v>
      </c>
      <c r="X140" s="53">
        <f>'dynamic scaling metrics'!DF141</f>
        <v>57.940909090909088</v>
      </c>
      <c r="Y140" s="53">
        <f>'dynamic scaling metrics'!DG141</f>
        <v>53.327272727272728</v>
      </c>
      <c r="Z140" s="63">
        <f>'dynamic scaling metrics'!DH141</f>
        <v>44.449999999999996</v>
      </c>
      <c r="AA140" s="68">
        <f t="shared" si="60"/>
        <v>0.875</v>
      </c>
      <c r="AB140" s="57">
        <f>'dynamic scaling metrics'!EV135</f>
        <v>49.518181818181823</v>
      </c>
      <c r="AC140" s="57">
        <f>'dynamic scaling metrics'!EW135</f>
        <v>57.045454545454547</v>
      </c>
      <c r="AD140" s="57">
        <f>'dynamic scaling metrics'!EX135</f>
        <v>56.349999999999994</v>
      </c>
      <c r="AE140" s="57">
        <f>'dynamic scaling metrics'!EY135</f>
        <v>55.572727272727271</v>
      </c>
      <c r="AF140" s="57">
        <f>'dynamic scaling metrics'!EZ135</f>
        <v>48.981818181818177</v>
      </c>
      <c r="AG140" s="57">
        <f>'dynamic scaling metrics'!FA135</f>
        <v>53.718181818181812</v>
      </c>
      <c r="AH140" s="57">
        <f>'dynamic scaling metrics'!FB135</f>
        <v>47.75454545454545</v>
      </c>
      <c r="AI140" s="57">
        <f>'dynamic scaling metrics'!FC135</f>
        <v>51.481818181818177</v>
      </c>
      <c r="AK140" s="27"/>
    </row>
    <row r="141" spans="17:43" ht="31.95" customHeight="1" x14ac:dyDescent="0.4">
      <c r="R141" s="26">
        <v>0.25</v>
      </c>
      <c r="S141" s="62">
        <f>'dynamic scaling metrics'!DI141</f>
        <v>84.545454545454533</v>
      </c>
      <c r="T141" s="53">
        <f>'dynamic scaling metrics'!DJ141</f>
        <v>80.372727272727275</v>
      </c>
      <c r="U141" s="53">
        <f>'dynamic scaling metrics'!DK141</f>
        <v>75.709090909090904</v>
      </c>
      <c r="V141" s="53">
        <f>'dynamic scaling metrics'!DL141</f>
        <v>61.936363636363623</v>
      </c>
      <c r="W141" s="53">
        <f>'dynamic scaling metrics'!DM141</f>
        <v>64.581818181818164</v>
      </c>
      <c r="X141" s="53">
        <f>'dynamic scaling metrics'!DN141</f>
        <v>54.572727272727263</v>
      </c>
      <c r="Y141" s="53">
        <f>'dynamic scaling metrics'!DO141</f>
        <v>51.163636363636364</v>
      </c>
      <c r="Z141" s="63">
        <f>'dynamic scaling metrics'!DP141</f>
        <v>43.554545454545455</v>
      </c>
      <c r="AA141" s="58"/>
      <c r="AB141" s="54"/>
      <c r="AC141" s="56"/>
      <c r="AD141" s="53"/>
      <c r="AE141" s="53"/>
      <c r="AF141" s="53"/>
      <c r="AG141" s="53"/>
      <c r="AH141" s="53"/>
      <c r="AI141" s="53"/>
      <c r="AK141" s="27"/>
    </row>
    <row r="142" spans="17:43" ht="31.95" customHeight="1" x14ac:dyDescent="0.4">
      <c r="R142" s="25">
        <v>0.375</v>
      </c>
      <c r="S142" s="62">
        <f>'dynamic scaling metrics'!DQ141</f>
        <v>76.818181818181827</v>
      </c>
      <c r="T142" s="53">
        <f>'dynamic scaling metrics'!DR141</f>
        <v>73.340909090909079</v>
      </c>
      <c r="U142" s="53">
        <f>'dynamic scaling metrics'!DS141</f>
        <v>69.454545454545439</v>
      </c>
      <c r="V142" s="53">
        <f>'dynamic scaling metrics'!DT141</f>
        <v>57.340909090909086</v>
      </c>
      <c r="W142" s="53">
        <f>'dynamic scaling metrics'!DU141</f>
        <v>60.181818181818187</v>
      </c>
      <c r="X142" s="53">
        <f>'dynamic scaling metrics'!DV141</f>
        <v>51.204545454545446</v>
      </c>
      <c r="Y142" s="53">
        <f>'dynamic scaling metrics'!DW141</f>
        <v>49</v>
      </c>
      <c r="Z142" s="63">
        <f>'dynamic scaling metrics'!DX141</f>
        <v>42.659090909090907</v>
      </c>
      <c r="AA142" s="58"/>
      <c r="AB142" s="54"/>
      <c r="AC142" s="55"/>
      <c r="AD142" s="53"/>
      <c r="AE142" s="53"/>
      <c r="AF142" s="53"/>
      <c r="AG142" s="53"/>
      <c r="AH142" s="53"/>
      <c r="AI142" s="53"/>
      <c r="AK142" s="27"/>
    </row>
    <row r="143" spans="17:43" ht="31.95" customHeight="1" x14ac:dyDescent="0.4">
      <c r="R143" s="26">
        <v>0.5</v>
      </c>
      <c r="S143" s="62">
        <f>'dynamic scaling metrics'!DX141</f>
        <v>42.659090909090907</v>
      </c>
      <c r="T143" s="53">
        <f>'dynamic scaling metrics'!DY141</f>
        <v>69.090909090909079</v>
      </c>
      <c r="U143" s="53">
        <f>'dynamic scaling metrics'!DZ141</f>
        <v>66.309090909090912</v>
      </c>
      <c r="V143" s="53">
        <f>'dynamic scaling metrics'!EA141</f>
        <v>63.199999999999989</v>
      </c>
      <c r="W143" s="53">
        <f>'dynamic scaling metrics'!EB141</f>
        <v>52.745454545454542</v>
      </c>
      <c r="X143" s="53">
        <f>'dynamic scaling metrics'!EC141</f>
        <v>55.781818181818174</v>
      </c>
      <c r="Y143" s="53">
        <f>'dynamic scaling metrics'!ED141</f>
        <v>47.836363636363629</v>
      </c>
      <c r="Z143" s="63">
        <f>'dynamic scaling metrics'!EE141</f>
        <v>46.836363636363629</v>
      </c>
      <c r="AA143" s="58"/>
      <c r="AB143" s="54"/>
      <c r="AC143" s="56"/>
      <c r="AD143" s="53"/>
      <c r="AE143" s="53"/>
      <c r="AF143" s="53"/>
      <c r="AG143" s="53"/>
      <c r="AH143" s="53"/>
      <c r="AI143" s="53"/>
      <c r="AK143" s="27" t="str">
        <f t="shared" ref="AK143" si="61">Q139</f>
        <v>M3no5</v>
      </c>
    </row>
    <row r="144" spans="17:43" ht="31.95" customHeight="1" thickBot="1" x14ac:dyDescent="0.45">
      <c r="R144" s="25">
        <v>0.625</v>
      </c>
      <c r="S144" s="64">
        <f>'dynamic scaling metrics'!EF141</f>
        <v>41.763636363636351</v>
      </c>
      <c r="T144" s="65">
        <f>'dynamic scaling metrics'!EG141</f>
        <v>61.363636363636367</v>
      </c>
      <c r="U144" s="65">
        <f>'dynamic scaling metrics'!EH141</f>
        <v>59.277272727272724</v>
      </c>
      <c r="V144" s="65">
        <f>'dynamic scaling metrics'!EI141</f>
        <v>56.945454545454538</v>
      </c>
      <c r="W144" s="65">
        <f>'dynamic scaling metrics'!EJ141</f>
        <v>48.15</v>
      </c>
      <c r="X144" s="65">
        <f>'dynamic scaling metrics'!EK141</f>
        <v>51.381818181818183</v>
      </c>
      <c r="Y144" s="65">
        <f>'dynamic scaling metrics'!EL141</f>
        <v>44.468181818181819</v>
      </c>
      <c r="Z144" s="66">
        <f>'dynamic scaling metrics'!EM141</f>
        <v>44.672727272727272</v>
      </c>
      <c r="AA144" s="58"/>
      <c r="AB144">
        <v>0</v>
      </c>
      <c r="AC144" s="25">
        <v>0.125</v>
      </c>
      <c r="AD144" s="26">
        <v>0.25</v>
      </c>
      <c r="AE144" s="25">
        <v>0.375</v>
      </c>
      <c r="AF144" s="26">
        <v>0.5</v>
      </c>
      <c r="AG144" s="25">
        <v>0.625</v>
      </c>
      <c r="AH144" s="26">
        <v>0.75</v>
      </c>
      <c r="AI144" s="25">
        <v>0.875</v>
      </c>
      <c r="AK144" s="74" t="s">
        <v>107</v>
      </c>
      <c r="AL144">
        <f t="shared" ref="AL144" si="62">AVERAGE(U143:X144,AD145:AG145)</f>
        <v>53.938636363636355</v>
      </c>
      <c r="AN144" s="84"/>
      <c r="AQ144" s="84"/>
    </row>
    <row r="145" spans="17:43" ht="31.95" customHeight="1" x14ac:dyDescent="0.4">
      <c r="Q145" t="s">
        <v>33</v>
      </c>
      <c r="R145">
        <v>0</v>
      </c>
      <c r="S145" s="59">
        <f>'dynamic scaling metrics'!CS147</f>
        <v>100</v>
      </c>
      <c r="T145" s="60">
        <f>'dynamic scaling metrics'!CT147</f>
        <v>94.436363636363637</v>
      </c>
      <c r="U145" s="60">
        <f>'dynamic scaling metrics'!CU147</f>
        <v>88.218181818181804</v>
      </c>
      <c r="V145" s="60">
        <f>'dynamic scaling metrics'!CV147</f>
        <v>71.127272727272725</v>
      </c>
      <c r="W145" s="60">
        <f>'dynamic scaling metrics'!CW147</f>
        <v>73.381818181818176</v>
      </c>
      <c r="X145" s="60">
        <f>'dynamic scaling metrics'!CX147</f>
        <v>61.309090909090898</v>
      </c>
      <c r="Y145" s="60">
        <f>'dynamic scaling metrics'!CY147</f>
        <v>55.490909090909085</v>
      </c>
      <c r="Z145" s="61">
        <f>'dynamic scaling metrics'!CZ147</f>
        <v>45.345454545454537</v>
      </c>
      <c r="AA145" s="67">
        <f t="shared" ref="AA145:AA146" si="63">AA139</f>
        <v>0.75</v>
      </c>
      <c r="AB145" s="57">
        <f>'dynamic scaling metrics'!EN141</f>
        <v>40.868181818181817</v>
      </c>
      <c r="AC145" s="57">
        <f>'dynamic scaling metrics'!EO141</f>
        <v>53.636363636363633</v>
      </c>
      <c r="AD145" s="57">
        <f>'dynamic scaling metrics'!EP141</f>
        <v>52.245454545454535</v>
      </c>
      <c r="AE145" s="57">
        <f>'dynamic scaling metrics'!EQ141</f>
        <v>50.690909090909081</v>
      </c>
      <c r="AF145" s="57">
        <f>'dynamic scaling metrics'!ER141</f>
        <v>43.554545454545448</v>
      </c>
      <c r="AG145" s="57">
        <f>'dynamic scaling metrics'!ES141</f>
        <v>46.981818181818184</v>
      </c>
      <c r="AH145" s="57">
        <f>'dynamic scaling metrics'!ET141</f>
        <v>41.099999999999994</v>
      </c>
      <c r="AI145" s="57">
        <f>'dynamic scaling metrics'!EU141</f>
        <v>42.509090909090908</v>
      </c>
      <c r="AK145" s="27"/>
    </row>
    <row r="146" spans="17:43" ht="31.95" customHeight="1" x14ac:dyDescent="0.4">
      <c r="Q146" t="s">
        <v>95</v>
      </c>
      <c r="R146" s="25">
        <v>0.125</v>
      </c>
      <c r="S146" s="62">
        <f>'dynamic scaling metrics'!DA147</f>
        <v>92.272727272727266</v>
      </c>
      <c r="T146" s="53">
        <f>'dynamic scaling metrics'!DB147</f>
        <v>87.404545454545456</v>
      </c>
      <c r="U146" s="53">
        <f>'dynamic scaling metrics'!DC147</f>
        <v>81.963636363636382</v>
      </c>
      <c r="V146" s="53">
        <f>'dynamic scaling metrics'!DD147</f>
        <v>66.531818181818167</v>
      </c>
      <c r="W146" s="53">
        <f>'dynamic scaling metrics'!DE147</f>
        <v>68.981818181818184</v>
      </c>
      <c r="X146" s="53">
        <f>'dynamic scaling metrics'!DF147</f>
        <v>57.940909090909088</v>
      </c>
      <c r="Y146" s="53">
        <f>'dynamic scaling metrics'!DG147</f>
        <v>53.327272727272728</v>
      </c>
      <c r="Z146" s="63">
        <f>'dynamic scaling metrics'!DH147</f>
        <v>44.449999999999996</v>
      </c>
      <c r="AA146" s="68">
        <f t="shared" si="63"/>
        <v>0.875</v>
      </c>
      <c r="AB146" s="57">
        <f>'dynamic scaling metrics'!EV141</f>
        <v>39.972727272727269</v>
      </c>
      <c r="AC146" s="57">
        <f>'dynamic scaling metrics'!EW141</f>
        <v>45.909090909090914</v>
      </c>
      <c r="AD146" s="57">
        <f>'dynamic scaling metrics'!EX141</f>
        <v>45.213636363636354</v>
      </c>
      <c r="AE146" s="57">
        <f>'dynamic scaling metrics'!EY141</f>
        <v>44.436363636363645</v>
      </c>
      <c r="AF146" s="57">
        <f>'dynamic scaling metrics'!EZ141</f>
        <v>38.959090909090918</v>
      </c>
      <c r="AG146" s="57">
        <f>'dynamic scaling metrics'!FA141</f>
        <v>42.581818181818186</v>
      </c>
      <c r="AH146" s="57">
        <f>'dynamic scaling metrics'!FB141</f>
        <v>37.731818181818184</v>
      </c>
      <c r="AI146" s="57">
        <f>'dynamic scaling metrics'!FC141</f>
        <v>40.345454545454551</v>
      </c>
      <c r="AK146" s="27"/>
    </row>
    <row r="147" spans="17:43" ht="31.95" customHeight="1" x14ac:dyDescent="0.4">
      <c r="R147" s="26">
        <v>0.25</v>
      </c>
      <c r="S147" s="62">
        <f>'dynamic scaling metrics'!DI147</f>
        <v>84.545454545454533</v>
      </c>
      <c r="T147" s="53">
        <f>'dynamic scaling metrics'!DJ147</f>
        <v>80.372727272727275</v>
      </c>
      <c r="U147" s="53">
        <f>'dynamic scaling metrics'!DK147</f>
        <v>75.709090909090904</v>
      </c>
      <c r="V147" s="53">
        <f>'dynamic scaling metrics'!DL147</f>
        <v>61.936363636363623</v>
      </c>
      <c r="W147" s="53">
        <f>'dynamic scaling metrics'!DM147</f>
        <v>64.581818181818164</v>
      </c>
      <c r="X147" s="53">
        <f>'dynamic scaling metrics'!DN147</f>
        <v>54.572727272727263</v>
      </c>
      <c r="Y147" s="53">
        <f>'dynamic scaling metrics'!DO147</f>
        <v>51.163636363636364</v>
      </c>
      <c r="Z147" s="63">
        <f>'dynamic scaling metrics'!DP147</f>
        <v>43.554545454545455</v>
      </c>
      <c r="AA147" s="58"/>
      <c r="AB147" s="54"/>
      <c r="AC147" s="56"/>
      <c r="AD147" s="53"/>
      <c r="AE147" s="53"/>
      <c r="AF147" s="53"/>
      <c r="AG147" s="53"/>
      <c r="AH147" s="53"/>
      <c r="AI147" s="53"/>
      <c r="AK147" s="27"/>
    </row>
    <row r="148" spans="17:43" ht="31.95" customHeight="1" x14ac:dyDescent="0.4">
      <c r="R148" s="25">
        <v>0.375</v>
      </c>
      <c r="S148" s="62">
        <f>'dynamic scaling metrics'!DQ147</f>
        <v>76.818181818181827</v>
      </c>
      <c r="T148" s="53">
        <f>'dynamic scaling metrics'!DR147</f>
        <v>73.340909090909079</v>
      </c>
      <c r="U148" s="53">
        <f>'dynamic scaling metrics'!DS147</f>
        <v>69.454545454545439</v>
      </c>
      <c r="V148" s="53">
        <f>'dynamic scaling metrics'!DT147</f>
        <v>57.340909090909086</v>
      </c>
      <c r="W148" s="53">
        <f>'dynamic scaling metrics'!DU147</f>
        <v>60.181818181818187</v>
      </c>
      <c r="X148" s="53">
        <f>'dynamic scaling metrics'!DV147</f>
        <v>51.204545454545446</v>
      </c>
      <c r="Y148" s="53">
        <f>'dynamic scaling metrics'!DW147</f>
        <v>49</v>
      </c>
      <c r="Z148" s="63">
        <f>'dynamic scaling metrics'!DX147</f>
        <v>42.659090909090907</v>
      </c>
      <c r="AA148" s="58"/>
      <c r="AB148" s="54"/>
      <c r="AC148" s="55"/>
      <c r="AD148" s="53"/>
      <c r="AE148" s="53"/>
      <c r="AF148" s="53"/>
      <c r="AG148" s="53"/>
      <c r="AH148" s="53"/>
      <c r="AI148" s="53"/>
      <c r="AK148" s="27"/>
    </row>
    <row r="149" spans="17:43" ht="31.95" customHeight="1" x14ac:dyDescent="0.4">
      <c r="R149" s="26">
        <v>0.5</v>
      </c>
      <c r="S149" s="62">
        <f>'dynamic scaling metrics'!DX147</f>
        <v>42.659090909090907</v>
      </c>
      <c r="T149" s="53">
        <f>'dynamic scaling metrics'!DY147</f>
        <v>69.090909090909079</v>
      </c>
      <c r="U149" s="53">
        <f>'dynamic scaling metrics'!DZ147</f>
        <v>66.309090909090912</v>
      </c>
      <c r="V149" s="53">
        <f>'dynamic scaling metrics'!EA147</f>
        <v>63.199999999999989</v>
      </c>
      <c r="W149" s="53">
        <f>'dynamic scaling metrics'!EB147</f>
        <v>52.745454545454542</v>
      </c>
      <c r="X149" s="53">
        <f>'dynamic scaling metrics'!EC147</f>
        <v>55.781818181818174</v>
      </c>
      <c r="Y149" s="53">
        <f>'dynamic scaling metrics'!ED147</f>
        <v>47.836363636363629</v>
      </c>
      <c r="Z149" s="63">
        <f>'dynamic scaling metrics'!EE147</f>
        <v>46.836363636363629</v>
      </c>
      <c r="AA149" s="58"/>
      <c r="AB149" s="54"/>
      <c r="AC149" s="56"/>
      <c r="AD149" s="53"/>
      <c r="AE149" s="53"/>
      <c r="AF149" s="53"/>
      <c r="AG149" s="53"/>
      <c r="AH149" s="53"/>
      <c r="AI149" s="53"/>
      <c r="AK149" s="27" t="str">
        <f t="shared" ref="AK149" si="64">Q145</f>
        <v>M3no6</v>
      </c>
    </row>
    <row r="150" spans="17:43" ht="31.95" customHeight="1" thickBot="1" x14ac:dyDescent="0.45">
      <c r="R150" s="25">
        <v>0.625</v>
      </c>
      <c r="S150" s="64">
        <f>'dynamic scaling metrics'!EF147</f>
        <v>41.763636363636351</v>
      </c>
      <c r="T150" s="65">
        <f>'dynamic scaling metrics'!EG147</f>
        <v>61.363636363636367</v>
      </c>
      <c r="U150" s="65">
        <f>'dynamic scaling metrics'!EH147</f>
        <v>59.277272727272724</v>
      </c>
      <c r="V150" s="65">
        <f>'dynamic scaling metrics'!EI147</f>
        <v>56.945454545454538</v>
      </c>
      <c r="W150" s="65">
        <f>'dynamic scaling metrics'!EJ147</f>
        <v>48.15</v>
      </c>
      <c r="X150" s="65">
        <f>'dynamic scaling metrics'!EK147</f>
        <v>51.381818181818183</v>
      </c>
      <c r="Y150" s="65">
        <f>'dynamic scaling metrics'!EL147</f>
        <v>44.468181818181819</v>
      </c>
      <c r="Z150" s="66">
        <f>'dynamic scaling metrics'!EM147</f>
        <v>44.672727272727272</v>
      </c>
      <c r="AA150" s="58"/>
      <c r="AB150">
        <v>0</v>
      </c>
      <c r="AC150" s="25">
        <v>0.125</v>
      </c>
      <c r="AD150" s="26">
        <v>0.25</v>
      </c>
      <c r="AE150" s="25">
        <v>0.375</v>
      </c>
      <c r="AF150" s="26">
        <v>0.5</v>
      </c>
      <c r="AG150" s="25">
        <v>0.625</v>
      </c>
      <c r="AH150" s="26">
        <v>0.75</v>
      </c>
      <c r="AI150" s="25">
        <v>0.875</v>
      </c>
      <c r="AK150" s="74" t="s">
        <v>107</v>
      </c>
      <c r="AL150">
        <f t="shared" ref="AL150" si="65">AVERAGE(U149:X150,AD151:AG151)</f>
        <v>53.938636363636355</v>
      </c>
      <c r="AN150" s="84"/>
      <c r="AQ150" s="84"/>
    </row>
    <row r="151" spans="17:43" ht="31.95" customHeight="1" x14ac:dyDescent="0.4">
      <c r="Q151" t="s">
        <v>34</v>
      </c>
      <c r="R151">
        <v>0</v>
      </c>
      <c r="S151" s="59">
        <f>'dynamic scaling metrics'!CS153</f>
        <v>100</v>
      </c>
      <c r="T151" s="60">
        <f>'dynamic scaling metrics'!CT153</f>
        <v>94.318181818181799</v>
      </c>
      <c r="U151" s="60">
        <f>'dynamic scaling metrics'!CU153</f>
        <v>87.954545454545453</v>
      </c>
      <c r="V151" s="60">
        <f>'dynamic scaling metrics'!CV153</f>
        <v>70.681818181818173</v>
      </c>
      <c r="W151" s="60">
        <f>'dynamic scaling metrics'!CW153</f>
        <v>72.72727272727272</v>
      </c>
      <c r="X151" s="60">
        <f>'dynamic scaling metrics'!CX153</f>
        <v>60.590909090909086</v>
      </c>
      <c r="Y151" s="60">
        <f>'dynamic scaling metrics'!CY153</f>
        <v>54.318181818181806</v>
      </c>
      <c r="Z151" s="61">
        <f>'dynamic scaling metrics'!CZ153</f>
        <v>43.863636363636353</v>
      </c>
      <c r="AA151" s="67">
        <f t="shared" ref="AA151:AA152" si="66">AA145</f>
        <v>0.75</v>
      </c>
      <c r="AB151" s="57">
        <f>'dynamic scaling metrics'!EN147</f>
        <v>40.868181818181817</v>
      </c>
      <c r="AC151" s="57">
        <f>'dynamic scaling metrics'!EO147</f>
        <v>53.636363636363633</v>
      </c>
      <c r="AD151" s="57">
        <f>'dynamic scaling metrics'!EP147</f>
        <v>52.245454545454535</v>
      </c>
      <c r="AE151" s="57">
        <f>'dynamic scaling metrics'!EQ147</f>
        <v>50.690909090909081</v>
      </c>
      <c r="AF151" s="57">
        <f>'dynamic scaling metrics'!ER147</f>
        <v>43.554545454545448</v>
      </c>
      <c r="AG151" s="57">
        <f>'dynamic scaling metrics'!ES147</f>
        <v>46.981818181818184</v>
      </c>
      <c r="AH151" s="57">
        <f>'dynamic scaling metrics'!ET147</f>
        <v>41.099999999999994</v>
      </c>
      <c r="AI151" s="57">
        <f>'dynamic scaling metrics'!EU147</f>
        <v>42.509090909090908</v>
      </c>
      <c r="AK151" s="27"/>
    </row>
    <row r="152" spans="17:43" ht="31.95" customHeight="1" x14ac:dyDescent="0.4">
      <c r="Q152" t="s">
        <v>95</v>
      </c>
      <c r="R152" s="25">
        <v>0.125</v>
      </c>
      <c r="S152" s="62">
        <f>'dynamic scaling metrics'!DA153</f>
        <v>93.63636363636364</v>
      </c>
      <c r="T152" s="53">
        <f>'dynamic scaling metrics'!DB153</f>
        <v>88.66477272727272</v>
      </c>
      <c r="U152" s="53">
        <f>'dynamic scaling metrics'!DC153</f>
        <v>83.096590909090907</v>
      </c>
      <c r="V152" s="53">
        <f>'dynamic scaling metrics'!DD153</f>
        <v>67.369318181818187</v>
      </c>
      <c r="W152" s="53">
        <f>'dynamic scaling metrics'!DE153</f>
        <v>69.77272727272728</v>
      </c>
      <c r="X152" s="53">
        <f>'dynamic scaling metrics'!DF153</f>
        <v>58.539772727272741</v>
      </c>
      <c r="Y152" s="53">
        <f>'dynamic scaling metrics'!DG153</f>
        <v>53.66477272727272</v>
      </c>
      <c r="Z152" s="63">
        <f>'dynamic scaling metrics'!DH153</f>
        <v>44.517045454545453</v>
      </c>
      <c r="AA152" s="68">
        <f t="shared" si="66"/>
        <v>0.875</v>
      </c>
      <c r="AB152" s="57">
        <f>'dynamic scaling metrics'!EV147</f>
        <v>39.972727272727269</v>
      </c>
      <c r="AC152" s="57">
        <f>'dynamic scaling metrics'!EW147</f>
        <v>45.909090909090914</v>
      </c>
      <c r="AD152" s="57">
        <f>'dynamic scaling metrics'!EX147</f>
        <v>45.213636363636354</v>
      </c>
      <c r="AE152" s="57">
        <f>'dynamic scaling metrics'!EY147</f>
        <v>44.436363636363645</v>
      </c>
      <c r="AF152" s="57">
        <f>'dynamic scaling metrics'!EZ147</f>
        <v>38.959090909090918</v>
      </c>
      <c r="AG152" s="57">
        <f>'dynamic scaling metrics'!FA147</f>
        <v>42.581818181818186</v>
      </c>
      <c r="AH152" s="57">
        <f>'dynamic scaling metrics'!FB147</f>
        <v>37.731818181818184</v>
      </c>
      <c r="AI152" s="57">
        <f>'dynamic scaling metrics'!FC147</f>
        <v>40.345454545454551</v>
      </c>
      <c r="AK152" s="27"/>
    </row>
    <row r="153" spans="17:43" ht="31.95" customHeight="1" x14ac:dyDescent="0.4">
      <c r="R153" s="26">
        <v>0.25</v>
      </c>
      <c r="S153" s="62">
        <f>'dynamic scaling metrics'!DI153</f>
        <v>87.272727272727266</v>
      </c>
      <c r="T153" s="53">
        <f>'dynamic scaling metrics'!DJ153</f>
        <v>83.011363636363626</v>
      </c>
      <c r="U153" s="53">
        <f>'dynamic scaling metrics'!DK153</f>
        <v>78.23863636363636</v>
      </c>
      <c r="V153" s="53">
        <f>'dynamic scaling metrics'!DL153</f>
        <v>64.056818181818173</v>
      </c>
      <c r="W153" s="53">
        <f>'dynamic scaling metrics'!DM153</f>
        <v>66.818181818181813</v>
      </c>
      <c r="X153" s="53">
        <f>'dynamic scaling metrics'!DN153</f>
        <v>56.48863636363636</v>
      </c>
      <c r="Y153" s="53">
        <f>'dynamic scaling metrics'!DO153</f>
        <v>53.011363636363633</v>
      </c>
      <c r="Z153" s="63">
        <f>'dynamic scaling metrics'!DP153</f>
        <v>45.17045454545454</v>
      </c>
      <c r="AA153" s="58"/>
      <c r="AB153" s="54"/>
      <c r="AC153" s="56"/>
      <c r="AD153" s="53"/>
      <c r="AE153" s="53"/>
      <c r="AF153" s="53"/>
      <c r="AG153" s="53"/>
      <c r="AH153" s="53"/>
      <c r="AI153" s="53"/>
      <c r="AK153" s="27"/>
    </row>
    <row r="154" spans="17:43" ht="31.95" customHeight="1" x14ac:dyDescent="0.4">
      <c r="R154" s="25">
        <v>0.375</v>
      </c>
      <c r="S154" s="62">
        <f>'dynamic scaling metrics'!DQ153</f>
        <v>80.909090909090907</v>
      </c>
      <c r="T154" s="53">
        <f>'dynamic scaling metrics'!DR153</f>
        <v>77.357954545454547</v>
      </c>
      <c r="U154" s="53">
        <f>'dynamic scaling metrics'!DS153</f>
        <v>73.380681818181813</v>
      </c>
      <c r="V154" s="53">
        <f>'dynamic scaling metrics'!DT153</f>
        <v>60.744318181818187</v>
      </c>
      <c r="W154" s="53">
        <f>'dynamic scaling metrics'!DU153</f>
        <v>63.86363636363636</v>
      </c>
      <c r="X154" s="53">
        <f>'dynamic scaling metrics'!DV153</f>
        <v>54.4375</v>
      </c>
      <c r="Y154" s="53">
        <f>'dynamic scaling metrics'!DW153</f>
        <v>52.35795454545454</v>
      </c>
      <c r="Z154" s="63">
        <f>'dynamic scaling metrics'!DX153</f>
        <v>45.823863636363633</v>
      </c>
      <c r="AA154" s="58"/>
      <c r="AB154" s="54"/>
      <c r="AC154" s="55"/>
      <c r="AD154" s="53"/>
      <c r="AE154" s="53"/>
      <c r="AF154" s="53"/>
      <c r="AG154" s="53"/>
      <c r="AH154" s="53"/>
      <c r="AI154" s="53"/>
      <c r="AK154" s="27"/>
    </row>
    <row r="155" spans="17:43" ht="31.95" customHeight="1" x14ac:dyDescent="0.4">
      <c r="R155" s="26">
        <v>0.5</v>
      </c>
      <c r="S155" s="62">
        <f>'dynamic scaling metrics'!DX153</f>
        <v>45.823863636363633</v>
      </c>
      <c r="T155" s="53">
        <f>'dynamic scaling metrics'!DY153</f>
        <v>74.545454545454533</v>
      </c>
      <c r="U155" s="53">
        <f>'dynamic scaling metrics'!DZ153</f>
        <v>71.704545454545439</v>
      </c>
      <c r="V155" s="53">
        <f>'dynamic scaling metrics'!EA153</f>
        <v>68.522727272727266</v>
      </c>
      <c r="W155" s="53">
        <f>'dynamic scaling metrics'!EB153</f>
        <v>57.431818181818187</v>
      </c>
      <c r="X155" s="53">
        <f>'dynamic scaling metrics'!EC153</f>
        <v>60.909090909090907</v>
      </c>
      <c r="Y155" s="53">
        <f>'dynamic scaling metrics'!ED153</f>
        <v>52.386363636363626</v>
      </c>
      <c r="Z155" s="63">
        <f>'dynamic scaling metrics'!EE153</f>
        <v>51.704545454545446</v>
      </c>
      <c r="AA155" s="58"/>
      <c r="AB155" s="54"/>
      <c r="AC155" s="56"/>
      <c r="AD155" s="53"/>
      <c r="AE155" s="53"/>
      <c r="AF155" s="53"/>
      <c r="AG155" s="53"/>
      <c r="AH155" s="53"/>
      <c r="AI155" s="53"/>
      <c r="AK155" s="27" t="str">
        <f t="shared" ref="AK155" si="67">Q151</f>
        <v>M3no7</v>
      </c>
    </row>
    <row r="156" spans="17:43" ht="31.95" customHeight="1" thickBot="1" x14ac:dyDescent="0.45">
      <c r="R156" s="25">
        <v>0.625</v>
      </c>
      <c r="S156" s="64">
        <f>'dynamic scaling metrics'!EF153</f>
        <v>46.477272727272727</v>
      </c>
      <c r="T156" s="65">
        <f>'dynamic scaling metrics'!EG153</f>
        <v>68.181818181818187</v>
      </c>
      <c r="U156" s="65">
        <f>'dynamic scaling metrics'!EH153</f>
        <v>66.051136363636374</v>
      </c>
      <c r="V156" s="65">
        <f>'dynamic scaling metrics'!EI153</f>
        <v>63.664772727272741</v>
      </c>
      <c r="W156" s="65">
        <f>'dynamic scaling metrics'!EJ153</f>
        <v>54.119318181818187</v>
      </c>
      <c r="X156" s="65">
        <f>'dynamic scaling metrics'!EK153</f>
        <v>57.954545454545453</v>
      </c>
      <c r="Y156" s="65">
        <f>'dynamic scaling metrics'!EL153</f>
        <v>50.335227272727273</v>
      </c>
      <c r="Z156" s="66">
        <f>'dynamic scaling metrics'!EM153</f>
        <v>51.051136363636367</v>
      </c>
      <c r="AA156" s="58"/>
      <c r="AB156">
        <v>0</v>
      </c>
      <c r="AC156" s="25">
        <v>0.125</v>
      </c>
      <c r="AD156" s="26">
        <v>0.25</v>
      </c>
      <c r="AE156" s="25">
        <v>0.375</v>
      </c>
      <c r="AF156" s="26">
        <v>0.5</v>
      </c>
      <c r="AG156" s="25">
        <v>0.625</v>
      </c>
      <c r="AH156" s="26">
        <v>0.75</v>
      </c>
      <c r="AI156" s="25">
        <v>0.875</v>
      </c>
      <c r="AK156" s="74" t="s">
        <v>107</v>
      </c>
      <c r="AL156">
        <f t="shared" ref="AL156" si="68">AVERAGE(U155:X156,AD157:AG157)</f>
        <v>60.447443181818187</v>
      </c>
      <c r="AN156" s="84"/>
      <c r="AQ156" s="84"/>
    </row>
    <row r="157" spans="17:43" ht="31.95" customHeight="1" x14ac:dyDescent="0.4">
      <c r="Q157" t="s">
        <v>35</v>
      </c>
      <c r="R157">
        <v>0</v>
      </c>
      <c r="S157" s="59">
        <f>'dynamic scaling metrics'!CS159</f>
        <v>100</v>
      </c>
      <c r="T157" s="60">
        <f>'dynamic scaling metrics'!CT159</f>
        <v>94.436363636363637</v>
      </c>
      <c r="U157" s="60">
        <f>'dynamic scaling metrics'!CU159</f>
        <v>88.218181818181804</v>
      </c>
      <c r="V157" s="60">
        <f>'dynamic scaling metrics'!CV159</f>
        <v>71.127272727272725</v>
      </c>
      <c r="W157" s="60">
        <f>'dynamic scaling metrics'!CW159</f>
        <v>73.381818181818176</v>
      </c>
      <c r="X157" s="60">
        <f>'dynamic scaling metrics'!CX159</f>
        <v>61.309090909090898</v>
      </c>
      <c r="Y157" s="60">
        <f>'dynamic scaling metrics'!CY159</f>
        <v>55.490909090909085</v>
      </c>
      <c r="Z157" s="61">
        <f>'dynamic scaling metrics'!CZ159</f>
        <v>45.345454545454537</v>
      </c>
      <c r="AA157" s="67">
        <f t="shared" ref="AA157:AA158" si="69">AA151</f>
        <v>0.75</v>
      </c>
      <c r="AB157" s="57">
        <f>'dynamic scaling metrics'!EN153</f>
        <v>47.130681818181806</v>
      </c>
      <c r="AC157" s="57">
        <f>'dynamic scaling metrics'!EO153</f>
        <v>61.818181818181813</v>
      </c>
      <c r="AD157" s="57">
        <f>'dynamic scaling metrics'!EP153</f>
        <v>60.397727272727259</v>
      </c>
      <c r="AE157" s="57">
        <f>'dynamic scaling metrics'!EQ153</f>
        <v>58.806818181818187</v>
      </c>
      <c r="AF157" s="57">
        <f>'dynamic scaling metrics'!ER153</f>
        <v>50.806818181818187</v>
      </c>
      <c r="AG157" s="57">
        <f>'dynamic scaling metrics'!ES153</f>
        <v>54.999999999999993</v>
      </c>
      <c r="AH157" s="57">
        <f>'dynamic scaling metrics'!ET153</f>
        <v>48.284090909090914</v>
      </c>
      <c r="AI157" s="57">
        <f>'dynamic scaling metrics'!EU153</f>
        <v>50.39772727272728</v>
      </c>
      <c r="AK157" s="27"/>
    </row>
    <row r="158" spans="17:43" ht="31.95" customHeight="1" x14ac:dyDescent="0.4">
      <c r="Q158" t="s">
        <v>95</v>
      </c>
      <c r="R158" s="25">
        <v>0.125</v>
      </c>
      <c r="S158" s="62">
        <f>'dynamic scaling metrics'!DA159</f>
        <v>92.045454545454547</v>
      </c>
      <c r="T158" s="53">
        <f>'dynamic scaling metrics'!DB159</f>
        <v>87.219318181818181</v>
      </c>
      <c r="U158" s="53">
        <f>'dynamic scaling metrics'!DC159</f>
        <v>81.817045454545465</v>
      </c>
      <c r="V158" s="53">
        <f>'dynamic scaling metrics'!DD159</f>
        <v>66.44204545454545</v>
      </c>
      <c r="W158" s="53">
        <f>'dynamic scaling metrics'!DE159</f>
        <v>68.900000000000006</v>
      </c>
      <c r="X158" s="53">
        <f>'dynamic scaling metrics'!DF159</f>
        <v>57.885227272727271</v>
      </c>
      <c r="Y158" s="53">
        <f>'dynamic scaling metrics'!DG159</f>
        <v>53.294318181818177</v>
      </c>
      <c r="Z158" s="63">
        <f>'dynamic scaling metrics'!DH159</f>
        <v>44.435227272727268</v>
      </c>
      <c r="AA158" s="68">
        <f t="shared" si="69"/>
        <v>0.875</v>
      </c>
      <c r="AB158" s="57">
        <f>'dynamic scaling metrics'!EV153</f>
        <v>47.784090909090899</v>
      </c>
      <c r="AC158" s="57">
        <f>'dynamic scaling metrics'!EW153</f>
        <v>55.454545454545446</v>
      </c>
      <c r="AD158" s="57">
        <f>'dynamic scaling metrics'!EX153</f>
        <v>54.744318181818173</v>
      </c>
      <c r="AE158" s="57">
        <f>'dynamic scaling metrics'!EY153</f>
        <v>53.948863636363626</v>
      </c>
      <c r="AF158" s="57">
        <f>'dynamic scaling metrics'!EZ153</f>
        <v>47.494318181818187</v>
      </c>
      <c r="AG158" s="57">
        <f>'dynamic scaling metrics'!FA153</f>
        <v>52.045454545454533</v>
      </c>
      <c r="AH158" s="57">
        <f>'dynamic scaling metrics'!FB153</f>
        <v>46.23295454545454</v>
      </c>
      <c r="AI158" s="57">
        <f>'dynamic scaling metrics'!FC153</f>
        <v>49.744318181818173</v>
      </c>
      <c r="AK158" s="27"/>
    </row>
    <row r="159" spans="17:43" ht="31.95" customHeight="1" x14ac:dyDescent="0.4">
      <c r="R159" s="26">
        <v>0.25</v>
      </c>
      <c r="S159" s="62">
        <f>'dynamic scaling metrics'!DI159</f>
        <v>84.090909090909079</v>
      </c>
      <c r="T159" s="53">
        <f>'dynamic scaling metrics'!DJ159</f>
        <v>80.002272727272725</v>
      </c>
      <c r="U159" s="53">
        <f>'dynamic scaling metrics'!DK159</f>
        <v>75.415909090909082</v>
      </c>
      <c r="V159" s="53">
        <f>'dynamic scaling metrics'!DL159</f>
        <v>61.756818181818176</v>
      </c>
      <c r="W159" s="53">
        <f>'dynamic scaling metrics'!DM159</f>
        <v>64.418181818181807</v>
      </c>
      <c r="X159" s="53">
        <f>'dynamic scaling metrics'!DN159</f>
        <v>54.461363636363636</v>
      </c>
      <c r="Y159" s="53">
        <f>'dynamic scaling metrics'!DO159</f>
        <v>51.097727272727262</v>
      </c>
      <c r="Z159" s="63">
        <f>'dynamic scaling metrics'!DP159</f>
        <v>43.524999999999999</v>
      </c>
      <c r="AA159" s="58"/>
      <c r="AB159" s="54"/>
      <c r="AC159" s="56"/>
      <c r="AD159" s="53"/>
      <c r="AE159" s="53"/>
      <c r="AF159" s="53"/>
      <c r="AG159" s="53"/>
      <c r="AH159" s="53"/>
      <c r="AI159" s="53"/>
      <c r="AK159" s="27"/>
    </row>
    <row r="160" spans="17:43" ht="31.95" customHeight="1" thickBot="1" x14ac:dyDescent="0.45">
      <c r="R160" s="25">
        <v>0.375</v>
      </c>
      <c r="S160" s="62">
        <f>'dynamic scaling metrics'!DQ159</f>
        <v>76.136363636363626</v>
      </c>
      <c r="T160" s="53">
        <f>'dynamic scaling metrics'!DR159</f>
        <v>72.785227272727269</v>
      </c>
      <c r="U160" s="53">
        <f>'dynamic scaling metrics'!DS159</f>
        <v>69.014772727272728</v>
      </c>
      <c r="V160" s="53">
        <f>'dynamic scaling metrics'!DT159</f>
        <v>57.071590909090915</v>
      </c>
      <c r="W160" s="53">
        <f>'dynamic scaling metrics'!DU159</f>
        <v>59.936363636363637</v>
      </c>
      <c r="X160" s="53">
        <f>'dynamic scaling metrics'!DV159</f>
        <v>51.037499999999994</v>
      </c>
      <c r="Y160" s="53">
        <f>'dynamic scaling metrics'!DW159</f>
        <v>48.901136363636361</v>
      </c>
      <c r="Z160" s="63">
        <f>'dynamic scaling metrics'!DX159</f>
        <v>42.614772727272722</v>
      </c>
      <c r="AA160" s="58"/>
      <c r="AB160" s="54"/>
      <c r="AC160" s="55"/>
      <c r="AD160" s="53"/>
      <c r="AE160" s="53"/>
      <c r="AF160" s="53"/>
      <c r="AG160" s="53"/>
      <c r="AH160" s="53"/>
      <c r="AI160" s="53"/>
      <c r="AK160" s="27"/>
    </row>
    <row r="161" spans="3:49" ht="31.95" customHeight="1" x14ac:dyDescent="0.4">
      <c r="R161" s="26">
        <v>0.5</v>
      </c>
      <c r="S161" s="62">
        <f>'dynamic scaling metrics'!DX159</f>
        <v>42.614772727272722</v>
      </c>
      <c r="T161" s="53">
        <f>'dynamic scaling metrics'!DY159</f>
        <v>68.181818181818173</v>
      </c>
      <c r="U161" s="53">
        <f>'dynamic scaling metrics'!DZ159</f>
        <v>65.568181818181799</v>
      </c>
      <c r="V161" s="53">
        <f>'dynamic scaling metrics'!EA159</f>
        <v>62.613636363636367</v>
      </c>
      <c r="W161" s="53">
        <f>'dynamic scaling metrics'!EB159</f>
        <v>52.386363636363626</v>
      </c>
      <c r="X161" s="53">
        <f>'dynamic scaling metrics'!EC159</f>
        <v>55.454545454545446</v>
      </c>
      <c r="Y161" s="53">
        <f>'dynamic scaling metrics'!ED159</f>
        <v>47.61363636363636</v>
      </c>
      <c r="Z161" s="63">
        <f>'dynamic scaling metrics'!EE159</f>
        <v>46.704545454545453</v>
      </c>
      <c r="AA161" s="58"/>
      <c r="AB161" s="54"/>
      <c r="AC161" s="56"/>
      <c r="AD161" s="53"/>
      <c r="AE161" s="53"/>
      <c r="AF161" s="53"/>
      <c r="AG161" s="53"/>
      <c r="AH161" s="53"/>
      <c r="AI161" s="53"/>
      <c r="AK161" s="75" t="str">
        <f t="shared" ref="AK161" si="70">Q157</f>
        <v>M3no8</v>
      </c>
    </row>
    <row r="162" spans="3:49" ht="31.95" customHeight="1" thickBot="1" x14ac:dyDescent="0.45">
      <c r="R162" s="25">
        <v>0.625</v>
      </c>
      <c r="S162" s="64">
        <f>'dynamic scaling metrics'!EF159</f>
        <v>41.704545454545446</v>
      </c>
      <c r="T162" s="65">
        <f>'dynamic scaling metrics'!EG159</f>
        <v>60.227272727272727</v>
      </c>
      <c r="U162" s="65">
        <f>'dynamic scaling metrics'!EH159</f>
        <v>58.351136363636357</v>
      </c>
      <c r="V162" s="65">
        <f>'dynamic scaling metrics'!EI159</f>
        <v>56.212499999999999</v>
      </c>
      <c r="W162" s="65">
        <f>'dynamic scaling metrics'!EJ159</f>
        <v>47.701136363636365</v>
      </c>
      <c r="X162" s="65">
        <f>'dynamic scaling metrics'!EK159</f>
        <v>50.972727272727262</v>
      </c>
      <c r="Y162" s="65">
        <f>'dynamic scaling metrics'!EL159</f>
        <v>44.189772727272725</v>
      </c>
      <c r="Z162" s="66">
        <f>'dynamic scaling metrics'!EM159</f>
        <v>44.507954545454545</v>
      </c>
      <c r="AA162" s="58"/>
      <c r="AB162">
        <v>0</v>
      </c>
      <c r="AC162" s="25">
        <v>0.125</v>
      </c>
      <c r="AD162" s="26">
        <v>0.25</v>
      </c>
      <c r="AE162" s="25">
        <v>0.375</v>
      </c>
      <c r="AF162" s="26">
        <v>0.5</v>
      </c>
      <c r="AG162" s="25">
        <v>0.625</v>
      </c>
      <c r="AH162" s="26">
        <v>0.75</v>
      </c>
      <c r="AI162" s="25">
        <v>0.875</v>
      </c>
      <c r="AK162" s="76" t="s">
        <v>107</v>
      </c>
      <c r="AL162">
        <f t="shared" ref="AL162" si="71">AVERAGE(U161:X162,AD163:AG163)</f>
        <v>53.309374999999989</v>
      </c>
      <c r="AN162" s="84"/>
      <c r="AQ162" s="84"/>
    </row>
    <row r="163" spans="3:49" ht="31.95" customHeight="1" x14ac:dyDescent="0.4">
      <c r="Q163" t="s">
        <v>36</v>
      </c>
      <c r="R163">
        <v>0</v>
      </c>
      <c r="S163" s="59">
        <f>'dynamic scaling metrics'!CS165</f>
        <v>100</v>
      </c>
      <c r="T163" s="60">
        <f>'dynamic scaling metrics'!CT165</f>
        <v>94.436363636363637</v>
      </c>
      <c r="U163" s="60">
        <f>'dynamic scaling metrics'!CU165</f>
        <v>88.218181818181804</v>
      </c>
      <c r="V163" s="60">
        <f>'dynamic scaling metrics'!CV165</f>
        <v>71.127272727272725</v>
      </c>
      <c r="W163" s="60">
        <f>'dynamic scaling metrics'!CW165</f>
        <v>73.381818181818176</v>
      </c>
      <c r="X163" s="60">
        <f>'dynamic scaling metrics'!CX165</f>
        <v>61.309090909090898</v>
      </c>
      <c r="Y163" s="60">
        <f>'dynamic scaling metrics'!CY165</f>
        <v>55.490909090909085</v>
      </c>
      <c r="Z163" s="61">
        <f>'dynamic scaling metrics'!CZ165</f>
        <v>45.345454545454537</v>
      </c>
      <c r="AA163" s="67">
        <f t="shared" ref="AA163:AA164" si="72">AA157</f>
        <v>0.75</v>
      </c>
      <c r="AB163" s="57">
        <f>'dynamic scaling metrics'!EN159</f>
        <v>40.794318181818184</v>
      </c>
      <c r="AC163" s="57">
        <f>'dynamic scaling metrics'!EO159</f>
        <v>52.272727272727266</v>
      </c>
      <c r="AD163" s="57">
        <f>'dynamic scaling metrics'!EP159</f>
        <v>51.134090909090901</v>
      </c>
      <c r="AE163" s="57">
        <f>'dynamic scaling metrics'!EQ159</f>
        <v>49.811363636363623</v>
      </c>
      <c r="AF163" s="57">
        <f>'dynamic scaling metrics'!ER159</f>
        <v>43.015909090909091</v>
      </c>
      <c r="AG163" s="57">
        <f>'dynamic scaling metrics'!ES159</f>
        <v>46.490909090909085</v>
      </c>
      <c r="AH163" s="57">
        <f>'dynamic scaling metrics'!ET159</f>
        <v>40.765909090909091</v>
      </c>
      <c r="AI163" s="57">
        <f>'dynamic scaling metrics'!EU159</f>
        <v>42.31136363636363</v>
      </c>
      <c r="AK163" s="27"/>
    </row>
    <row r="164" spans="3:49" ht="31.95" customHeight="1" x14ac:dyDescent="0.4">
      <c r="Q164" t="s">
        <v>95</v>
      </c>
      <c r="R164" s="25">
        <v>0.125</v>
      </c>
      <c r="S164" s="62">
        <f>'dynamic scaling metrics'!DA165</f>
        <v>92.272727272727266</v>
      </c>
      <c r="T164" s="53">
        <f>'dynamic scaling metrics'!DB165</f>
        <v>87.404545454545456</v>
      </c>
      <c r="U164" s="53">
        <f>'dynamic scaling metrics'!DC165</f>
        <v>81.963636363636382</v>
      </c>
      <c r="V164" s="53">
        <f>'dynamic scaling metrics'!DD165</f>
        <v>66.531818181818167</v>
      </c>
      <c r="W164" s="53">
        <f>'dynamic scaling metrics'!DE165</f>
        <v>68.981818181818184</v>
      </c>
      <c r="X164" s="53">
        <f>'dynamic scaling metrics'!DF165</f>
        <v>57.940909090909088</v>
      </c>
      <c r="Y164" s="53">
        <f>'dynamic scaling metrics'!DG165</f>
        <v>53.327272727272728</v>
      </c>
      <c r="Z164" s="63">
        <f>'dynamic scaling metrics'!DH165</f>
        <v>44.449999999999996</v>
      </c>
      <c r="AA164" s="68">
        <f t="shared" si="72"/>
        <v>0.875</v>
      </c>
      <c r="AB164" s="57">
        <f>'dynamic scaling metrics'!EV159</f>
        <v>39.884090909090908</v>
      </c>
      <c r="AC164" s="57">
        <f>'dynamic scaling metrics'!EW159</f>
        <v>44.318181818181813</v>
      </c>
      <c r="AD164" s="57">
        <f>'dynamic scaling metrics'!EX159</f>
        <v>43.917045454545445</v>
      </c>
      <c r="AE164" s="57">
        <f>'dynamic scaling metrics'!EY159</f>
        <v>43.410227272727269</v>
      </c>
      <c r="AF164" s="57">
        <f>'dynamic scaling metrics'!EZ159</f>
        <v>38.330681818181816</v>
      </c>
      <c r="AG164" s="57">
        <f>'dynamic scaling metrics'!FA159</f>
        <v>42.009090909090908</v>
      </c>
      <c r="AH164" s="57">
        <f>'dynamic scaling metrics'!FB159</f>
        <v>37.342045454545449</v>
      </c>
      <c r="AI164" s="57">
        <f>'dynamic scaling metrics'!FC159</f>
        <v>40.114772727272729</v>
      </c>
      <c r="AK164" s="27"/>
    </row>
    <row r="165" spans="3:49" ht="31.95" customHeight="1" x14ac:dyDescent="0.4">
      <c r="R165" s="26">
        <v>0.25</v>
      </c>
      <c r="S165" s="62">
        <f>'dynamic scaling metrics'!DI165</f>
        <v>84.545454545454533</v>
      </c>
      <c r="T165" s="53">
        <f>'dynamic scaling metrics'!DJ165</f>
        <v>80.372727272727275</v>
      </c>
      <c r="U165" s="53">
        <f>'dynamic scaling metrics'!DK165</f>
        <v>75.709090909090904</v>
      </c>
      <c r="V165" s="53">
        <f>'dynamic scaling metrics'!DL165</f>
        <v>61.936363636363623</v>
      </c>
      <c r="W165" s="53">
        <f>'dynamic scaling metrics'!DM165</f>
        <v>64.581818181818164</v>
      </c>
      <c r="X165" s="53">
        <f>'dynamic scaling metrics'!DN165</f>
        <v>54.572727272727263</v>
      </c>
      <c r="Y165" s="53">
        <f>'dynamic scaling metrics'!DO165</f>
        <v>51.163636363636364</v>
      </c>
      <c r="Z165" s="63">
        <f>'dynamic scaling metrics'!DP165</f>
        <v>43.554545454545455</v>
      </c>
      <c r="AA165" s="58"/>
      <c r="AB165" s="54"/>
      <c r="AC165" s="56"/>
      <c r="AD165" s="53"/>
      <c r="AE165" s="53"/>
      <c r="AF165" s="53"/>
      <c r="AG165" s="53"/>
      <c r="AH165" s="53"/>
      <c r="AI165" s="53"/>
      <c r="AK165" s="27"/>
    </row>
    <row r="166" spans="3:49" ht="31.95" customHeight="1" x14ac:dyDescent="0.4">
      <c r="R166" s="25">
        <v>0.375</v>
      </c>
      <c r="S166" s="62">
        <f>'dynamic scaling metrics'!DQ165</f>
        <v>76.818181818181827</v>
      </c>
      <c r="T166" s="53">
        <f>'dynamic scaling metrics'!DR165</f>
        <v>73.340909090909079</v>
      </c>
      <c r="U166" s="53">
        <f>'dynamic scaling metrics'!DS165</f>
        <v>69.454545454545439</v>
      </c>
      <c r="V166" s="53">
        <f>'dynamic scaling metrics'!DT165</f>
        <v>57.340909090909086</v>
      </c>
      <c r="W166" s="53">
        <f>'dynamic scaling metrics'!DU165</f>
        <v>60.181818181818187</v>
      </c>
      <c r="X166" s="53">
        <f>'dynamic scaling metrics'!DV165</f>
        <v>51.204545454545446</v>
      </c>
      <c r="Y166" s="53">
        <f>'dynamic scaling metrics'!DW165</f>
        <v>49</v>
      </c>
      <c r="Z166" s="63">
        <f>'dynamic scaling metrics'!DX165</f>
        <v>42.659090909090907</v>
      </c>
      <c r="AA166" s="58"/>
      <c r="AB166" s="54"/>
      <c r="AC166" s="55"/>
      <c r="AD166" s="53"/>
      <c r="AE166" s="53"/>
      <c r="AF166" s="53"/>
      <c r="AG166" s="53"/>
      <c r="AH166" s="53"/>
      <c r="AI166" s="53"/>
      <c r="AK166" s="27"/>
    </row>
    <row r="167" spans="3:49" ht="31.95" customHeight="1" x14ac:dyDescent="0.4">
      <c r="R167" s="26">
        <v>0.5</v>
      </c>
      <c r="S167" s="62">
        <f>'dynamic scaling metrics'!DX165</f>
        <v>42.659090909090907</v>
      </c>
      <c r="T167" s="53">
        <f>'dynamic scaling metrics'!DY165</f>
        <v>69.090909090909079</v>
      </c>
      <c r="U167" s="53">
        <f>'dynamic scaling metrics'!DZ165</f>
        <v>66.309090909090912</v>
      </c>
      <c r="V167" s="53">
        <f>'dynamic scaling metrics'!EA165</f>
        <v>63.199999999999989</v>
      </c>
      <c r="W167" s="53">
        <f>'dynamic scaling metrics'!EB165</f>
        <v>52.745454545454542</v>
      </c>
      <c r="X167" s="53">
        <f>'dynamic scaling metrics'!EC165</f>
        <v>55.781818181818174</v>
      </c>
      <c r="Y167" s="53">
        <f>'dynamic scaling metrics'!ED165</f>
        <v>47.836363636363629</v>
      </c>
      <c r="Z167" s="63">
        <f>'dynamic scaling metrics'!EE165</f>
        <v>46.836363636363629</v>
      </c>
      <c r="AA167" s="58"/>
      <c r="AB167" s="54"/>
      <c r="AC167" s="56"/>
      <c r="AD167" s="53"/>
      <c r="AE167" s="53"/>
      <c r="AF167" s="53"/>
      <c r="AG167" s="53"/>
      <c r="AH167" s="53"/>
      <c r="AI167" s="53"/>
      <c r="AK167" s="27" t="str">
        <f t="shared" ref="AK167" si="73">Q163</f>
        <v>M3no9</v>
      </c>
    </row>
    <row r="168" spans="3:49" s="69" customFormat="1" ht="31.95" customHeight="1" thickBot="1" x14ac:dyDescent="0.45"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R168" s="70">
        <v>0.625</v>
      </c>
      <c r="S168" s="64">
        <f>'dynamic scaling metrics'!EF165</f>
        <v>41.763636363636351</v>
      </c>
      <c r="T168" s="65">
        <f>'dynamic scaling metrics'!EG165</f>
        <v>61.363636363636367</v>
      </c>
      <c r="U168" s="65">
        <f>'dynamic scaling metrics'!EH165</f>
        <v>59.277272727272724</v>
      </c>
      <c r="V168" s="65">
        <f>'dynamic scaling metrics'!EI165</f>
        <v>56.945454545454538</v>
      </c>
      <c r="W168" s="65">
        <f>'dynamic scaling metrics'!EJ165</f>
        <v>48.15</v>
      </c>
      <c r="X168" s="65">
        <f>'dynamic scaling metrics'!EK165</f>
        <v>51.381818181818183</v>
      </c>
      <c r="Y168" s="65">
        <f>'dynamic scaling metrics'!EL165</f>
        <v>44.468181818181819</v>
      </c>
      <c r="Z168" s="66">
        <f>'dynamic scaling metrics'!EM165</f>
        <v>44.672727272727272</v>
      </c>
      <c r="AA168" s="58"/>
      <c r="AB168">
        <v>0</v>
      </c>
      <c r="AC168" s="25">
        <v>0.125</v>
      </c>
      <c r="AD168" s="26">
        <v>0.25</v>
      </c>
      <c r="AE168" s="25">
        <v>0.375</v>
      </c>
      <c r="AF168" s="26">
        <v>0.5</v>
      </c>
      <c r="AG168" s="25">
        <v>0.625</v>
      </c>
      <c r="AH168" s="26">
        <v>0.75</v>
      </c>
      <c r="AI168" s="25">
        <v>0.875</v>
      </c>
      <c r="AK168" s="74" t="s">
        <v>107</v>
      </c>
      <c r="AL168">
        <f t="shared" ref="AL168" si="74">AVERAGE(U167:X168,AD169:AG169)</f>
        <v>53.938636363636355</v>
      </c>
      <c r="AM168"/>
      <c r="AN168" s="84"/>
      <c r="AO168" s="83"/>
      <c r="AP168" s="83"/>
      <c r="AQ168" s="84"/>
      <c r="AR168" s="83"/>
      <c r="AS168" s="83"/>
      <c r="AT168" s="83"/>
      <c r="AW168" s="78"/>
    </row>
    <row r="169" spans="3:49" ht="31.95" customHeight="1" x14ac:dyDescent="0.4">
      <c r="Q169" t="s">
        <v>37</v>
      </c>
      <c r="R169">
        <v>0</v>
      </c>
      <c r="S169" s="59">
        <f>'dynamic scaling metrics'!CS171</f>
        <v>100</v>
      </c>
      <c r="T169" s="60">
        <f>'dynamic scaling metrics'!CT171</f>
        <v>96.623076923076923</v>
      </c>
      <c r="U169" s="60">
        <f>'dynamic scaling metrics'!CU171</f>
        <v>92.023076923076943</v>
      </c>
      <c r="V169" s="60">
        <f>'dynamic scaling metrics'!CV171</f>
        <v>75.792307692307702</v>
      </c>
      <c r="W169" s="60">
        <f>'dynamic scaling metrics'!CW171</f>
        <v>78.338461538461559</v>
      </c>
      <c r="X169" s="60">
        <f>'dynamic scaling metrics'!CX171</f>
        <v>65.869230769230782</v>
      </c>
      <c r="Y169" s="60">
        <f>'dynamic scaling metrics'!CY171</f>
        <v>58.946153846153855</v>
      </c>
      <c r="Z169" s="61">
        <f>'dynamic scaling metrics'!CZ171</f>
        <v>47.007692307692309</v>
      </c>
      <c r="AA169" s="67">
        <f t="shared" ref="AA169:AA170" si="75">AA163</f>
        <v>0.75</v>
      </c>
      <c r="AB169" s="57">
        <f>'dynamic scaling metrics'!EN165</f>
        <v>40.868181818181817</v>
      </c>
      <c r="AC169" s="57">
        <f>'dynamic scaling metrics'!EO165</f>
        <v>53.636363636363633</v>
      </c>
      <c r="AD169" s="57">
        <f>'dynamic scaling metrics'!EP165</f>
        <v>52.245454545454535</v>
      </c>
      <c r="AE169" s="57">
        <f>'dynamic scaling metrics'!EQ165</f>
        <v>50.690909090909081</v>
      </c>
      <c r="AF169" s="57">
        <f>'dynamic scaling metrics'!ER165</f>
        <v>43.554545454545448</v>
      </c>
      <c r="AG169" s="57">
        <f>'dynamic scaling metrics'!ES165</f>
        <v>46.981818181818184</v>
      </c>
      <c r="AH169" s="57">
        <f>'dynamic scaling metrics'!ET165</f>
        <v>41.099999999999994</v>
      </c>
      <c r="AI169" s="57">
        <f>'dynamic scaling metrics'!EU165</f>
        <v>42.509090909090908</v>
      </c>
      <c r="AK169" s="27"/>
    </row>
    <row r="170" spans="3:49" ht="31.95" customHeight="1" x14ac:dyDescent="0.4">
      <c r="Q170" t="s">
        <v>95</v>
      </c>
      <c r="R170" s="25">
        <v>0.125</v>
      </c>
      <c r="S170" s="62">
        <f>'dynamic scaling metrics'!DA171</f>
        <v>93.269230769230759</v>
      </c>
      <c r="T170" s="53">
        <f>'dynamic scaling metrics'!DB171</f>
        <v>90.421153846153857</v>
      </c>
      <c r="U170" s="53">
        <f>'dynamic scaling metrics'!DC171</f>
        <v>86.494230769230782</v>
      </c>
      <c r="V170" s="53">
        <f>'dynamic scaling metrics'!DD171</f>
        <v>71.801923076923089</v>
      </c>
      <c r="W170" s="53">
        <f>'dynamic scaling metrics'!DE171</f>
        <v>74.684615384615384</v>
      </c>
      <c r="X170" s="53">
        <f>'dynamic scaling metrics'!DF171</f>
        <v>63.205769230769242</v>
      </c>
      <c r="Y170" s="53">
        <f>'dynamic scaling metrics'!DG171</f>
        <v>57.840384615384615</v>
      </c>
      <c r="Z170" s="63">
        <f>'dynamic scaling metrics'!DH171</f>
        <v>47.440384615384609</v>
      </c>
      <c r="AA170" s="68">
        <f t="shared" si="75"/>
        <v>0.875</v>
      </c>
      <c r="AB170" s="57">
        <f>'dynamic scaling metrics'!EV165</f>
        <v>39.972727272727269</v>
      </c>
      <c r="AC170" s="57">
        <f>'dynamic scaling metrics'!EW165</f>
        <v>45.909090909090914</v>
      </c>
      <c r="AD170" s="57">
        <f>'dynamic scaling metrics'!EX165</f>
        <v>45.213636363636354</v>
      </c>
      <c r="AE170" s="57">
        <f>'dynamic scaling metrics'!EY165</f>
        <v>44.436363636363645</v>
      </c>
      <c r="AF170" s="57">
        <f>'dynamic scaling metrics'!EZ165</f>
        <v>38.959090909090918</v>
      </c>
      <c r="AG170" s="57">
        <f>'dynamic scaling metrics'!FA165</f>
        <v>42.581818181818186</v>
      </c>
      <c r="AH170" s="57">
        <f>'dynamic scaling metrics'!FB165</f>
        <v>37.731818181818184</v>
      </c>
      <c r="AI170" s="57">
        <f>'dynamic scaling metrics'!FC165</f>
        <v>40.345454545454551</v>
      </c>
      <c r="AK170" s="27"/>
    </row>
    <row r="171" spans="3:49" ht="31.95" customHeight="1" x14ac:dyDescent="0.4">
      <c r="R171" s="26">
        <v>0.25</v>
      </c>
      <c r="S171" s="62">
        <f>'dynamic scaling metrics'!DI171</f>
        <v>86.538461538461547</v>
      </c>
      <c r="T171" s="53">
        <f>'dynamic scaling metrics'!DJ171</f>
        <v>84.219230769230762</v>
      </c>
      <c r="U171" s="53">
        <f>'dynamic scaling metrics'!DK171</f>
        <v>80.965384615384636</v>
      </c>
      <c r="V171" s="53">
        <f>'dynamic scaling metrics'!DL171</f>
        <v>67.811538461538476</v>
      </c>
      <c r="W171" s="53">
        <f>'dynamic scaling metrics'!DM171</f>
        <v>71.030769230769238</v>
      </c>
      <c r="X171" s="53">
        <f>'dynamic scaling metrics'!DN171</f>
        <v>60.542307692307702</v>
      </c>
      <c r="Y171" s="53">
        <f>'dynamic scaling metrics'!DO171</f>
        <v>56.734615384615402</v>
      </c>
      <c r="Z171" s="63">
        <f>'dynamic scaling metrics'!DP171</f>
        <v>47.873076923076923</v>
      </c>
      <c r="AA171" s="58"/>
      <c r="AB171" s="54"/>
      <c r="AC171" s="56"/>
      <c r="AD171" s="53"/>
      <c r="AE171" s="53"/>
      <c r="AF171" s="53"/>
      <c r="AG171" s="53"/>
      <c r="AH171" s="53"/>
      <c r="AI171" s="53"/>
      <c r="AK171" s="27"/>
    </row>
    <row r="172" spans="3:49" ht="31.95" customHeight="1" x14ac:dyDescent="0.4">
      <c r="R172" s="25">
        <v>0.375</v>
      </c>
      <c r="S172" s="62">
        <f>'dynamic scaling metrics'!DQ171</f>
        <v>79.807692307692321</v>
      </c>
      <c r="T172" s="53">
        <f>'dynamic scaling metrics'!DR171</f>
        <v>78.017307692307696</v>
      </c>
      <c r="U172" s="53">
        <f>'dynamic scaling metrics'!DS171</f>
        <v>75.436538461538476</v>
      </c>
      <c r="V172" s="53">
        <f>'dynamic scaling metrics'!DT171</f>
        <v>63.821153846153855</v>
      </c>
      <c r="W172" s="53">
        <f>'dynamic scaling metrics'!DU171</f>
        <v>67.376923076923077</v>
      </c>
      <c r="X172" s="53">
        <f>'dynamic scaling metrics'!DV171</f>
        <v>57.878846153846162</v>
      </c>
      <c r="Y172" s="53">
        <f>'dynamic scaling metrics'!DW171</f>
        <v>55.628846153846162</v>
      </c>
      <c r="Z172" s="63">
        <f>'dynamic scaling metrics'!DX171</f>
        <v>48.305769230769236</v>
      </c>
      <c r="AA172" s="58"/>
      <c r="AB172" s="54"/>
      <c r="AC172" s="55"/>
      <c r="AD172" s="53"/>
      <c r="AE172" s="53"/>
      <c r="AF172" s="53"/>
      <c r="AG172" s="53"/>
      <c r="AH172" s="53"/>
      <c r="AI172" s="53"/>
      <c r="AK172" s="27"/>
    </row>
    <row r="173" spans="3:49" ht="31.95" customHeight="1" x14ac:dyDescent="0.4">
      <c r="R173" s="26">
        <v>0.5</v>
      </c>
      <c r="S173" s="62">
        <f>'dynamic scaling metrics'!DX171</f>
        <v>48.305769230769236</v>
      </c>
      <c r="T173" s="53">
        <f>'dynamic scaling metrics'!DY171</f>
        <v>73.07692307692308</v>
      </c>
      <c r="U173" s="53">
        <f>'dynamic scaling metrics'!DZ171</f>
        <v>71.815384615384602</v>
      </c>
      <c r="V173" s="53">
        <f>'dynamic scaling metrics'!EA171</f>
        <v>69.907692307692315</v>
      </c>
      <c r="W173" s="53">
        <f>'dynamic scaling metrics'!EB171</f>
        <v>59.830769230769235</v>
      </c>
      <c r="X173" s="53">
        <f>'dynamic scaling metrics'!EC171</f>
        <v>63.723076923076931</v>
      </c>
      <c r="Y173" s="53">
        <f>'dynamic scaling metrics'!ED171</f>
        <v>55.215384615384629</v>
      </c>
      <c r="Z173" s="63">
        <f>'dynamic scaling metrics'!EE171</f>
        <v>54.523076923076921</v>
      </c>
      <c r="AA173" s="58"/>
      <c r="AB173" s="54"/>
      <c r="AC173" s="56"/>
      <c r="AD173" s="53"/>
      <c r="AE173" s="53"/>
      <c r="AF173" s="53"/>
      <c r="AG173" s="53"/>
      <c r="AH173" s="53"/>
      <c r="AI173" s="53"/>
      <c r="AK173" s="27" t="str">
        <f t="shared" ref="AK173" si="76">Q169</f>
        <v>M4no1</v>
      </c>
    </row>
    <row r="174" spans="3:49" ht="31.95" customHeight="1" thickBot="1" x14ac:dyDescent="0.45">
      <c r="R174" s="25">
        <v>0.625</v>
      </c>
      <c r="S174" s="64">
        <f>'dynamic scaling metrics'!EF171</f>
        <v>48.738461538461543</v>
      </c>
      <c r="T174" s="65">
        <f>'dynamic scaling metrics'!EG171</f>
        <v>66.34615384615384</v>
      </c>
      <c r="U174" s="65">
        <f>'dynamic scaling metrics'!EH171</f>
        <v>65.613461538461536</v>
      </c>
      <c r="V174" s="65">
        <f>'dynamic scaling metrics'!EI171</f>
        <v>64.378846153846155</v>
      </c>
      <c r="W174" s="65">
        <f>'dynamic scaling metrics'!EJ171</f>
        <v>55.840384615384629</v>
      </c>
      <c r="X174" s="65">
        <f>'dynamic scaling metrics'!EK171</f>
        <v>60.069230769230778</v>
      </c>
      <c r="Y174" s="65">
        <f>'dynamic scaling metrics'!EL171</f>
        <v>52.551923076923082</v>
      </c>
      <c r="Z174" s="66">
        <f>'dynamic scaling metrics'!EM171</f>
        <v>53.417307692307702</v>
      </c>
      <c r="AA174" s="58"/>
      <c r="AB174">
        <v>0</v>
      </c>
      <c r="AC174" s="25">
        <v>0.125</v>
      </c>
      <c r="AD174" s="26">
        <v>0.25</v>
      </c>
      <c r="AE174" s="25">
        <v>0.375</v>
      </c>
      <c r="AF174" s="26">
        <v>0.5</v>
      </c>
      <c r="AG174" s="25">
        <v>0.625</v>
      </c>
      <c r="AH174" s="26">
        <v>0.75</v>
      </c>
      <c r="AI174" s="25">
        <v>0.875</v>
      </c>
      <c r="AK174" s="74" t="s">
        <v>107</v>
      </c>
      <c r="AL174">
        <f t="shared" ref="AL174" si="77">AVERAGE(U173:X174,AD175:AG175)</f>
        <v>61.475480769230778</v>
      </c>
      <c r="AN174" s="84"/>
      <c r="AQ174" s="84"/>
    </row>
    <row r="175" spans="3:49" ht="31.95" customHeight="1" x14ac:dyDescent="0.4">
      <c r="Q175" t="s">
        <v>38</v>
      </c>
      <c r="R175">
        <v>0</v>
      </c>
      <c r="S175" s="59">
        <f>'dynamic scaling metrics'!CS177</f>
        <v>100</v>
      </c>
      <c r="T175" s="60">
        <f>'dynamic scaling metrics'!CT177</f>
        <v>96.827868852459005</v>
      </c>
      <c r="U175" s="60">
        <f>'dynamic scaling metrics'!CU177</f>
        <v>92.450819672131146</v>
      </c>
      <c r="V175" s="60">
        <f>'dynamic scaling metrics'!CV177</f>
        <v>76.467213114754102</v>
      </c>
      <c r="W175" s="60">
        <f>'dynamic scaling metrics'!CW177</f>
        <v>79.27868852459018</v>
      </c>
      <c r="X175" s="60">
        <f>'dynamic scaling metrics'!CX177</f>
        <v>66.877049180327859</v>
      </c>
      <c r="Y175" s="60">
        <f>'dynamic scaling metrics'!CY177</f>
        <v>60.483606557377044</v>
      </c>
      <c r="Z175" s="61">
        <f>'dynamic scaling metrics'!CZ177</f>
        <v>48.877049180327866</v>
      </c>
      <c r="AA175" s="67">
        <f t="shared" ref="AA175:AA176" si="78">AA169</f>
        <v>0.75</v>
      </c>
      <c r="AB175" s="57">
        <f>'dynamic scaling metrics'!EN171</f>
        <v>49.17115384615385</v>
      </c>
      <c r="AC175" s="57">
        <f>'dynamic scaling metrics'!EO171</f>
        <v>59.615384615384613</v>
      </c>
      <c r="AD175" s="57">
        <f>'dynamic scaling metrics'!EP171</f>
        <v>59.41153846153847</v>
      </c>
      <c r="AE175" s="57">
        <f>'dynamic scaling metrics'!EQ171</f>
        <v>58.85</v>
      </c>
      <c r="AF175" s="57">
        <f>'dynamic scaling metrics'!ER171</f>
        <v>51.850000000000009</v>
      </c>
      <c r="AG175" s="57">
        <f>'dynamic scaling metrics'!ES171</f>
        <v>56.415384615384617</v>
      </c>
      <c r="AH175" s="57">
        <f>'dynamic scaling metrics'!ET171</f>
        <v>49.888461538461549</v>
      </c>
      <c r="AI175" s="57">
        <f>'dynamic scaling metrics'!EU171</f>
        <v>52.311538461538468</v>
      </c>
      <c r="AK175" s="27"/>
    </row>
    <row r="176" spans="3:49" ht="31.95" customHeight="1" x14ac:dyDescent="0.4">
      <c r="Q176" t="s">
        <v>95</v>
      </c>
      <c r="R176" s="25">
        <v>0.125</v>
      </c>
      <c r="S176" s="62">
        <f>'dynamic scaling metrics'!DA177</f>
        <v>92.21311475409837</v>
      </c>
      <c r="T176" s="53">
        <f>'dynamic scaling metrics'!DB177</f>
        <v>89.475409836065566</v>
      </c>
      <c r="U176" s="53">
        <f>'dynamic scaling metrics'!DC177</f>
        <v>85.680327868852473</v>
      </c>
      <c r="V176" s="53">
        <f>'dynamic scaling metrics'!DD177</f>
        <v>71.25409836065576</v>
      </c>
      <c r="W176" s="53">
        <f>'dynamic scaling metrics'!DE177</f>
        <v>74.213114754098385</v>
      </c>
      <c r="X176" s="53">
        <f>'dynamic scaling metrics'!DF177</f>
        <v>62.893442622950836</v>
      </c>
      <c r="Y176" s="53">
        <f>'dynamic scaling metrics'!DG177</f>
        <v>57.811475409836078</v>
      </c>
      <c r="Z176" s="63">
        <f>'dynamic scaling metrics'!DH177</f>
        <v>47.672131147540988</v>
      </c>
      <c r="AA176" s="68">
        <f t="shared" si="78"/>
        <v>0.875</v>
      </c>
      <c r="AB176" s="57">
        <f>'dynamic scaling metrics'!EV171</f>
        <v>49.603846153846156</v>
      </c>
      <c r="AC176" s="57">
        <f>'dynamic scaling metrics'!EW171</f>
        <v>52.884615384615394</v>
      </c>
      <c r="AD176" s="57">
        <f>'dynamic scaling metrics'!EX171</f>
        <v>53.20961538461539</v>
      </c>
      <c r="AE176" s="57">
        <f>'dynamic scaling metrics'!EY171</f>
        <v>53.321153846153848</v>
      </c>
      <c r="AF176" s="57">
        <f>'dynamic scaling metrics'!EZ171</f>
        <v>47.859615384615395</v>
      </c>
      <c r="AG176" s="57">
        <f>'dynamic scaling metrics'!FA171</f>
        <v>52.761538461538478</v>
      </c>
      <c r="AH176" s="57">
        <f>'dynamic scaling metrics'!FB171</f>
        <v>47.225000000000001</v>
      </c>
      <c r="AI176" s="57">
        <f>'dynamic scaling metrics'!FC171</f>
        <v>51.205769230769235</v>
      </c>
      <c r="AK176" s="27"/>
    </row>
    <row r="177" spans="17:43" ht="31.95" customHeight="1" x14ac:dyDescent="0.4">
      <c r="R177" s="26">
        <v>0.25</v>
      </c>
      <c r="S177" s="62">
        <f>'dynamic scaling metrics'!DI177</f>
        <v>84.426229508196727</v>
      </c>
      <c r="T177" s="53">
        <f>'dynamic scaling metrics'!DJ177</f>
        <v>82.122950819672127</v>
      </c>
      <c r="U177" s="53">
        <f>'dynamic scaling metrics'!DK177</f>
        <v>78.909836065573771</v>
      </c>
      <c r="V177" s="53">
        <f>'dynamic scaling metrics'!DL177</f>
        <v>66.040983606557376</v>
      </c>
      <c r="W177" s="53">
        <f>'dynamic scaling metrics'!DM177</f>
        <v>69.147540983606561</v>
      </c>
      <c r="X177" s="53">
        <f>'dynamic scaling metrics'!DN177</f>
        <v>58.909836065573764</v>
      </c>
      <c r="Y177" s="53">
        <f>'dynamic scaling metrics'!DO177</f>
        <v>55.139344262295083</v>
      </c>
      <c r="Z177" s="63">
        <f>'dynamic scaling metrics'!DP177</f>
        <v>46.467213114754102</v>
      </c>
      <c r="AA177" s="58"/>
      <c r="AB177" s="54"/>
      <c r="AC177" s="56"/>
      <c r="AD177" s="53"/>
      <c r="AE177" s="53"/>
      <c r="AF177" s="53"/>
      <c r="AG177" s="53"/>
      <c r="AH177" s="53"/>
      <c r="AI177" s="53"/>
      <c r="AK177" s="27"/>
    </row>
    <row r="178" spans="17:43" ht="31.95" customHeight="1" x14ac:dyDescent="0.4">
      <c r="R178" s="25">
        <v>0.375</v>
      </c>
      <c r="S178" s="62">
        <f>'dynamic scaling metrics'!DQ177</f>
        <v>76.639344262295083</v>
      </c>
      <c r="T178" s="53">
        <f>'dynamic scaling metrics'!DR177</f>
        <v>74.770491803278702</v>
      </c>
      <c r="U178" s="53">
        <f>'dynamic scaling metrics'!DS177</f>
        <v>72.139344262295083</v>
      </c>
      <c r="V178" s="53">
        <f>'dynamic scaling metrics'!DT177</f>
        <v>60.827868852459034</v>
      </c>
      <c r="W178" s="53">
        <f>'dynamic scaling metrics'!DU177</f>
        <v>64.081967213114766</v>
      </c>
      <c r="X178" s="53">
        <f>'dynamic scaling metrics'!DV177</f>
        <v>54.92622950819672</v>
      </c>
      <c r="Y178" s="53">
        <f>'dynamic scaling metrics'!DW177</f>
        <v>52.467213114754102</v>
      </c>
      <c r="Z178" s="63">
        <f>'dynamic scaling metrics'!DX177</f>
        <v>45.262295081967217</v>
      </c>
      <c r="AA178" s="58"/>
      <c r="AB178" s="54"/>
      <c r="AC178" s="55"/>
      <c r="AD178" s="53"/>
      <c r="AE178" s="53"/>
      <c r="AF178" s="53"/>
      <c r="AG178" s="53"/>
      <c r="AH178" s="53"/>
      <c r="AI178" s="53"/>
      <c r="AK178" s="27"/>
    </row>
    <row r="179" spans="17:43" ht="31.95" customHeight="1" x14ac:dyDescent="0.4">
      <c r="R179" s="26">
        <v>0.5</v>
      </c>
      <c r="S179" s="62">
        <f>'dynamic scaling metrics'!DX177</f>
        <v>45.262295081967217</v>
      </c>
      <c r="T179" s="53">
        <f>'dynamic scaling metrics'!DY177</f>
        <v>68.852459016393439</v>
      </c>
      <c r="U179" s="53">
        <f>'dynamic scaling metrics'!DZ177</f>
        <v>67.418032786885263</v>
      </c>
      <c r="V179" s="53">
        <f>'dynamic scaling metrics'!EA177</f>
        <v>65.368852459016395</v>
      </c>
      <c r="W179" s="53">
        <f>'dynamic scaling metrics'!EB177</f>
        <v>55.61475409836067</v>
      </c>
      <c r="X179" s="53">
        <f>'dynamic scaling metrics'!EC177</f>
        <v>59.016393442622956</v>
      </c>
      <c r="Y179" s="53">
        <f>'dynamic scaling metrics'!ED177</f>
        <v>50.942622950819668</v>
      </c>
      <c r="Z179" s="63">
        <f>'dynamic scaling metrics'!EE177</f>
        <v>49.795081967213115</v>
      </c>
      <c r="AA179" s="58"/>
      <c r="AB179" s="54"/>
      <c r="AC179" s="56"/>
      <c r="AD179" s="53"/>
      <c r="AE179" s="53"/>
      <c r="AF179" s="53"/>
      <c r="AG179" s="53"/>
      <c r="AH179" s="53"/>
      <c r="AI179" s="53"/>
      <c r="AK179" s="27" t="str">
        <f t="shared" ref="AK179" si="79">Q175</f>
        <v>M4no2</v>
      </c>
    </row>
    <row r="180" spans="17:43" ht="31.95" customHeight="1" thickBot="1" x14ac:dyDescent="0.45">
      <c r="R180" s="25">
        <v>0.625</v>
      </c>
      <c r="S180" s="64">
        <f>'dynamic scaling metrics'!EF177</f>
        <v>44.057377049180324</v>
      </c>
      <c r="T180" s="65">
        <f>'dynamic scaling metrics'!EG177</f>
        <v>61.06557377049181</v>
      </c>
      <c r="U180" s="65">
        <f>'dynamic scaling metrics'!EH177</f>
        <v>60.065573770491802</v>
      </c>
      <c r="V180" s="65">
        <f>'dynamic scaling metrics'!EI177</f>
        <v>58.598360655737707</v>
      </c>
      <c r="W180" s="65">
        <f>'dynamic scaling metrics'!EJ177</f>
        <v>50.4016393442623</v>
      </c>
      <c r="X180" s="65">
        <f>'dynamic scaling metrics'!EK177</f>
        <v>53.950819672131146</v>
      </c>
      <c r="Y180" s="65">
        <f>'dynamic scaling metrics'!EL177</f>
        <v>46.959016393442631</v>
      </c>
      <c r="Z180" s="66">
        <f>'dynamic scaling metrics'!EM177</f>
        <v>47.122950819672134</v>
      </c>
      <c r="AA180" s="58"/>
      <c r="AB180">
        <v>0</v>
      </c>
      <c r="AC180" s="25">
        <v>0.125</v>
      </c>
      <c r="AD180" s="26">
        <v>0.25</v>
      </c>
      <c r="AE180" s="25">
        <v>0.375</v>
      </c>
      <c r="AF180" s="26">
        <v>0.5</v>
      </c>
      <c r="AG180" s="25">
        <v>0.625</v>
      </c>
      <c r="AH180" s="26">
        <v>0.75</v>
      </c>
      <c r="AI180" s="25">
        <v>0.875</v>
      </c>
      <c r="AK180" s="74" t="s">
        <v>107</v>
      </c>
      <c r="AL180">
        <f t="shared" ref="AL180" si="80">AVERAGE(U179:X180,AD181:AG181)</f>
        <v>55.754098360655746</v>
      </c>
      <c r="AN180" s="84"/>
      <c r="AQ180" s="84"/>
    </row>
    <row r="181" spans="17:43" ht="31.95" customHeight="1" x14ac:dyDescent="0.4">
      <c r="Q181" t="s">
        <v>39</v>
      </c>
      <c r="R181">
        <v>0</v>
      </c>
      <c r="S181" s="59">
        <f>'dynamic scaling metrics'!CS183</f>
        <v>100</v>
      </c>
      <c r="T181" s="60">
        <f>'dynamic scaling metrics'!CT183</f>
        <v>96.827868852459005</v>
      </c>
      <c r="U181" s="60">
        <f>'dynamic scaling metrics'!CU183</f>
        <v>92.450819672131146</v>
      </c>
      <c r="V181" s="60">
        <f>'dynamic scaling metrics'!CV183</f>
        <v>76.467213114754102</v>
      </c>
      <c r="W181" s="60">
        <f>'dynamic scaling metrics'!CW183</f>
        <v>79.27868852459018</v>
      </c>
      <c r="X181" s="60">
        <f>'dynamic scaling metrics'!CX183</f>
        <v>66.877049180327859</v>
      </c>
      <c r="Y181" s="60">
        <f>'dynamic scaling metrics'!CY183</f>
        <v>60.483606557377044</v>
      </c>
      <c r="Z181" s="61">
        <f>'dynamic scaling metrics'!CZ183</f>
        <v>48.877049180327866</v>
      </c>
      <c r="AA181" s="67">
        <f t="shared" ref="AA181:AA182" si="81">AA175</f>
        <v>0.75</v>
      </c>
      <c r="AB181" s="57">
        <f>'dynamic scaling metrics'!EN177</f>
        <v>42.852459016393446</v>
      </c>
      <c r="AC181" s="57">
        <f>'dynamic scaling metrics'!EO177</f>
        <v>53.278688524590166</v>
      </c>
      <c r="AD181" s="57">
        <f>'dynamic scaling metrics'!EP177</f>
        <v>52.71311475409837</v>
      </c>
      <c r="AE181" s="57">
        <f>'dynamic scaling metrics'!EQ177</f>
        <v>51.827868852459027</v>
      </c>
      <c r="AF181" s="57">
        <f>'dynamic scaling metrics'!ER177</f>
        <v>45.188524590163937</v>
      </c>
      <c r="AG181" s="57">
        <f>'dynamic scaling metrics'!ES177</f>
        <v>48.885245901639358</v>
      </c>
      <c r="AH181" s="57">
        <f>'dynamic scaling metrics'!ET177</f>
        <v>42.97540983606558</v>
      </c>
      <c r="AI181" s="57">
        <f>'dynamic scaling metrics'!EU177</f>
        <v>44.450819672131153</v>
      </c>
      <c r="AK181" s="27"/>
    </row>
    <row r="182" spans="17:43" ht="31.95" customHeight="1" x14ac:dyDescent="0.4">
      <c r="Q182" t="s">
        <v>95</v>
      </c>
      <c r="R182" s="25">
        <v>0.125</v>
      </c>
      <c r="S182" s="62">
        <f>'dynamic scaling metrics'!DA183</f>
        <v>92.21311475409837</v>
      </c>
      <c r="T182" s="53">
        <f>'dynamic scaling metrics'!DB183</f>
        <v>89.475409836065566</v>
      </c>
      <c r="U182" s="53">
        <f>'dynamic scaling metrics'!DC183</f>
        <v>85.680327868852473</v>
      </c>
      <c r="V182" s="53">
        <f>'dynamic scaling metrics'!DD183</f>
        <v>71.25409836065576</v>
      </c>
      <c r="W182" s="53">
        <f>'dynamic scaling metrics'!DE183</f>
        <v>74.213114754098385</v>
      </c>
      <c r="X182" s="53">
        <f>'dynamic scaling metrics'!DF183</f>
        <v>62.893442622950836</v>
      </c>
      <c r="Y182" s="53">
        <f>'dynamic scaling metrics'!DG183</f>
        <v>57.811475409836078</v>
      </c>
      <c r="Z182" s="63">
        <f>'dynamic scaling metrics'!DH183</f>
        <v>47.672131147540988</v>
      </c>
      <c r="AA182" s="68">
        <f t="shared" si="81"/>
        <v>0.875</v>
      </c>
      <c r="AB182" s="57">
        <f>'dynamic scaling metrics'!EV177</f>
        <v>41.647540983606561</v>
      </c>
      <c r="AC182" s="57">
        <f>'dynamic scaling metrics'!EW177</f>
        <v>45.491803278688529</v>
      </c>
      <c r="AD182" s="57">
        <f>'dynamic scaling metrics'!EX177</f>
        <v>45.360655737704917</v>
      </c>
      <c r="AE182" s="57">
        <f>'dynamic scaling metrics'!EY177</f>
        <v>45.057377049180332</v>
      </c>
      <c r="AF182" s="57">
        <f>'dynamic scaling metrics'!EZ177</f>
        <v>39.97540983606558</v>
      </c>
      <c r="AG182" s="57">
        <f>'dynamic scaling metrics'!FA177</f>
        <v>43.819672131147549</v>
      </c>
      <c r="AH182" s="57">
        <f>'dynamic scaling metrics'!FB177</f>
        <v>38.991803278688529</v>
      </c>
      <c r="AI182" s="57">
        <f>'dynamic scaling metrics'!FC177</f>
        <v>41.778688524590166</v>
      </c>
      <c r="AK182" s="27"/>
    </row>
    <row r="183" spans="17:43" ht="31.95" customHeight="1" x14ac:dyDescent="0.4">
      <c r="R183" s="26">
        <v>0.25</v>
      </c>
      <c r="S183" s="62">
        <f>'dynamic scaling metrics'!DI183</f>
        <v>84.426229508196727</v>
      </c>
      <c r="T183" s="53">
        <f>'dynamic scaling metrics'!DJ183</f>
        <v>82.122950819672127</v>
      </c>
      <c r="U183" s="53">
        <f>'dynamic scaling metrics'!DK183</f>
        <v>78.909836065573771</v>
      </c>
      <c r="V183" s="53">
        <f>'dynamic scaling metrics'!DL183</f>
        <v>66.040983606557376</v>
      </c>
      <c r="W183" s="53">
        <f>'dynamic scaling metrics'!DM183</f>
        <v>69.147540983606561</v>
      </c>
      <c r="X183" s="53">
        <f>'dynamic scaling metrics'!DN183</f>
        <v>58.909836065573764</v>
      </c>
      <c r="Y183" s="53">
        <f>'dynamic scaling metrics'!DO183</f>
        <v>55.139344262295083</v>
      </c>
      <c r="Z183" s="63">
        <f>'dynamic scaling metrics'!DP183</f>
        <v>46.467213114754102</v>
      </c>
      <c r="AA183" s="58"/>
      <c r="AB183" s="54"/>
      <c r="AC183" s="56"/>
      <c r="AD183" s="53"/>
      <c r="AE183" s="53"/>
      <c r="AF183" s="53"/>
      <c r="AG183" s="53"/>
      <c r="AH183" s="53"/>
      <c r="AI183" s="53"/>
      <c r="AK183" s="27"/>
    </row>
    <row r="184" spans="17:43" ht="31.95" customHeight="1" x14ac:dyDescent="0.4">
      <c r="R184" s="25">
        <v>0.375</v>
      </c>
      <c r="S184" s="62">
        <f>'dynamic scaling metrics'!DQ183</f>
        <v>76.639344262295083</v>
      </c>
      <c r="T184" s="53">
        <f>'dynamic scaling metrics'!DR183</f>
        <v>74.770491803278702</v>
      </c>
      <c r="U184" s="53">
        <f>'dynamic scaling metrics'!DS183</f>
        <v>72.139344262295083</v>
      </c>
      <c r="V184" s="53">
        <f>'dynamic scaling metrics'!DT183</f>
        <v>60.827868852459034</v>
      </c>
      <c r="W184" s="53">
        <f>'dynamic scaling metrics'!DU183</f>
        <v>64.081967213114766</v>
      </c>
      <c r="X184" s="53">
        <f>'dynamic scaling metrics'!DV183</f>
        <v>54.92622950819672</v>
      </c>
      <c r="Y184" s="53">
        <f>'dynamic scaling metrics'!DW183</f>
        <v>52.467213114754102</v>
      </c>
      <c r="Z184" s="63">
        <f>'dynamic scaling metrics'!DX183</f>
        <v>45.262295081967217</v>
      </c>
      <c r="AA184" s="58"/>
      <c r="AB184" s="54"/>
      <c r="AC184" s="55"/>
      <c r="AD184" s="53"/>
      <c r="AE184" s="53"/>
      <c r="AF184" s="53"/>
      <c r="AG184" s="53"/>
      <c r="AH184" s="53"/>
      <c r="AI184" s="53"/>
      <c r="AK184" s="27"/>
    </row>
    <row r="185" spans="17:43" ht="31.95" customHeight="1" x14ac:dyDescent="0.4">
      <c r="R185" s="26">
        <v>0.5</v>
      </c>
      <c r="S185" s="62">
        <f>'dynamic scaling metrics'!DX183</f>
        <v>45.262295081967217</v>
      </c>
      <c r="T185" s="53">
        <f>'dynamic scaling metrics'!DY183</f>
        <v>68.852459016393439</v>
      </c>
      <c r="U185" s="53">
        <f>'dynamic scaling metrics'!DZ183</f>
        <v>67.418032786885263</v>
      </c>
      <c r="V185" s="53">
        <f>'dynamic scaling metrics'!EA183</f>
        <v>65.368852459016395</v>
      </c>
      <c r="W185" s="53">
        <f>'dynamic scaling metrics'!EB183</f>
        <v>55.61475409836067</v>
      </c>
      <c r="X185" s="53">
        <f>'dynamic scaling metrics'!EC183</f>
        <v>59.016393442622956</v>
      </c>
      <c r="Y185" s="53">
        <f>'dynamic scaling metrics'!ED183</f>
        <v>50.942622950819668</v>
      </c>
      <c r="Z185" s="63">
        <f>'dynamic scaling metrics'!EE183</f>
        <v>49.795081967213115</v>
      </c>
      <c r="AA185" s="58"/>
      <c r="AB185" s="54"/>
      <c r="AC185" s="56"/>
      <c r="AD185" s="53"/>
      <c r="AE185" s="53"/>
      <c r="AF185" s="53"/>
      <c r="AG185" s="53"/>
      <c r="AH185" s="53"/>
      <c r="AI185" s="53"/>
      <c r="AK185" s="27" t="str">
        <f t="shared" ref="AK185" si="82">Q181</f>
        <v>M4no3</v>
      </c>
    </row>
    <row r="186" spans="17:43" ht="31.95" customHeight="1" thickBot="1" x14ac:dyDescent="0.45">
      <c r="R186" s="25">
        <v>0.625</v>
      </c>
      <c r="S186" s="64">
        <f>'dynamic scaling metrics'!EF183</f>
        <v>44.057377049180324</v>
      </c>
      <c r="T186" s="65">
        <f>'dynamic scaling metrics'!EG183</f>
        <v>61.06557377049181</v>
      </c>
      <c r="U186" s="65">
        <f>'dynamic scaling metrics'!EH183</f>
        <v>60.065573770491802</v>
      </c>
      <c r="V186" s="65">
        <f>'dynamic scaling metrics'!EI183</f>
        <v>58.598360655737707</v>
      </c>
      <c r="W186" s="65">
        <f>'dynamic scaling metrics'!EJ183</f>
        <v>50.4016393442623</v>
      </c>
      <c r="X186" s="65">
        <f>'dynamic scaling metrics'!EK183</f>
        <v>53.950819672131146</v>
      </c>
      <c r="Y186" s="65">
        <f>'dynamic scaling metrics'!EL183</f>
        <v>46.959016393442631</v>
      </c>
      <c r="Z186" s="66">
        <f>'dynamic scaling metrics'!EM183</f>
        <v>47.122950819672134</v>
      </c>
      <c r="AA186" s="58"/>
      <c r="AB186">
        <v>0</v>
      </c>
      <c r="AC186" s="25">
        <v>0.125</v>
      </c>
      <c r="AD186" s="26">
        <v>0.25</v>
      </c>
      <c r="AE186" s="25">
        <v>0.375</v>
      </c>
      <c r="AF186" s="26">
        <v>0.5</v>
      </c>
      <c r="AG186" s="25">
        <v>0.625</v>
      </c>
      <c r="AH186" s="26">
        <v>0.75</v>
      </c>
      <c r="AI186" s="25">
        <v>0.875</v>
      </c>
      <c r="AK186" s="74" t="s">
        <v>107</v>
      </c>
      <c r="AL186">
        <f t="shared" ref="AL186" si="83">AVERAGE(U185:X186,AD187:AG187)</f>
        <v>55.754098360655746</v>
      </c>
      <c r="AN186" s="84"/>
      <c r="AQ186" s="84"/>
    </row>
    <row r="187" spans="17:43" ht="31.95" customHeight="1" x14ac:dyDescent="0.4">
      <c r="Q187" t="s">
        <v>40</v>
      </c>
      <c r="R187">
        <v>0</v>
      </c>
      <c r="S187" s="59">
        <f>'dynamic scaling metrics'!CS189</f>
        <v>100</v>
      </c>
      <c r="T187" s="60">
        <f>'dynamic scaling metrics'!CT189</f>
        <v>94.647540983606561</v>
      </c>
      <c r="U187" s="60">
        <f>'dynamic scaling metrics'!CU189</f>
        <v>88.532786885245912</v>
      </c>
      <c r="V187" s="60">
        <f>'dynamic scaling metrics'!CV189</f>
        <v>71.401639344262307</v>
      </c>
      <c r="W187" s="60">
        <f>'dynamic scaling metrics'!CW189</f>
        <v>73.508196721311478</v>
      </c>
      <c r="X187" s="60">
        <f>'dynamic scaling metrics'!CX189</f>
        <v>61.319672131147549</v>
      </c>
      <c r="Y187" s="60">
        <f>'dynamic scaling metrics'!CY189</f>
        <v>54.92622950819672</v>
      </c>
      <c r="Z187" s="61">
        <f>'dynamic scaling metrics'!CZ189</f>
        <v>44.237704918032783</v>
      </c>
      <c r="AA187" s="67">
        <f t="shared" ref="AA187:AA188" si="84">AA181</f>
        <v>0.75</v>
      </c>
      <c r="AB187" s="57">
        <f>'dynamic scaling metrics'!EN183</f>
        <v>42.852459016393446</v>
      </c>
      <c r="AC187" s="57">
        <f>'dynamic scaling metrics'!EO183</f>
        <v>53.278688524590166</v>
      </c>
      <c r="AD187" s="57">
        <f>'dynamic scaling metrics'!EP183</f>
        <v>52.71311475409837</v>
      </c>
      <c r="AE187" s="57">
        <f>'dynamic scaling metrics'!EQ183</f>
        <v>51.827868852459027</v>
      </c>
      <c r="AF187" s="57">
        <f>'dynamic scaling metrics'!ER183</f>
        <v>45.188524590163937</v>
      </c>
      <c r="AG187" s="57">
        <f>'dynamic scaling metrics'!ES183</f>
        <v>48.885245901639358</v>
      </c>
      <c r="AH187" s="57">
        <f>'dynamic scaling metrics'!ET183</f>
        <v>42.97540983606558</v>
      </c>
      <c r="AI187" s="57">
        <f>'dynamic scaling metrics'!EU183</f>
        <v>44.450819672131153</v>
      </c>
      <c r="AK187" s="27"/>
    </row>
    <row r="188" spans="17:43" ht="31.95" customHeight="1" x14ac:dyDescent="0.4">
      <c r="Q188" t="s">
        <v>95</v>
      </c>
      <c r="R188" s="25">
        <v>0.125</v>
      </c>
      <c r="S188" s="62">
        <f>'dynamic scaling metrics'!DA189</f>
        <v>93.442622950819683</v>
      </c>
      <c r="T188" s="53">
        <f>'dynamic scaling metrics'!DB189</f>
        <v>88.797131147540981</v>
      </c>
      <c r="U188" s="53">
        <f>'dynamic scaling metrics'!DC189</f>
        <v>83.481557377049171</v>
      </c>
      <c r="V188" s="53">
        <f>'dynamic scaling metrics'!DD189</f>
        <v>67.9282786885246</v>
      </c>
      <c r="W188" s="53">
        <f>'dynamic scaling metrics'!DE189</f>
        <v>70.393442622950829</v>
      </c>
      <c r="X188" s="53">
        <f>'dynamic scaling metrics'!DF189</f>
        <v>59.137295081967217</v>
      </c>
      <c r="Y188" s="53">
        <f>'dynamic scaling metrics'!DG189</f>
        <v>54.178278688524593</v>
      </c>
      <c r="Z188" s="63">
        <f>'dynamic scaling metrics'!DH189</f>
        <v>44.842213114754102</v>
      </c>
      <c r="AA188" s="68">
        <f t="shared" si="84"/>
        <v>0.875</v>
      </c>
      <c r="AB188" s="57">
        <f>'dynamic scaling metrics'!EV183</f>
        <v>41.647540983606561</v>
      </c>
      <c r="AC188" s="57">
        <f>'dynamic scaling metrics'!EW183</f>
        <v>45.491803278688529</v>
      </c>
      <c r="AD188" s="57">
        <f>'dynamic scaling metrics'!EX183</f>
        <v>45.360655737704917</v>
      </c>
      <c r="AE188" s="57">
        <f>'dynamic scaling metrics'!EY183</f>
        <v>45.057377049180332</v>
      </c>
      <c r="AF188" s="57">
        <f>'dynamic scaling metrics'!EZ183</f>
        <v>39.97540983606558</v>
      </c>
      <c r="AG188" s="57">
        <f>'dynamic scaling metrics'!FA183</f>
        <v>43.819672131147549</v>
      </c>
      <c r="AH188" s="57">
        <f>'dynamic scaling metrics'!FB183</f>
        <v>38.991803278688529</v>
      </c>
      <c r="AI188" s="57">
        <f>'dynamic scaling metrics'!FC183</f>
        <v>41.778688524590166</v>
      </c>
      <c r="AK188" s="27"/>
    </row>
    <row r="189" spans="17:43" ht="31.95" customHeight="1" x14ac:dyDescent="0.4">
      <c r="R189" s="26">
        <v>0.25</v>
      </c>
      <c r="S189" s="62">
        <f>'dynamic scaling metrics'!DI189</f>
        <v>86.885245901639351</v>
      </c>
      <c r="T189" s="53">
        <f>'dynamic scaling metrics'!DJ189</f>
        <v>82.946721311475414</v>
      </c>
      <c r="U189" s="53">
        <f>'dynamic scaling metrics'!DK189</f>
        <v>78.430327868852473</v>
      </c>
      <c r="V189" s="53">
        <f>'dynamic scaling metrics'!DL189</f>
        <v>64.454918032786892</v>
      </c>
      <c r="W189" s="53">
        <f>'dynamic scaling metrics'!DM189</f>
        <v>67.27868852459018</v>
      </c>
      <c r="X189" s="53">
        <f>'dynamic scaling metrics'!DN189</f>
        <v>56.954918032786885</v>
      </c>
      <c r="Y189" s="53">
        <f>'dynamic scaling metrics'!DO189</f>
        <v>53.430327868852459</v>
      </c>
      <c r="Z189" s="63">
        <f>'dynamic scaling metrics'!DP189</f>
        <v>45.446721311475414</v>
      </c>
      <c r="AA189" s="58"/>
      <c r="AB189" s="54"/>
      <c r="AC189" s="56"/>
      <c r="AD189" s="53"/>
      <c r="AE189" s="53"/>
      <c r="AF189" s="53"/>
      <c r="AG189" s="53"/>
      <c r="AH189" s="53"/>
      <c r="AI189" s="53"/>
      <c r="AK189" s="27"/>
    </row>
    <row r="190" spans="17:43" ht="31.95" customHeight="1" x14ac:dyDescent="0.4">
      <c r="R190" s="25">
        <v>0.375</v>
      </c>
      <c r="S190" s="62">
        <f>'dynamic scaling metrics'!DQ189</f>
        <v>80.327868852459034</v>
      </c>
      <c r="T190" s="53">
        <f>'dynamic scaling metrics'!DR189</f>
        <v>77.096311475409834</v>
      </c>
      <c r="U190" s="53">
        <f>'dynamic scaling metrics'!DS189</f>
        <v>73.379098360655746</v>
      </c>
      <c r="V190" s="53">
        <f>'dynamic scaling metrics'!DT189</f>
        <v>60.981557377049185</v>
      </c>
      <c r="W190" s="53">
        <f>'dynamic scaling metrics'!DU189</f>
        <v>64.163934426229517</v>
      </c>
      <c r="X190" s="53">
        <f>'dynamic scaling metrics'!DV189</f>
        <v>54.772540983606568</v>
      </c>
      <c r="Y190" s="53">
        <f>'dynamic scaling metrics'!DW189</f>
        <v>52.682377049180324</v>
      </c>
      <c r="Z190" s="63">
        <f>'dynamic scaling metrics'!DX189</f>
        <v>46.05122950819672</v>
      </c>
      <c r="AA190" s="58"/>
      <c r="AB190" s="54"/>
      <c r="AC190" s="55"/>
      <c r="AD190" s="53"/>
      <c r="AE190" s="53"/>
      <c r="AF190" s="53"/>
      <c r="AG190" s="53"/>
      <c r="AH190" s="53"/>
      <c r="AI190" s="53"/>
      <c r="AK190" s="27"/>
    </row>
    <row r="191" spans="17:43" ht="31.95" customHeight="1" x14ac:dyDescent="0.4">
      <c r="R191" s="26">
        <v>0.5</v>
      </c>
      <c r="S191" s="62">
        <f>'dynamic scaling metrics'!DX189</f>
        <v>46.05122950819672</v>
      </c>
      <c r="T191" s="53">
        <f>'dynamic scaling metrics'!DY189</f>
        <v>73.770491803278702</v>
      </c>
      <c r="U191" s="53">
        <f>'dynamic scaling metrics'!DZ189</f>
        <v>71.245901639344268</v>
      </c>
      <c r="V191" s="53">
        <f>'dynamic scaling metrics'!EA189</f>
        <v>68.327868852459019</v>
      </c>
      <c r="W191" s="53">
        <f>'dynamic scaling metrics'!EB189</f>
        <v>57.508196721311485</v>
      </c>
      <c r="X191" s="53">
        <f>'dynamic scaling metrics'!EC189</f>
        <v>61.049180327868861</v>
      </c>
      <c r="Y191" s="53">
        <f>'dynamic scaling metrics'!ED189</f>
        <v>52.590163934426229</v>
      </c>
      <c r="Z191" s="63">
        <f>'dynamic scaling metrics'!EE189</f>
        <v>51.934426229508205</v>
      </c>
      <c r="AA191" s="58"/>
      <c r="AB191" s="54"/>
      <c r="AC191" s="56"/>
      <c r="AD191" s="53"/>
      <c r="AE191" s="53"/>
      <c r="AF191" s="53"/>
      <c r="AG191" s="53"/>
      <c r="AH191" s="53"/>
      <c r="AI191" s="53"/>
      <c r="AK191" s="27" t="str">
        <f t="shared" ref="AK191" si="85">Q187</f>
        <v>M4no4</v>
      </c>
    </row>
    <row r="192" spans="17:43" ht="31.95" customHeight="1" thickBot="1" x14ac:dyDescent="0.45">
      <c r="R192" s="25">
        <v>0.625</v>
      </c>
      <c r="S192" s="64">
        <f>'dynamic scaling metrics'!EF189</f>
        <v>46.655737704918039</v>
      </c>
      <c r="T192" s="65">
        <f>'dynamic scaling metrics'!EG189</f>
        <v>67.21311475409837</v>
      </c>
      <c r="U192" s="65">
        <f>'dynamic scaling metrics'!EH189</f>
        <v>65.395491803278688</v>
      </c>
      <c r="V192" s="65">
        <f>'dynamic scaling metrics'!EI189</f>
        <v>63.2766393442623</v>
      </c>
      <c r="W192" s="65">
        <f>'dynamic scaling metrics'!EJ189</f>
        <v>54.034836065573771</v>
      </c>
      <c r="X192" s="65">
        <f>'dynamic scaling metrics'!EK189</f>
        <v>57.934426229508205</v>
      </c>
      <c r="Y192" s="65">
        <f>'dynamic scaling metrics'!EL189</f>
        <v>50.407786885245905</v>
      </c>
      <c r="Z192" s="66">
        <f>'dynamic scaling metrics'!EM189</f>
        <v>51.186475409836063</v>
      </c>
      <c r="AA192" s="58"/>
      <c r="AB192">
        <v>0</v>
      </c>
      <c r="AC192" s="25">
        <v>0.125</v>
      </c>
      <c r="AD192" s="26">
        <v>0.25</v>
      </c>
      <c r="AE192" s="25">
        <v>0.375</v>
      </c>
      <c r="AF192" s="26">
        <v>0.5</v>
      </c>
      <c r="AG192" s="25">
        <v>0.625</v>
      </c>
      <c r="AH192" s="26">
        <v>0.75</v>
      </c>
      <c r="AI192" s="25">
        <v>0.875</v>
      </c>
      <c r="AK192" s="74" t="s">
        <v>107</v>
      </c>
      <c r="AL192">
        <f t="shared" ref="AL192" si="86">AVERAGE(U191:X192,AD193:AG193)</f>
        <v>60.160348360655739</v>
      </c>
      <c r="AN192" s="84"/>
      <c r="AQ192" s="84"/>
    </row>
    <row r="193" spans="17:43" ht="31.95" customHeight="1" x14ac:dyDescent="0.4">
      <c r="Q193" t="s">
        <v>41</v>
      </c>
      <c r="R193">
        <v>0</v>
      </c>
      <c r="S193" s="59">
        <f>'dynamic scaling metrics'!CS195</f>
        <v>100</v>
      </c>
      <c r="T193" s="60">
        <f>'dynamic scaling metrics'!CT195</f>
        <v>94.450819672131161</v>
      </c>
      <c r="U193" s="60">
        <f>'dynamic scaling metrics'!CU195</f>
        <v>88.188524590163937</v>
      </c>
      <c r="V193" s="60">
        <f>'dynamic scaling metrics'!CV195</f>
        <v>70.97540983606558</v>
      </c>
      <c r="W193" s="60">
        <f>'dynamic scaling metrics'!CW195</f>
        <v>73.049180327868868</v>
      </c>
      <c r="X193" s="60">
        <f>'dynamic scaling metrics'!CX195</f>
        <v>60.893442622950822</v>
      </c>
      <c r="Y193" s="60">
        <f>'dynamic scaling metrics'!CY195</f>
        <v>54.581967213114758</v>
      </c>
      <c r="Z193" s="61">
        <f>'dynamic scaling metrics'!CZ195</f>
        <v>44.040983606557383</v>
      </c>
      <c r="AA193" s="67">
        <f t="shared" ref="AA193:AA194" si="87">AA187</f>
        <v>0.75</v>
      </c>
      <c r="AB193" s="57">
        <f>'dynamic scaling metrics'!EN189</f>
        <v>47.260245901639344</v>
      </c>
      <c r="AC193" s="57">
        <f>'dynamic scaling metrics'!EO189</f>
        <v>60.655737704918046</v>
      </c>
      <c r="AD193" s="57">
        <f>'dynamic scaling metrics'!EP189</f>
        <v>59.545081967213122</v>
      </c>
      <c r="AE193" s="57">
        <f>'dynamic scaling metrics'!EQ189</f>
        <v>58.225409836065573</v>
      </c>
      <c r="AF193" s="57">
        <f>'dynamic scaling metrics'!ER189</f>
        <v>50.561475409836071</v>
      </c>
      <c r="AG193" s="57">
        <f>'dynamic scaling metrics'!ES189</f>
        <v>54.819672131147534</v>
      </c>
      <c r="AH193" s="57">
        <f>'dynamic scaling metrics'!ET189</f>
        <v>48.22540983606558</v>
      </c>
      <c r="AI193" s="57">
        <f>'dynamic scaling metrics'!EU189</f>
        <v>50.438524590163937</v>
      </c>
      <c r="AK193" s="27"/>
    </row>
    <row r="194" spans="17:43" ht="31.95" customHeight="1" x14ac:dyDescent="0.4">
      <c r="Q194" t="s">
        <v>95</v>
      </c>
      <c r="R194" s="25">
        <v>0.125</v>
      </c>
      <c r="S194" s="62">
        <f>'dynamic scaling metrics'!DA195</f>
        <v>92.418032786885249</v>
      </c>
      <c r="T194" s="53">
        <f>'dynamic scaling metrics'!DB195</f>
        <v>87.600409836065566</v>
      </c>
      <c r="U194" s="53">
        <f>'dynamic scaling metrics'!DC195</f>
        <v>82.155737704918039</v>
      </c>
      <c r="V194" s="53">
        <f>'dynamic scaling metrics'!DD195</f>
        <v>66.633196721311478</v>
      </c>
      <c r="W194" s="53">
        <f>'dynamic scaling metrics'!DE195</f>
        <v>68.967213114754117</v>
      </c>
      <c r="X194" s="53">
        <f>'dynamic scaling metrics'!DF195</f>
        <v>57.842213114754102</v>
      </c>
      <c r="Y194" s="53">
        <f>'dynamic scaling metrics'!DG195</f>
        <v>52.852459016393439</v>
      </c>
      <c r="Z194" s="63">
        <f>'dynamic scaling metrics'!DH195</f>
        <v>43.645491803278695</v>
      </c>
      <c r="AA194" s="68">
        <f t="shared" si="87"/>
        <v>0.875</v>
      </c>
      <c r="AB194" s="57">
        <f>'dynamic scaling metrics'!EV189</f>
        <v>47.864754098360656</v>
      </c>
      <c r="AC194" s="57">
        <f>'dynamic scaling metrics'!EW189</f>
        <v>54.098360655737714</v>
      </c>
      <c r="AD194" s="57">
        <f>'dynamic scaling metrics'!EX189</f>
        <v>53.694672131147541</v>
      </c>
      <c r="AE194" s="57">
        <f>'dynamic scaling metrics'!EY189</f>
        <v>53.174180327868861</v>
      </c>
      <c r="AF194" s="57">
        <f>'dynamic scaling metrics'!EZ189</f>
        <v>47.088114754098363</v>
      </c>
      <c r="AG194" s="57">
        <f>'dynamic scaling metrics'!FA189</f>
        <v>51.704918032786885</v>
      </c>
      <c r="AH194" s="57">
        <f>'dynamic scaling metrics'!FB189</f>
        <v>46.043032786885249</v>
      </c>
      <c r="AI194" s="57">
        <f>'dynamic scaling metrics'!FC189</f>
        <v>49.690573770491802</v>
      </c>
      <c r="AK194" s="27"/>
    </row>
    <row r="195" spans="17:43" ht="31.95" customHeight="1" x14ac:dyDescent="0.4">
      <c r="R195" s="26">
        <v>0.25</v>
      </c>
      <c r="S195" s="62">
        <f>'dynamic scaling metrics'!DI195</f>
        <v>84.836065573770497</v>
      </c>
      <c r="T195" s="53">
        <f>'dynamic scaling metrics'!DJ195</f>
        <v>80.75</v>
      </c>
      <c r="U195" s="53">
        <f>'dynamic scaling metrics'!DK195</f>
        <v>76.122950819672141</v>
      </c>
      <c r="V195" s="53">
        <f>'dynamic scaling metrics'!DL195</f>
        <v>62.29098360655739</v>
      </c>
      <c r="W195" s="53">
        <f>'dynamic scaling metrics'!DM195</f>
        <v>64.885245901639337</v>
      </c>
      <c r="X195" s="53">
        <f>'dynamic scaling metrics'!DN195</f>
        <v>54.790983606557383</v>
      </c>
      <c r="Y195" s="53">
        <f>'dynamic scaling metrics'!DO195</f>
        <v>51.122950819672134</v>
      </c>
      <c r="Z195" s="63">
        <f>'dynamic scaling metrics'!DP195</f>
        <v>43.249999999999993</v>
      </c>
      <c r="AA195" s="58"/>
      <c r="AB195" s="54"/>
      <c r="AC195" s="56"/>
      <c r="AD195" s="53"/>
      <c r="AE195" s="53"/>
      <c r="AF195" s="53"/>
      <c r="AG195" s="53"/>
      <c r="AH195" s="53"/>
      <c r="AI195" s="53"/>
      <c r="AK195" s="27"/>
    </row>
    <row r="196" spans="17:43" ht="31.95" customHeight="1" thickBot="1" x14ac:dyDescent="0.45">
      <c r="R196" s="25">
        <v>0.375</v>
      </c>
      <c r="S196" s="62">
        <f>'dynamic scaling metrics'!DQ195</f>
        <v>77.254098360655746</v>
      </c>
      <c r="T196" s="53">
        <f>'dynamic scaling metrics'!DR195</f>
        <v>73.899590163934434</v>
      </c>
      <c r="U196" s="53">
        <f>'dynamic scaling metrics'!DS195</f>
        <v>70.090163934426243</v>
      </c>
      <c r="V196" s="53">
        <f>'dynamic scaling metrics'!DT195</f>
        <v>57.948770491803288</v>
      </c>
      <c r="W196" s="53">
        <f>'dynamic scaling metrics'!DU195</f>
        <v>60.803278688524607</v>
      </c>
      <c r="X196" s="53">
        <f>'dynamic scaling metrics'!DV195</f>
        <v>51.739754098360656</v>
      </c>
      <c r="Y196" s="53">
        <f>'dynamic scaling metrics'!DW195</f>
        <v>49.393442622950836</v>
      </c>
      <c r="Z196" s="63">
        <f>'dynamic scaling metrics'!DX195</f>
        <v>42.854508196721319</v>
      </c>
      <c r="AA196" s="58"/>
      <c r="AB196" s="54"/>
      <c r="AC196" s="55"/>
      <c r="AD196" s="53"/>
      <c r="AE196" s="53"/>
      <c r="AF196" s="53"/>
      <c r="AG196" s="53"/>
      <c r="AH196" s="53"/>
      <c r="AI196" s="53"/>
      <c r="AK196" s="27"/>
    </row>
    <row r="197" spans="17:43" ht="31.95" customHeight="1" x14ac:dyDescent="0.4">
      <c r="R197" s="26">
        <v>0.5</v>
      </c>
      <c r="S197" s="62">
        <f>'dynamic scaling metrics'!DX195</f>
        <v>42.854508196721319</v>
      </c>
      <c r="T197" s="53">
        <f>'dynamic scaling metrics'!DY195</f>
        <v>69.672131147540981</v>
      </c>
      <c r="U197" s="53">
        <f>'dynamic scaling metrics'!DZ195</f>
        <v>67.049180327868839</v>
      </c>
      <c r="V197" s="53">
        <f>'dynamic scaling metrics'!EA195</f>
        <v>64.057377049180332</v>
      </c>
      <c r="W197" s="53">
        <f>'dynamic scaling metrics'!EB195</f>
        <v>53.606557377049199</v>
      </c>
      <c r="X197" s="53">
        <f>'dynamic scaling metrics'!EC195</f>
        <v>56.721311475409841</v>
      </c>
      <c r="Y197" s="53">
        <f>'dynamic scaling metrics'!ED195</f>
        <v>48.688524590163937</v>
      </c>
      <c r="Z197" s="63">
        <f>'dynamic scaling metrics'!EE195</f>
        <v>47.663934426229503</v>
      </c>
      <c r="AA197" s="58"/>
      <c r="AB197" s="54"/>
      <c r="AC197" s="56"/>
      <c r="AD197" s="53"/>
      <c r="AE197" s="53"/>
      <c r="AF197" s="53"/>
      <c r="AG197" s="53"/>
      <c r="AH197" s="53"/>
      <c r="AI197" s="53"/>
      <c r="AK197" s="75" t="str">
        <f t="shared" ref="AK197" si="88">Q193</f>
        <v>M4no5</v>
      </c>
    </row>
    <row r="198" spans="17:43" ht="31.95" customHeight="1" thickBot="1" x14ac:dyDescent="0.45">
      <c r="R198" s="25">
        <v>0.625</v>
      </c>
      <c r="S198" s="64">
        <f>'dynamic scaling metrics'!EF195</f>
        <v>42.459016393442624</v>
      </c>
      <c r="T198" s="65">
        <f>'dynamic scaling metrics'!EG195</f>
        <v>62.090163934426236</v>
      </c>
      <c r="U198" s="65">
        <f>'dynamic scaling metrics'!EH195</f>
        <v>60.198770491803273</v>
      </c>
      <c r="V198" s="65">
        <f>'dynamic scaling metrics'!EI195</f>
        <v>58.02459016393442</v>
      </c>
      <c r="W198" s="65">
        <f>'dynamic scaling metrics'!EJ195</f>
        <v>49.26434426229509</v>
      </c>
      <c r="X198" s="65">
        <f>'dynamic scaling metrics'!EK195</f>
        <v>52.63934426229509</v>
      </c>
      <c r="Y198" s="65">
        <f>'dynamic scaling metrics'!EL195</f>
        <v>45.637295081967224</v>
      </c>
      <c r="Z198" s="66">
        <f>'dynamic scaling metrics'!EM195</f>
        <v>45.934426229508205</v>
      </c>
      <c r="AA198" s="58"/>
      <c r="AB198">
        <v>0</v>
      </c>
      <c r="AC198" s="25">
        <v>0.125</v>
      </c>
      <c r="AD198" s="26">
        <v>0.25</v>
      </c>
      <c r="AE198" s="25">
        <v>0.375</v>
      </c>
      <c r="AF198" s="26">
        <v>0.5</v>
      </c>
      <c r="AG198" s="25">
        <v>0.625</v>
      </c>
      <c r="AH198" s="26">
        <v>0.75</v>
      </c>
      <c r="AI198" s="25">
        <v>0.875</v>
      </c>
      <c r="AK198" s="76" t="s">
        <v>107</v>
      </c>
      <c r="AL198">
        <f t="shared" ref="AL198" si="89">AVERAGE(U197:X198,AD199:AG199)</f>
        <v>55.031762295081968</v>
      </c>
      <c r="AN198" s="84"/>
      <c r="AQ198" s="84"/>
    </row>
    <row r="199" spans="17:43" ht="31.95" customHeight="1" x14ac:dyDescent="0.4">
      <c r="Q199" t="s">
        <v>42</v>
      </c>
      <c r="R199">
        <v>0</v>
      </c>
      <c r="S199" s="59">
        <f>'dynamic scaling metrics'!CS201</f>
        <v>99.999999999999986</v>
      </c>
      <c r="T199" s="60">
        <f>'dynamic scaling metrics'!CT201</f>
        <v>94.645161290322562</v>
      </c>
      <c r="U199" s="60">
        <f>'dynamic scaling metrics'!CU201</f>
        <v>88.612903225806434</v>
      </c>
      <c r="V199" s="60">
        <f>'dynamic scaling metrics'!CV201</f>
        <v>71.677419354838705</v>
      </c>
      <c r="W199" s="60">
        <f>'dynamic scaling metrics'!CW201</f>
        <v>74.064516129032242</v>
      </c>
      <c r="X199" s="60">
        <f>'dynamic scaling metrics'!CX201</f>
        <v>62</v>
      </c>
      <c r="Y199" s="60">
        <f>'dynamic scaling metrics'!CY201</f>
        <v>56.354838709677409</v>
      </c>
      <c r="Z199" s="61">
        <f>'dynamic scaling metrics'!CZ201</f>
        <v>46.258064516129025</v>
      </c>
      <c r="AA199" s="67">
        <f t="shared" ref="AA199:AA200" si="90">AA193</f>
        <v>0.75</v>
      </c>
      <c r="AB199" s="57">
        <f>'dynamic scaling metrics'!EN195</f>
        <v>42.063524590163937</v>
      </c>
      <c r="AC199" s="57">
        <f>'dynamic scaling metrics'!EO195</f>
        <v>54.508196721311485</v>
      </c>
      <c r="AD199" s="57">
        <f>'dynamic scaling metrics'!EP195</f>
        <v>53.348360655737714</v>
      </c>
      <c r="AE199" s="57">
        <f>'dynamic scaling metrics'!EQ195</f>
        <v>51.991803278688522</v>
      </c>
      <c r="AF199" s="57">
        <f>'dynamic scaling metrics'!ER195</f>
        <v>44.922131147540995</v>
      </c>
      <c r="AG199" s="57">
        <f>'dynamic scaling metrics'!ES195</f>
        <v>48.557377049180332</v>
      </c>
      <c r="AH199" s="57">
        <f>'dynamic scaling metrics'!ET195</f>
        <v>42.586065573770497</v>
      </c>
      <c r="AI199" s="57">
        <f>'dynamic scaling metrics'!EU195</f>
        <v>44.204918032786892</v>
      </c>
      <c r="AK199" s="27"/>
    </row>
    <row r="200" spans="17:43" ht="31.95" customHeight="1" x14ac:dyDescent="0.4">
      <c r="Q200" t="s">
        <v>95</v>
      </c>
      <c r="R200" s="25">
        <v>0.125</v>
      </c>
      <c r="S200" s="62">
        <f>'dynamic scaling metrics'!DA201</f>
        <v>92.540322580645153</v>
      </c>
      <c r="T200" s="53">
        <f>'dynamic scaling metrics'!DB201</f>
        <v>87.892137096774178</v>
      </c>
      <c r="U200" s="53">
        <f>'dynamic scaling metrics'!DC201</f>
        <v>82.648185483870961</v>
      </c>
      <c r="V200" s="53">
        <f>'dynamic scaling metrics'!DD201</f>
        <v>67.355846774193552</v>
      </c>
      <c r="W200" s="53">
        <f>'dynamic scaling metrics'!DE201</f>
        <v>69.975806451612911</v>
      </c>
      <c r="X200" s="53">
        <f>'dynamic scaling metrics'!DF201</f>
        <v>58.918346774193537</v>
      </c>
      <c r="Y200" s="53">
        <f>'dynamic scaling metrics'!DG201</f>
        <v>54.523185483870961</v>
      </c>
      <c r="Z200" s="63">
        <f>'dynamic scaling metrics'!DH201</f>
        <v>45.704637096774192</v>
      </c>
      <c r="AA200" s="68">
        <f t="shared" si="90"/>
        <v>0.875</v>
      </c>
      <c r="AB200" s="57">
        <f>'dynamic scaling metrics'!EV195</f>
        <v>41.668032786885249</v>
      </c>
      <c r="AC200" s="57">
        <f>'dynamic scaling metrics'!EW195</f>
        <v>46.926229508196727</v>
      </c>
      <c r="AD200" s="57">
        <f>'dynamic scaling metrics'!EX195</f>
        <v>46.497950819672134</v>
      </c>
      <c r="AE200" s="57">
        <f>'dynamic scaling metrics'!EY195</f>
        <v>45.959016393442624</v>
      </c>
      <c r="AF200" s="57">
        <f>'dynamic scaling metrics'!EZ195</f>
        <v>40.5799180327869</v>
      </c>
      <c r="AG200" s="57">
        <f>'dynamic scaling metrics'!FA195</f>
        <v>44.47540983606558</v>
      </c>
      <c r="AH200" s="57">
        <f>'dynamic scaling metrics'!FB195</f>
        <v>39.534836065573778</v>
      </c>
      <c r="AI200" s="57">
        <f>'dynamic scaling metrics'!FC195</f>
        <v>42.47540983606558</v>
      </c>
      <c r="AK200" s="27"/>
    </row>
    <row r="201" spans="17:43" ht="31.95" customHeight="1" x14ac:dyDescent="0.4">
      <c r="R201" s="26">
        <v>0.25</v>
      </c>
      <c r="S201" s="62">
        <f>'dynamic scaling metrics'!DI201</f>
        <v>85.080645161290306</v>
      </c>
      <c r="T201" s="53">
        <f>'dynamic scaling metrics'!DJ201</f>
        <v>81.139112903225779</v>
      </c>
      <c r="U201" s="53">
        <f>'dynamic scaling metrics'!DK201</f>
        <v>76.683467741935473</v>
      </c>
      <c r="V201" s="53">
        <f>'dynamic scaling metrics'!DL201</f>
        <v>63.034274193548384</v>
      </c>
      <c r="W201" s="53">
        <f>'dynamic scaling metrics'!DM201</f>
        <v>65.887096774193537</v>
      </c>
      <c r="X201" s="53">
        <f>'dynamic scaling metrics'!DN201</f>
        <v>55.836693548387096</v>
      </c>
      <c r="Y201" s="53">
        <f>'dynamic scaling metrics'!DO201</f>
        <v>52.691532258064505</v>
      </c>
      <c r="Z201" s="63">
        <f>'dynamic scaling metrics'!DP201</f>
        <v>45.151209677419345</v>
      </c>
      <c r="AA201" s="58"/>
      <c r="AB201" s="54"/>
      <c r="AC201" s="56"/>
      <c r="AD201" s="53"/>
      <c r="AE201" s="53"/>
      <c r="AF201" s="53"/>
      <c r="AG201" s="53"/>
      <c r="AH201" s="53"/>
      <c r="AI201" s="53"/>
      <c r="AK201" s="27"/>
    </row>
    <row r="202" spans="17:43" ht="31.95" customHeight="1" x14ac:dyDescent="0.4">
      <c r="R202" s="25">
        <v>0.375</v>
      </c>
      <c r="S202" s="62">
        <f>'dynamic scaling metrics'!DQ201</f>
        <v>77.620967741935473</v>
      </c>
      <c r="T202" s="53">
        <f>'dynamic scaling metrics'!DR201</f>
        <v>74.386088709677409</v>
      </c>
      <c r="U202" s="53">
        <f>'dynamic scaling metrics'!DS201</f>
        <v>70.71875</v>
      </c>
      <c r="V202" s="53">
        <f>'dynamic scaling metrics'!DT201</f>
        <v>58.712701612903217</v>
      </c>
      <c r="W202" s="53">
        <f>'dynamic scaling metrics'!DU201</f>
        <v>61.798387096774185</v>
      </c>
      <c r="X202" s="53">
        <f>'dynamic scaling metrics'!DV201</f>
        <v>52.755040322580641</v>
      </c>
      <c r="Y202" s="53">
        <f>'dynamic scaling metrics'!DW201</f>
        <v>50.859879032258057</v>
      </c>
      <c r="Z202" s="63">
        <f>'dynamic scaling metrics'!DX201</f>
        <v>44.597782258064505</v>
      </c>
      <c r="AA202" s="58"/>
      <c r="AB202" s="54"/>
      <c r="AC202" s="55"/>
      <c r="AD202" s="53"/>
      <c r="AE202" s="53"/>
      <c r="AF202" s="53"/>
      <c r="AG202" s="53"/>
      <c r="AH202" s="53"/>
      <c r="AI202" s="53"/>
      <c r="AK202" s="27"/>
    </row>
    <row r="203" spans="17:43" ht="31.95" customHeight="1" x14ac:dyDescent="0.4">
      <c r="R203" s="26">
        <v>0.5</v>
      </c>
      <c r="S203" s="62">
        <f>'dynamic scaling metrics'!DX201</f>
        <v>44.597782258064505</v>
      </c>
      <c r="T203" s="53">
        <f>'dynamic scaling metrics'!DY201</f>
        <v>70.161290322580626</v>
      </c>
      <c r="U203" s="53">
        <f>'dynamic scaling metrics'!DZ201</f>
        <v>67.633064516129011</v>
      </c>
      <c r="V203" s="53">
        <f>'dynamic scaling metrics'!EA201</f>
        <v>64.754032258064498</v>
      </c>
      <c r="W203" s="53">
        <f>'dynamic scaling metrics'!EB201</f>
        <v>54.391129032258057</v>
      </c>
      <c r="X203" s="53">
        <f>'dynamic scaling metrics'!EC201</f>
        <v>57.709677419354833</v>
      </c>
      <c r="Y203" s="53">
        <f>'dynamic scaling metrics'!ED201</f>
        <v>49.673387096774185</v>
      </c>
      <c r="Z203" s="63">
        <f>'dynamic scaling metrics'!EE201</f>
        <v>49.028225806451609</v>
      </c>
      <c r="AA203" s="58"/>
      <c r="AB203" s="54"/>
      <c r="AC203" s="56"/>
      <c r="AD203" s="53"/>
      <c r="AE203" s="53"/>
      <c r="AF203" s="53"/>
      <c r="AG203" s="53"/>
      <c r="AH203" s="53"/>
      <c r="AI203" s="53"/>
      <c r="AK203" s="27" t="str">
        <f t="shared" ref="AK203" si="91">Q199</f>
        <v>M4no6</v>
      </c>
    </row>
    <row r="204" spans="17:43" ht="31.95" customHeight="1" thickBot="1" x14ac:dyDescent="0.45">
      <c r="R204" s="25">
        <v>0.625</v>
      </c>
      <c r="S204" s="64">
        <f>'dynamic scaling metrics'!EF201</f>
        <v>44.044354838709673</v>
      </c>
      <c r="T204" s="65">
        <f>'dynamic scaling metrics'!EG201</f>
        <v>62.701612903225794</v>
      </c>
      <c r="U204" s="65">
        <f>'dynamic scaling metrics'!EH201</f>
        <v>60.880040322580648</v>
      </c>
      <c r="V204" s="65">
        <f>'dynamic scaling metrics'!EI201</f>
        <v>58.789314516129018</v>
      </c>
      <c r="W204" s="65">
        <f>'dynamic scaling metrics'!EJ201</f>
        <v>50.069556451612904</v>
      </c>
      <c r="X204" s="65">
        <f>'dynamic scaling metrics'!EK201</f>
        <v>53.62096774193548</v>
      </c>
      <c r="Y204" s="65">
        <f>'dynamic scaling metrics'!EL201</f>
        <v>46.591733870967737</v>
      </c>
      <c r="Z204" s="66">
        <f>'dynamic scaling metrics'!EM201</f>
        <v>47.196572580645153</v>
      </c>
      <c r="AA204" s="58"/>
      <c r="AB204">
        <v>0</v>
      </c>
      <c r="AC204" s="25">
        <v>0.125</v>
      </c>
      <c r="AD204" s="26">
        <v>0.25</v>
      </c>
      <c r="AE204" s="25">
        <v>0.375</v>
      </c>
      <c r="AF204" s="26">
        <v>0.5</v>
      </c>
      <c r="AG204" s="25">
        <v>0.625</v>
      </c>
      <c r="AH204" s="26">
        <v>0.75</v>
      </c>
      <c r="AI204" s="25">
        <v>0.875</v>
      </c>
      <c r="AK204" s="74" t="s">
        <v>107</v>
      </c>
      <c r="AL204">
        <f t="shared" ref="AL204" si="92">AVERAGE(U203:X204,AD205:AG205)</f>
        <v>55.839969758064512</v>
      </c>
      <c r="AN204" s="84"/>
      <c r="AQ204" s="84"/>
    </row>
    <row r="205" spans="17:43" ht="31.95" customHeight="1" x14ac:dyDescent="0.4">
      <c r="Q205" t="s">
        <v>43</v>
      </c>
      <c r="R205">
        <v>0</v>
      </c>
      <c r="S205" s="59">
        <f>'dynamic scaling metrics'!CS207</f>
        <v>100</v>
      </c>
      <c r="T205" s="60">
        <f>'dynamic scaling metrics'!CT207</f>
        <v>94.666666666666671</v>
      </c>
      <c r="U205" s="60">
        <f>'dynamic scaling metrics'!CU207</f>
        <v>88.583333333333329</v>
      </c>
      <c r="V205" s="60">
        <f>'dynamic scaling metrics'!CV207</f>
        <v>71.500000000000014</v>
      </c>
      <c r="W205" s="60">
        <f>'dynamic scaling metrics'!CW207</f>
        <v>73.666666666666657</v>
      </c>
      <c r="X205" s="60">
        <f>'dynamic scaling metrics'!CX207</f>
        <v>61.500000000000007</v>
      </c>
      <c r="Y205" s="60">
        <f>'dynamic scaling metrics'!CY207</f>
        <v>55.25</v>
      </c>
      <c r="Z205" s="61">
        <f>'dynamic scaling metrics'!CZ207</f>
        <v>44.666666666666664</v>
      </c>
      <c r="AA205" s="67">
        <f t="shared" ref="AA205:AA206" si="93">AA199</f>
        <v>0.75</v>
      </c>
      <c r="AB205" s="57">
        <f>'dynamic scaling metrics'!EN201</f>
        <v>43.490927419354826</v>
      </c>
      <c r="AC205" s="57">
        <f>'dynamic scaling metrics'!EO201</f>
        <v>55.241935483870961</v>
      </c>
      <c r="AD205" s="57">
        <f>'dynamic scaling metrics'!EP201</f>
        <v>54.127016129032256</v>
      </c>
      <c r="AE205" s="57">
        <f>'dynamic scaling metrics'!EQ201</f>
        <v>52.824596774193544</v>
      </c>
      <c r="AF205" s="57">
        <f>'dynamic scaling metrics'!ER201</f>
        <v>45.74798387096773</v>
      </c>
      <c r="AG205" s="57">
        <f>'dynamic scaling metrics'!ES201</f>
        <v>49.532258064516121</v>
      </c>
      <c r="AH205" s="57">
        <f>'dynamic scaling metrics'!ET201</f>
        <v>43.510080645161288</v>
      </c>
      <c r="AI205" s="57">
        <f>'dynamic scaling metrics'!EU201</f>
        <v>45.364919354838705</v>
      </c>
      <c r="AK205" s="27"/>
    </row>
    <row r="206" spans="17:43" ht="31.95" customHeight="1" x14ac:dyDescent="0.4">
      <c r="Q206" t="s">
        <v>95</v>
      </c>
      <c r="R206" s="25">
        <v>0.125</v>
      </c>
      <c r="S206" s="62">
        <f>'dynamic scaling metrics'!DA207</f>
        <v>93.541666666666686</v>
      </c>
      <c r="T206" s="53">
        <f>'dynamic scaling metrics'!DB207</f>
        <v>88.913541666666674</v>
      </c>
      <c r="U206" s="53">
        <f>'dynamic scaling metrics'!DC207</f>
        <v>83.62604166666668</v>
      </c>
      <c r="V206" s="53">
        <f>'dynamic scaling metrics'!DD207</f>
        <v>68.105208333333351</v>
      </c>
      <c r="W206" s="53">
        <f>'dynamic scaling metrics'!DE207</f>
        <v>70.63333333333334</v>
      </c>
      <c r="X206" s="53">
        <f>'dynamic scaling metrics'!DF207</f>
        <v>59.386458333333337</v>
      </c>
      <c r="Y206" s="53">
        <f>'dynamic scaling metrics'!DG207</f>
        <v>54.563541666666666</v>
      </c>
      <c r="Z206" s="63">
        <f>'dynamic scaling metrics'!DH207</f>
        <v>45.319791666666674</v>
      </c>
      <c r="AA206" s="68">
        <f t="shared" si="93"/>
        <v>0.875</v>
      </c>
      <c r="AB206" s="57">
        <f>'dynamic scaling metrics'!EV201</f>
        <v>42.937499999999993</v>
      </c>
      <c r="AC206" s="57">
        <f>'dynamic scaling metrics'!EW201</f>
        <v>47.782258064516128</v>
      </c>
      <c r="AD206" s="57">
        <f>'dynamic scaling metrics'!EX201</f>
        <v>47.373991935483865</v>
      </c>
      <c r="AE206" s="57">
        <f>'dynamic scaling metrics'!EY201</f>
        <v>46.859879032258057</v>
      </c>
      <c r="AF206" s="57">
        <f>'dynamic scaling metrics'!EZ201</f>
        <v>41.426411290322577</v>
      </c>
      <c r="AG206" s="57">
        <f>'dynamic scaling metrics'!FA201</f>
        <v>45.443548387096769</v>
      </c>
      <c r="AH206" s="57">
        <f>'dynamic scaling metrics'!FB201</f>
        <v>40.428427419354833</v>
      </c>
      <c r="AI206" s="57">
        <f>'dynamic scaling metrics'!FC201</f>
        <v>43.533266129032256</v>
      </c>
      <c r="AK206" s="27"/>
    </row>
    <row r="207" spans="17:43" ht="31.95" customHeight="1" x14ac:dyDescent="0.4">
      <c r="R207" s="26">
        <v>0.25</v>
      </c>
      <c r="S207" s="62">
        <f>'dynamic scaling metrics'!DI207</f>
        <v>87.083333333333329</v>
      </c>
      <c r="T207" s="53">
        <f>'dynamic scaling metrics'!DJ207</f>
        <v>83.160416666666663</v>
      </c>
      <c r="U207" s="53">
        <f>'dynamic scaling metrics'!DK207</f>
        <v>78.668750000000003</v>
      </c>
      <c r="V207" s="53">
        <f>'dynamic scaling metrics'!DL207</f>
        <v>64.710416666666688</v>
      </c>
      <c r="W207" s="53">
        <f>'dynamic scaling metrics'!DM207</f>
        <v>67.600000000000009</v>
      </c>
      <c r="X207" s="53">
        <f>'dynamic scaling metrics'!DN207</f>
        <v>57.272916666666674</v>
      </c>
      <c r="Y207" s="53">
        <f>'dynamic scaling metrics'!DO207</f>
        <v>53.877083333333339</v>
      </c>
      <c r="Z207" s="63">
        <f>'dynamic scaling metrics'!DP207</f>
        <v>45.97291666666667</v>
      </c>
      <c r="AA207" s="58"/>
      <c r="AB207" s="54"/>
      <c r="AC207" s="56"/>
      <c r="AD207" s="53"/>
      <c r="AE207" s="53"/>
      <c r="AF207" s="53"/>
      <c r="AG207" s="53"/>
      <c r="AH207" s="53"/>
      <c r="AI207" s="53"/>
      <c r="AK207" s="27"/>
    </row>
    <row r="208" spans="17:43" ht="31.95" customHeight="1" x14ac:dyDescent="0.4">
      <c r="R208" s="25">
        <v>0.375</v>
      </c>
      <c r="S208" s="62">
        <f>'dynamic scaling metrics'!DQ207</f>
        <v>80.625</v>
      </c>
      <c r="T208" s="53">
        <f>'dynamic scaling metrics'!DR207</f>
        <v>77.407291666666666</v>
      </c>
      <c r="U208" s="53">
        <f>'dynamic scaling metrics'!DS207</f>
        <v>73.711458333333354</v>
      </c>
      <c r="V208" s="53">
        <f>'dynamic scaling metrics'!DT207</f>
        <v>61.315625000000004</v>
      </c>
      <c r="W208" s="53">
        <f>'dynamic scaling metrics'!DU207</f>
        <v>64.566666666666677</v>
      </c>
      <c r="X208" s="53">
        <f>'dynamic scaling metrics'!DV207</f>
        <v>55.159375000000011</v>
      </c>
      <c r="Y208" s="53">
        <f>'dynamic scaling metrics'!DW207</f>
        <v>53.190625000000004</v>
      </c>
      <c r="Z208" s="63">
        <f>'dynamic scaling metrics'!DX207</f>
        <v>46.626041666666666</v>
      </c>
      <c r="AA208" s="58"/>
      <c r="AB208" s="54"/>
      <c r="AC208" s="55"/>
      <c r="AD208" s="53"/>
      <c r="AE208" s="53"/>
      <c r="AF208" s="53"/>
      <c r="AG208" s="53"/>
      <c r="AH208" s="53"/>
      <c r="AI208" s="53"/>
      <c r="AK208" s="27"/>
    </row>
    <row r="209" spans="3:49" ht="31.95" customHeight="1" x14ac:dyDescent="0.4">
      <c r="R209" s="26">
        <v>0.5</v>
      </c>
      <c r="S209" s="62">
        <f>'dynamic scaling metrics'!DX207</f>
        <v>46.626041666666666</v>
      </c>
      <c r="T209" s="53">
        <f>'dynamic scaling metrics'!DY207</f>
        <v>74.166666666666671</v>
      </c>
      <c r="U209" s="53">
        <f>'dynamic scaling metrics'!DZ207</f>
        <v>71.654166666666654</v>
      </c>
      <c r="V209" s="53">
        <f>'dynamic scaling metrics'!EA207</f>
        <v>68.754166666666677</v>
      </c>
      <c r="W209" s="53">
        <f>'dynamic scaling metrics'!EB207</f>
        <v>57.920833333333341</v>
      </c>
      <c r="X209" s="53">
        <f>'dynamic scaling metrics'!EC207</f>
        <v>61.533333333333346</v>
      </c>
      <c r="Y209" s="53">
        <f>'dynamic scaling metrics'!ED207</f>
        <v>53.045833333333334</v>
      </c>
      <c r="Z209" s="63">
        <f>'dynamic scaling metrics'!EE207</f>
        <v>52.504166666666677</v>
      </c>
      <c r="AA209" s="58"/>
      <c r="AB209" s="54"/>
      <c r="AC209" s="56"/>
      <c r="AD209" s="53"/>
      <c r="AE209" s="53"/>
      <c r="AF209" s="53"/>
      <c r="AG209" s="53"/>
      <c r="AH209" s="53"/>
      <c r="AI209" s="53"/>
      <c r="AK209" s="27" t="str">
        <f t="shared" ref="AK209" si="94">Q205</f>
        <v>M4no7</v>
      </c>
    </row>
    <row r="210" spans="3:49" ht="31.95" customHeight="1" thickBot="1" x14ac:dyDescent="0.45">
      <c r="R210" s="25">
        <v>0.625</v>
      </c>
      <c r="S210" s="64">
        <f>'dynamic scaling metrics'!EF207</f>
        <v>47.279166666666669</v>
      </c>
      <c r="T210" s="65">
        <f>'dynamic scaling metrics'!EG207</f>
        <v>67.708333333333343</v>
      </c>
      <c r="U210" s="65">
        <f>'dynamic scaling metrics'!EH207</f>
        <v>65.901041666666671</v>
      </c>
      <c r="V210" s="65">
        <f>'dynamic scaling metrics'!EI207</f>
        <v>63.796874999999993</v>
      </c>
      <c r="W210" s="65">
        <f>'dynamic scaling metrics'!EJ207</f>
        <v>54.526041666666664</v>
      </c>
      <c r="X210" s="65">
        <f>'dynamic scaling metrics'!EK207</f>
        <v>58.5</v>
      </c>
      <c r="Y210" s="65">
        <f>'dynamic scaling metrics'!EL207</f>
        <v>50.932291666666671</v>
      </c>
      <c r="Z210" s="66">
        <f>'dynamic scaling metrics'!EM207</f>
        <v>51.817708333333329</v>
      </c>
      <c r="AA210" s="58"/>
      <c r="AB210">
        <v>0</v>
      </c>
      <c r="AC210" s="25">
        <v>0.125</v>
      </c>
      <c r="AD210" s="26">
        <v>0.25</v>
      </c>
      <c r="AE210" s="25">
        <v>0.375</v>
      </c>
      <c r="AF210" s="26">
        <v>0.5</v>
      </c>
      <c r="AG210" s="25">
        <v>0.625</v>
      </c>
      <c r="AH210" s="26">
        <v>0.75</v>
      </c>
      <c r="AI210" s="25">
        <v>0.875</v>
      </c>
      <c r="AK210" s="74" t="s">
        <v>107</v>
      </c>
      <c r="AL210">
        <f t="shared" ref="AL210" si="95">AVERAGE(U209:X210,AD211:AG211)</f>
        <v>60.680989583333343</v>
      </c>
      <c r="AN210" s="84"/>
      <c r="AQ210" s="84"/>
    </row>
    <row r="211" spans="3:49" ht="31.95" customHeight="1" x14ac:dyDescent="0.4">
      <c r="Q211" t="s">
        <v>44</v>
      </c>
      <c r="R211">
        <v>0</v>
      </c>
      <c r="S211" s="59">
        <f>'dynamic scaling metrics'!CS213</f>
        <v>100</v>
      </c>
      <c r="T211" s="60">
        <f>'dynamic scaling metrics'!CT213</f>
        <v>94.647540983606561</v>
      </c>
      <c r="U211" s="60">
        <f>'dynamic scaling metrics'!CU213</f>
        <v>88.532786885245912</v>
      </c>
      <c r="V211" s="60">
        <f>'dynamic scaling metrics'!CV213</f>
        <v>71.401639344262307</v>
      </c>
      <c r="W211" s="60">
        <f>'dynamic scaling metrics'!CW213</f>
        <v>73.508196721311478</v>
      </c>
      <c r="X211" s="60">
        <f>'dynamic scaling metrics'!CX213</f>
        <v>61.319672131147549</v>
      </c>
      <c r="Y211" s="60">
        <f>'dynamic scaling metrics'!CY213</f>
        <v>54.92622950819672</v>
      </c>
      <c r="Z211" s="61">
        <f>'dynamic scaling metrics'!CZ213</f>
        <v>44.237704918032783</v>
      </c>
      <c r="AA211" s="67">
        <f t="shared" ref="AA211:AA212" si="96">AA205</f>
        <v>0.75</v>
      </c>
      <c r="AB211" s="57">
        <f>'dynamic scaling metrics'!EN207</f>
        <v>47.932291666666664</v>
      </c>
      <c r="AC211" s="57">
        <f>'dynamic scaling metrics'!EO207</f>
        <v>61.250000000000014</v>
      </c>
      <c r="AD211" s="57">
        <f>'dynamic scaling metrics'!EP207</f>
        <v>60.147916666666674</v>
      </c>
      <c r="AE211" s="57">
        <f>'dynamic scaling metrics'!EQ207</f>
        <v>58.839583333333344</v>
      </c>
      <c r="AF211" s="57">
        <f>'dynamic scaling metrics'!ER207</f>
        <v>51.131250000000009</v>
      </c>
      <c r="AG211" s="57">
        <f>'dynamic scaling metrics'!ES207</f>
        <v>55.466666666666676</v>
      </c>
      <c r="AH211" s="57">
        <f>'dynamic scaling metrics'!ET207</f>
        <v>48.818750000000001</v>
      </c>
      <c r="AI211" s="57">
        <f>'dynamic scaling metrics'!EU207</f>
        <v>51.131249999999994</v>
      </c>
      <c r="AK211" s="27"/>
    </row>
    <row r="212" spans="3:49" ht="31.95" customHeight="1" x14ac:dyDescent="0.4">
      <c r="Q212" t="s">
        <v>95</v>
      </c>
      <c r="R212" s="25">
        <v>0.125</v>
      </c>
      <c r="S212" s="62">
        <f>'dynamic scaling metrics'!DA213</f>
        <v>92.21311475409837</v>
      </c>
      <c r="T212" s="53">
        <f>'dynamic scaling metrics'!DB213</f>
        <v>87.605532786885249</v>
      </c>
      <c r="U212" s="53">
        <f>'dynamic scaling metrics'!DC213</f>
        <v>82.324795081967224</v>
      </c>
      <c r="V212" s="53">
        <f>'dynamic scaling metrics'!DD213</f>
        <v>66.92520491803279</v>
      </c>
      <c r="W212" s="53">
        <f>'dynamic scaling metrics'!DE213</f>
        <v>69.295081967213122</v>
      </c>
      <c r="X212" s="53">
        <f>'dynamic scaling metrics'!DF213</f>
        <v>58.164959016393446</v>
      </c>
      <c r="Y212" s="53">
        <f>'dynamic scaling metrics'!DG213</f>
        <v>53.123975409836071</v>
      </c>
      <c r="Z212" s="63">
        <f>'dynamic scaling metrics'!DH213</f>
        <v>43.804303278688529</v>
      </c>
      <c r="AA212" s="68">
        <f t="shared" si="96"/>
        <v>0.875</v>
      </c>
      <c r="AB212" s="57">
        <f>'dynamic scaling metrics'!EV207</f>
        <v>48.585416666666667</v>
      </c>
      <c r="AC212" s="57">
        <f>'dynamic scaling metrics'!EW207</f>
        <v>54.791666666666671</v>
      </c>
      <c r="AD212" s="57">
        <f>'dynamic scaling metrics'!EX207</f>
        <v>54.39479166666667</v>
      </c>
      <c r="AE212" s="57">
        <f>'dynamic scaling metrics'!EY207</f>
        <v>53.882291666666667</v>
      </c>
      <c r="AF212" s="57">
        <f>'dynamic scaling metrics'!EZ207</f>
        <v>47.736458333333339</v>
      </c>
      <c r="AG212" s="57">
        <f>'dynamic scaling metrics'!FA207</f>
        <v>52.433333333333337</v>
      </c>
      <c r="AH212" s="57">
        <f>'dynamic scaling metrics'!FB207</f>
        <v>46.705208333333339</v>
      </c>
      <c r="AI212" s="57">
        <f>'dynamic scaling metrics'!FC207</f>
        <v>50.444791666666667</v>
      </c>
      <c r="AK212" s="27"/>
    </row>
    <row r="213" spans="3:49" ht="31.95" customHeight="1" x14ac:dyDescent="0.4">
      <c r="R213" s="26">
        <v>0.25</v>
      </c>
      <c r="S213" s="62">
        <f>'dynamic scaling metrics'!DI213</f>
        <v>84.426229508196727</v>
      </c>
      <c r="T213" s="53">
        <f>'dynamic scaling metrics'!DJ213</f>
        <v>80.563524590163937</v>
      </c>
      <c r="U213" s="53">
        <f>'dynamic scaling metrics'!DK213</f>
        <v>76.116803278688522</v>
      </c>
      <c r="V213" s="53">
        <f>'dynamic scaling metrics'!DL213</f>
        <v>62.448770491803273</v>
      </c>
      <c r="W213" s="53">
        <f>'dynamic scaling metrics'!DM213</f>
        <v>65.081967213114751</v>
      </c>
      <c r="X213" s="53">
        <f>'dynamic scaling metrics'!DN213</f>
        <v>55.010245901639337</v>
      </c>
      <c r="Y213" s="53">
        <f>'dynamic scaling metrics'!DO213</f>
        <v>51.321721311475407</v>
      </c>
      <c r="Z213" s="63">
        <f>'dynamic scaling metrics'!DP213</f>
        <v>43.370901639344261</v>
      </c>
      <c r="AA213" s="58"/>
      <c r="AB213" s="54"/>
      <c r="AC213" s="56"/>
      <c r="AD213" s="53"/>
      <c r="AE213" s="53"/>
      <c r="AF213" s="53"/>
      <c r="AG213" s="53"/>
      <c r="AH213" s="53"/>
      <c r="AI213" s="53"/>
      <c r="AK213" s="27"/>
    </row>
    <row r="214" spans="3:49" ht="31.95" customHeight="1" x14ac:dyDescent="0.4">
      <c r="R214" s="25">
        <v>0.375</v>
      </c>
      <c r="S214" s="62">
        <f>'dynamic scaling metrics'!DQ213</f>
        <v>76.639344262295083</v>
      </c>
      <c r="T214" s="53">
        <f>'dynamic scaling metrics'!DR213</f>
        <v>73.521516393442639</v>
      </c>
      <c r="U214" s="53">
        <f>'dynamic scaling metrics'!DS213</f>
        <v>69.908811475409848</v>
      </c>
      <c r="V214" s="53">
        <f>'dynamic scaling metrics'!DT213</f>
        <v>57.972336065573778</v>
      </c>
      <c r="W214" s="53">
        <f>'dynamic scaling metrics'!DU213</f>
        <v>60.868852459016388</v>
      </c>
      <c r="X214" s="53">
        <f>'dynamic scaling metrics'!DV213</f>
        <v>51.855532786885256</v>
      </c>
      <c r="Y214" s="53">
        <f>'dynamic scaling metrics'!DW213</f>
        <v>49.519467213114758</v>
      </c>
      <c r="Z214" s="63">
        <f>'dynamic scaling metrics'!DX213</f>
        <v>42.937500000000007</v>
      </c>
      <c r="AA214" s="58"/>
      <c r="AB214" s="54"/>
      <c r="AC214" s="55"/>
      <c r="AD214" s="53"/>
      <c r="AE214" s="53"/>
      <c r="AF214" s="53"/>
      <c r="AG214" s="53"/>
      <c r="AH214" s="53"/>
      <c r="AI214" s="53"/>
      <c r="AK214" s="27"/>
    </row>
    <row r="215" spans="3:49" ht="31.95" customHeight="1" x14ac:dyDescent="0.4">
      <c r="R215" s="26">
        <v>0.5</v>
      </c>
      <c r="S215" s="62">
        <f>'dynamic scaling metrics'!DX213</f>
        <v>42.937500000000007</v>
      </c>
      <c r="T215" s="53">
        <f>'dynamic scaling metrics'!DY213</f>
        <v>68.852459016393439</v>
      </c>
      <c r="U215" s="53">
        <f>'dynamic scaling metrics'!DZ213</f>
        <v>66.479508196721312</v>
      </c>
      <c r="V215" s="53">
        <f>'dynamic scaling metrics'!EA213</f>
        <v>63.700819672131153</v>
      </c>
      <c r="W215" s="53">
        <f>'dynamic scaling metrics'!EB213</f>
        <v>53.495901639344268</v>
      </c>
      <c r="X215" s="53">
        <f>'dynamic scaling metrics'!EC213</f>
        <v>56.655737704918032</v>
      </c>
      <c r="Y215" s="53">
        <f>'dynamic scaling metrics'!ED213</f>
        <v>48.700819672131146</v>
      </c>
      <c r="Z215" s="63">
        <f>'dynamic scaling metrics'!EE213</f>
        <v>47.717213114754102</v>
      </c>
      <c r="AA215" s="58"/>
      <c r="AB215" s="54"/>
      <c r="AC215" s="56"/>
      <c r="AD215" s="53"/>
      <c r="AE215" s="53"/>
      <c r="AF215" s="53"/>
      <c r="AG215" s="53"/>
      <c r="AH215" s="53"/>
      <c r="AI215" s="53"/>
      <c r="AK215" s="27" t="str">
        <f t="shared" ref="AK215" si="97">Q211</f>
        <v>M4no8</v>
      </c>
    </row>
    <row r="216" spans="3:49" ht="31.95" customHeight="1" thickBot="1" x14ac:dyDescent="0.45">
      <c r="R216" s="25">
        <v>0.625</v>
      </c>
      <c r="S216" s="64">
        <f>'dynamic scaling metrics'!EF213</f>
        <v>42.504098360655739</v>
      </c>
      <c r="T216" s="65">
        <f>'dynamic scaling metrics'!EG213</f>
        <v>61.06557377049181</v>
      </c>
      <c r="U216" s="65">
        <f>'dynamic scaling metrics'!EH213</f>
        <v>59.4375</v>
      </c>
      <c r="V216" s="65">
        <f>'dynamic scaling metrics'!EI213</f>
        <v>57.492827868852466</v>
      </c>
      <c r="W216" s="65">
        <f>'dynamic scaling metrics'!EJ213</f>
        <v>49.019467213114766</v>
      </c>
      <c r="X216" s="65">
        <f>'dynamic scaling metrics'!EK213</f>
        <v>52.442622950819668</v>
      </c>
      <c r="Y216" s="65">
        <f>'dynamic scaling metrics'!EL213</f>
        <v>45.546106557377051</v>
      </c>
      <c r="Z216" s="66">
        <f>'dynamic scaling metrics'!EM213</f>
        <v>45.914959016393453</v>
      </c>
      <c r="AA216" s="58"/>
      <c r="AB216">
        <v>0</v>
      </c>
      <c r="AC216" s="25">
        <v>0.125</v>
      </c>
      <c r="AD216" s="26">
        <v>0.25</v>
      </c>
      <c r="AE216" s="25">
        <v>0.375</v>
      </c>
      <c r="AF216" s="26">
        <v>0.5</v>
      </c>
      <c r="AG216" s="25">
        <v>0.625</v>
      </c>
      <c r="AH216" s="26">
        <v>0.75</v>
      </c>
      <c r="AI216" s="25">
        <v>0.875</v>
      </c>
      <c r="AK216" s="74" t="s">
        <v>107</v>
      </c>
      <c r="AL216">
        <f t="shared" ref="AL216" si="98">AVERAGE(U215:X216,AD217:AG217)</f>
        <v>54.598104508196734</v>
      </c>
      <c r="AN216" s="84"/>
      <c r="AQ216" s="84"/>
    </row>
    <row r="217" spans="3:49" ht="31.95" customHeight="1" x14ac:dyDescent="0.4">
      <c r="Q217" t="s">
        <v>45</v>
      </c>
      <c r="R217">
        <v>0</v>
      </c>
      <c r="S217" s="59">
        <f>'dynamic scaling metrics'!CS219</f>
        <v>100</v>
      </c>
      <c r="T217" s="60">
        <f>'dynamic scaling metrics'!CT219</f>
        <v>94.754098360655746</v>
      </c>
      <c r="U217" s="60">
        <f>'dynamic scaling metrics'!CU219</f>
        <v>88.770491803278688</v>
      </c>
      <c r="V217" s="60">
        <f>'dynamic scaling metrics'!CV219</f>
        <v>71.8032786885246</v>
      </c>
      <c r="W217" s="60">
        <f>'dynamic scaling metrics'!CW219</f>
        <v>74.098360655737721</v>
      </c>
      <c r="X217" s="60">
        <f>'dynamic scaling metrics'!CX219</f>
        <v>61.967213114754109</v>
      </c>
      <c r="Y217" s="60">
        <f>'dynamic scaling metrics'!CY219</f>
        <v>55.983606557377051</v>
      </c>
      <c r="Z217" s="61">
        <f>'dynamic scaling metrics'!CZ219</f>
        <v>45.573770491803273</v>
      </c>
      <c r="AA217" s="67">
        <f t="shared" ref="AA217:AA218" si="99">AA211</f>
        <v>0.75</v>
      </c>
      <c r="AB217" s="57">
        <f>'dynamic scaling metrics'!EN213</f>
        <v>42.070696721311471</v>
      </c>
      <c r="AC217" s="57">
        <f>'dynamic scaling metrics'!EO213</f>
        <v>53.278688524590166</v>
      </c>
      <c r="AD217" s="57">
        <f>'dynamic scaling metrics'!EP213</f>
        <v>52.395491803278695</v>
      </c>
      <c r="AE217" s="57">
        <f>'dynamic scaling metrics'!EQ213</f>
        <v>51.284836065573785</v>
      </c>
      <c r="AF217" s="57">
        <f>'dynamic scaling metrics'!ER213</f>
        <v>44.543032786885256</v>
      </c>
      <c r="AG217" s="57">
        <f>'dynamic scaling metrics'!ES213</f>
        <v>48.229508196721312</v>
      </c>
      <c r="AH217" s="57">
        <f>'dynamic scaling metrics'!ET213</f>
        <v>42.391393442622949</v>
      </c>
      <c r="AI217" s="57">
        <f>'dynamic scaling metrics'!EU213</f>
        <v>44.11270491803279</v>
      </c>
      <c r="AK217" s="27"/>
    </row>
    <row r="218" spans="3:49" ht="31.95" customHeight="1" x14ac:dyDescent="0.4">
      <c r="Q218" t="s">
        <v>95</v>
      </c>
      <c r="R218" s="25">
        <v>0.125</v>
      </c>
      <c r="S218" s="62">
        <f>'dynamic scaling metrics'!DA219</f>
        <v>92.418032786885249</v>
      </c>
      <c r="T218" s="53">
        <f>'dynamic scaling metrics'!DB219</f>
        <v>87.8657786885246</v>
      </c>
      <c r="U218" s="53">
        <f>'dynamic scaling metrics'!DC219</f>
        <v>82.664959016393468</v>
      </c>
      <c r="V218" s="53">
        <f>'dynamic scaling metrics'!DD219</f>
        <v>67.357581967213136</v>
      </c>
      <c r="W218" s="53">
        <f>'dynamic scaling metrics'!DE219</f>
        <v>69.885245901639351</v>
      </c>
      <c r="X218" s="53">
        <f>'dynamic scaling metrics'!DF219</f>
        <v>58.781762295081975</v>
      </c>
      <c r="Y218" s="53">
        <f>'dynamic scaling metrics'!DG219</f>
        <v>54.07889344262297</v>
      </c>
      <c r="Z218" s="63">
        <f>'dynamic scaling metrics'!DH219</f>
        <v>44.986680327868854</v>
      </c>
      <c r="AA218" s="68">
        <f t="shared" si="99"/>
        <v>0.875</v>
      </c>
      <c r="AB218" s="57">
        <f>'dynamic scaling metrics'!EV213</f>
        <v>41.637295081967224</v>
      </c>
      <c r="AC218" s="57">
        <f>'dynamic scaling metrics'!EW213</f>
        <v>45.491803278688529</v>
      </c>
      <c r="AD218" s="57">
        <f>'dynamic scaling metrics'!EX213</f>
        <v>45.353483606557376</v>
      </c>
      <c r="AE218" s="57">
        <f>'dynamic scaling metrics'!EY213</f>
        <v>45.076844262295083</v>
      </c>
      <c r="AF218" s="57">
        <f>'dynamic scaling metrics'!EZ213</f>
        <v>40.066598360655739</v>
      </c>
      <c r="AG218" s="57">
        <f>'dynamic scaling metrics'!FA213</f>
        <v>44.016393442622949</v>
      </c>
      <c r="AH218" s="57">
        <f>'dynamic scaling metrics'!FB213</f>
        <v>39.236680327868854</v>
      </c>
      <c r="AI218" s="57">
        <f>'dynamic scaling metrics'!FC213</f>
        <v>42.310450819672134</v>
      </c>
      <c r="AK218" s="27"/>
    </row>
    <row r="219" spans="3:49" ht="31.95" customHeight="1" x14ac:dyDescent="0.4">
      <c r="R219" s="26">
        <v>0.25</v>
      </c>
      <c r="S219" s="62">
        <f>'dynamic scaling metrics'!DI219</f>
        <v>84.836065573770497</v>
      </c>
      <c r="T219" s="53">
        <f>'dynamic scaling metrics'!DJ219</f>
        <v>80.977459016393453</v>
      </c>
      <c r="U219" s="53">
        <f>'dynamic scaling metrics'!DK219</f>
        <v>76.559426229508205</v>
      </c>
      <c r="V219" s="53">
        <f>'dynamic scaling metrics'!DL219</f>
        <v>62.911885245901644</v>
      </c>
      <c r="W219" s="53">
        <f>'dynamic scaling metrics'!DM219</f>
        <v>65.672131147540981</v>
      </c>
      <c r="X219" s="53">
        <f>'dynamic scaling metrics'!DN219</f>
        <v>55.596311475409841</v>
      </c>
      <c r="Y219" s="53">
        <f>'dynamic scaling metrics'!DO219</f>
        <v>52.174180327868854</v>
      </c>
      <c r="Z219" s="63">
        <f>'dynamic scaling metrics'!DP219</f>
        <v>44.39959016393442</v>
      </c>
      <c r="AA219" s="58"/>
      <c r="AB219" s="54"/>
      <c r="AC219" s="56"/>
      <c r="AD219" s="53"/>
      <c r="AE219" s="53"/>
      <c r="AF219" s="53"/>
      <c r="AG219" s="53"/>
      <c r="AH219" s="53"/>
      <c r="AI219" s="53"/>
      <c r="AK219" s="27"/>
    </row>
    <row r="220" spans="3:49" ht="31.95" customHeight="1" x14ac:dyDescent="0.4">
      <c r="R220" s="25">
        <v>0.375</v>
      </c>
      <c r="S220" s="62">
        <f>'dynamic scaling metrics'!DQ219</f>
        <v>77.254098360655746</v>
      </c>
      <c r="T220" s="53">
        <f>'dynamic scaling metrics'!DR219</f>
        <v>74.089139344262307</v>
      </c>
      <c r="U220" s="53">
        <f>'dynamic scaling metrics'!DS219</f>
        <v>70.45389344262297</v>
      </c>
      <c r="V220" s="53">
        <f>'dynamic scaling metrics'!DT219</f>
        <v>58.466188524590173</v>
      </c>
      <c r="W220" s="53">
        <f>'dynamic scaling metrics'!DU219</f>
        <v>61.459016393442631</v>
      </c>
      <c r="X220" s="53">
        <f>'dynamic scaling metrics'!DV219</f>
        <v>52.410860655737714</v>
      </c>
      <c r="Y220" s="53">
        <f>'dynamic scaling metrics'!DW219</f>
        <v>50.269467213114758</v>
      </c>
      <c r="Z220" s="63">
        <f>'dynamic scaling metrics'!DX219</f>
        <v>43.812500000000007</v>
      </c>
      <c r="AA220" s="58"/>
      <c r="AB220" s="54"/>
      <c r="AC220" s="55"/>
      <c r="AD220" s="53"/>
      <c r="AE220" s="53"/>
      <c r="AF220" s="53"/>
      <c r="AG220" s="53"/>
      <c r="AH220" s="53"/>
      <c r="AI220" s="53"/>
      <c r="AK220" s="27"/>
    </row>
    <row r="221" spans="3:49" ht="31.95" customHeight="1" x14ac:dyDescent="0.4">
      <c r="R221" s="26">
        <v>0.5</v>
      </c>
      <c r="S221" s="62">
        <f>'dynamic scaling metrics'!DX219</f>
        <v>43.812500000000007</v>
      </c>
      <c r="T221" s="53">
        <f>'dynamic scaling metrics'!DY219</f>
        <v>69.672131147540981</v>
      </c>
      <c r="U221" s="53">
        <f>'dynamic scaling metrics'!DZ219</f>
        <v>67.200819672131132</v>
      </c>
      <c r="V221" s="53">
        <f>'dynamic scaling metrics'!EA219</f>
        <v>64.348360655737707</v>
      </c>
      <c r="W221" s="53">
        <f>'dynamic scaling metrics'!EB219</f>
        <v>54.020491803278695</v>
      </c>
      <c r="X221" s="53">
        <f>'dynamic scaling metrics'!EC219</f>
        <v>57.245901639344254</v>
      </c>
      <c r="Y221" s="53">
        <f>'dynamic scaling metrics'!ED219</f>
        <v>49.225409836065573</v>
      </c>
      <c r="Z221" s="63">
        <f>'dynamic scaling metrics'!EE219</f>
        <v>48.364754098360656</v>
      </c>
      <c r="AA221" s="58"/>
      <c r="AB221" s="54"/>
      <c r="AC221" s="56"/>
      <c r="AD221" s="53"/>
      <c r="AE221" s="53"/>
      <c r="AF221" s="53"/>
      <c r="AG221" s="53"/>
      <c r="AH221" s="53"/>
      <c r="AI221" s="53"/>
      <c r="AK221" s="27" t="str">
        <f t="shared" ref="AK221" si="100">Q217</f>
        <v>M4no9</v>
      </c>
    </row>
    <row r="222" spans="3:49" s="69" customFormat="1" ht="31.95" customHeight="1" thickBot="1" x14ac:dyDescent="0.45"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R222" s="70">
        <v>0.625</v>
      </c>
      <c r="S222" s="64">
        <f>'dynamic scaling metrics'!EF219</f>
        <v>43.225409836065573</v>
      </c>
      <c r="T222" s="65">
        <f>'dynamic scaling metrics'!EG219</f>
        <v>62.090163934426236</v>
      </c>
      <c r="U222" s="65">
        <f>'dynamic scaling metrics'!EH219</f>
        <v>60.3125</v>
      </c>
      <c r="V222" s="65">
        <f>'dynamic scaling metrics'!EI219</f>
        <v>58.242827868852466</v>
      </c>
      <c r="W222" s="65">
        <f>'dynamic scaling metrics'!EJ219</f>
        <v>49.574795081967217</v>
      </c>
      <c r="X222" s="65">
        <f>'dynamic scaling metrics'!EK219</f>
        <v>53.032786885245912</v>
      </c>
      <c r="Y222" s="65">
        <f>'dynamic scaling metrics'!EL219</f>
        <v>46.039959016393446</v>
      </c>
      <c r="Z222" s="66">
        <f>'dynamic scaling metrics'!EM219</f>
        <v>46.460040983606568</v>
      </c>
      <c r="AA222" s="58"/>
      <c r="AB222">
        <v>0</v>
      </c>
      <c r="AC222" s="25">
        <v>0.125</v>
      </c>
      <c r="AD222" s="26">
        <v>0.25</v>
      </c>
      <c r="AE222" s="25">
        <v>0.375</v>
      </c>
      <c r="AF222" s="26">
        <v>0.5</v>
      </c>
      <c r="AG222" s="25">
        <v>0.625</v>
      </c>
      <c r="AH222" s="26">
        <v>0.75</v>
      </c>
      <c r="AI222" s="25">
        <v>0.875</v>
      </c>
      <c r="AK222" s="74" t="s">
        <v>107</v>
      </c>
      <c r="AL222">
        <f t="shared" ref="AL222" si="101">AVERAGE(U221:X222,AD223:AG223)</f>
        <v>55.290727459016388</v>
      </c>
      <c r="AM222"/>
      <c r="AN222" s="84"/>
      <c r="AO222" s="83"/>
      <c r="AP222" s="83"/>
      <c r="AQ222" s="84"/>
      <c r="AR222" s="83"/>
      <c r="AS222" s="83"/>
      <c r="AT222" s="83"/>
      <c r="AW222" s="78"/>
    </row>
    <row r="223" spans="3:49" ht="31.95" customHeight="1" x14ac:dyDescent="0.4">
      <c r="Q223" t="s">
        <v>46</v>
      </c>
      <c r="R223">
        <v>0</v>
      </c>
      <c r="S223" s="59">
        <f>'dynamic scaling metrics'!CS225</f>
        <v>99.999999999999986</v>
      </c>
      <c r="T223" s="60">
        <f>'dynamic scaling metrics'!CT225</f>
        <v>95.634328358208961</v>
      </c>
      <c r="U223" s="60">
        <f>'dynamic scaling metrics'!CU225</f>
        <v>90.261194029850742</v>
      </c>
      <c r="V223" s="60">
        <f>'dynamic scaling metrics'!CV225</f>
        <v>73.544776119402982</v>
      </c>
      <c r="W223" s="60">
        <f>'dynamic scaling metrics'!CW225</f>
        <v>75.820895522388042</v>
      </c>
      <c r="X223" s="60">
        <f>'dynamic scaling metrics'!CX225</f>
        <v>63.47014925373135</v>
      </c>
      <c r="Y223" s="60">
        <f>'dynamic scaling metrics'!CY225</f>
        <v>56.679104477611936</v>
      </c>
      <c r="Z223" s="61">
        <f>'dynamic scaling metrics'!CZ225</f>
        <v>45.261194029850742</v>
      </c>
      <c r="AA223" s="67">
        <f t="shared" ref="AA223:AA224" si="102">AA217</f>
        <v>0.75</v>
      </c>
      <c r="AB223" s="57">
        <f>'dynamic scaling metrics'!EN219</f>
        <v>42.638319672131153</v>
      </c>
      <c r="AC223" s="57">
        <f>'dynamic scaling metrics'!EO219</f>
        <v>54.508196721311485</v>
      </c>
      <c r="AD223" s="57">
        <f>'dynamic scaling metrics'!EP219</f>
        <v>53.424180327868861</v>
      </c>
      <c r="AE223" s="57">
        <f>'dynamic scaling metrics'!EQ219</f>
        <v>52.137295081967224</v>
      </c>
      <c r="AF223" s="57">
        <f>'dynamic scaling metrics'!ER219</f>
        <v>45.129098360655739</v>
      </c>
      <c r="AG223" s="57">
        <f>'dynamic scaling metrics'!ES219</f>
        <v>48.819672131147541</v>
      </c>
      <c r="AH223" s="57">
        <f>'dynamic scaling metrics'!ET219</f>
        <v>42.854508196721326</v>
      </c>
      <c r="AI223" s="57">
        <f>'dynamic scaling metrics'!EU219</f>
        <v>44.555327868852466</v>
      </c>
      <c r="AK223" s="27"/>
    </row>
    <row r="224" spans="3:49" ht="31.95" customHeight="1" x14ac:dyDescent="0.4">
      <c r="Q224" t="s">
        <v>95</v>
      </c>
      <c r="R224" s="25">
        <v>0.125</v>
      </c>
      <c r="S224" s="62">
        <f>'dynamic scaling metrics'!DA225</f>
        <v>92.910447761194021</v>
      </c>
      <c r="T224" s="53">
        <f>'dynamic scaling metrics'!DB225</f>
        <v>89.090485074626855</v>
      </c>
      <c r="U224" s="53">
        <f>'dynamic scaling metrics'!DC225</f>
        <v>84.388992537313428</v>
      </c>
      <c r="V224" s="53">
        <f>'dynamic scaling metrics'!DD225</f>
        <v>69.22108208955224</v>
      </c>
      <c r="W224" s="53">
        <f>'dynamic scaling metrics'!DE225</f>
        <v>71.75373134328359</v>
      </c>
      <c r="X224" s="53">
        <f>'dynamic scaling metrics'!DF225</f>
        <v>60.405783582089541</v>
      </c>
      <c r="Y224" s="53">
        <f>'dynamic scaling metrics'!DG225</f>
        <v>55.004664179104473</v>
      </c>
      <c r="Z224" s="63">
        <f>'dynamic scaling metrics'!DH225</f>
        <v>45.013992537313435</v>
      </c>
      <c r="AA224" s="68">
        <f t="shared" si="102"/>
        <v>0.875</v>
      </c>
      <c r="AB224" s="57">
        <f>'dynamic scaling metrics'!EV219</f>
        <v>42.051229508196727</v>
      </c>
      <c r="AC224" s="57">
        <f>'dynamic scaling metrics'!EW219</f>
        <v>46.926229508196727</v>
      </c>
      <c r="AD224" s="57">
        <f>'dynamic scaling metrics'!EX219</f>
        <v>46.535860655737707</v>
      </c>
      <c r="AE224" s="57">
        <f>'dynamic scaling metrics'!EY219</f>
        <v>46.031762295081968</v>
      </c>
      <c r="AF224" s="57">
        <f>'dynamic scaling metrics'!EZ219</f>
        <v>40.683401639344268</v>
      </c>
      <c r="AG224" s="57">
        <f>'dynamic scaling metrics'!FA219</f>
        <v>44.606557377049192</v>
      </c>
      <c r="AH224" s="57">
        <f>'dynamic scaling metrics'!FB219</f>
        <v>39.669057377049185</v>
      </c>
      <c r="AI224" s="57">
        <f>'dynamic scaling metrics'!FC219</f>
        <v>42.65061475409837</v>
      </c>
      <c r="AK224" s="27"/>
    </row>
    <row r="225" spans="17:43" ht="31.95" customHeight="1" x14ac:dyDescent="0.4">
      <c r="R225" s="26">
        <v>0.25</v>
      </c>
      <c r="S225" s="62">
        <f>'dynamic scaling metrics'!DI225</f>
        <v>85.820895522388057</v>
      </c>
      <c r="T225" s="53">
        <f>'dynamic scaling metrics'!DJ225</f>
        <v>82.546641791044777</v>
      </c>
      <c r="U225" s="53">
        <f>'dynamic scaling metrics'!DK225</f>
        <v>78.516791044776127</v>
      </c>
      <c r="V225" s="53">
        <f>'dynamic scaling metrics'!DL225</f>
        <v>64.897388059701498</v>
      </c>
      <c r="W225" s="53">
        <f>'dynamic scaling metrics'!DM225</f>
        <v>67.68656716417911</v>
      </c>
      <c r="X225" s="53">
        <f>'dynamic scaling metrics'!DN225</f>
        <v>57.34141791044776</v>
      </c>
      <c r="Y225" s="53">
        <f>'dynamic scaling metrics'!DO225</f>
        <v>53.330223880597003</v>
      </c>
      <c r="Z225" s="63">
        <f>'dynamic scaling metrics'!DP225</f>
        <v>44.766791044776113</v>
      </c>
      <c r="AA225" s="58"/>
      <c r="AB225" s="54"/>
      <c r="AC225" s="56"/>
      <c r="AD225" s="53"/>
      <c r="AE225" s="53"/>
      <c r="AF225" s="53"/>
      <c r="AG225" s="53"/>
      <c r="AH225" s="53"/>
      <c r="AI225" s="53"/>
      <c r="AK225" s="27"/>
    </row>
    <row r="226" spans="17:43" ht="31.95" customHeight="1" x14ac:dyDescent="0.4">
      <c r="R226" s="25">
        <v>0.375</v>
      </c>
      <c r="S226" s="62">
        <f>'dynamic scaling metrics'!DQ225</f>
        <v>78.731343283582092</v>
      </c>
      <c r="T226" s="53">
        <f>'dynamic scaling metrics'!DR225</f>
        <v>76.002798507462686</v>
      </c>
      <c r="U226" s="53">
        <f>'dynamic scaling metrics'!DS225</f>
        <v>72.644589552238813</v>
      </c>
      <c r="V226" s="53">
        <f>'dynamic scaling metrics'!DT225</f>
        <v>60.573694029850749</v>
      </c>
      <c r="W226" s="53">
        <f>'dynamic scaling metrics'!DU225</f>
        <v>63.619402985074629</v>
      </c>
      <c r="X226" s="53">
        <f>'dynamic scaling metrics'!DV225</f>
        <v>54.277052238805972</v>
      </c>
      <c r="Y226" s="53">
        <f>'dynamic scaling metrics'!DW225</f>
        <v>51.655783582089548</v>
      </c>
      <c r="Z226" s="63">
        <f>'dynamic scaling metrics'!DX225</f>
        <v>44.519589552238799</v>
      </c>
      <c r="AA226" s="58"/>
      <c r="AB226" s="54"/>
      <c r="AC226" s="55"/>
      <c r="AD226" s="53"/>
      <c r="AE226" s="53"/>
      <c r="AF226" s="53"/>
      <c r="AG226" s="53"/>
      <c r="AH226" s="53"/>
      <c r="AI226" s="53"/>
      <c r="AK226" s="27"/>
    </row>
    <row r="227" spans="17:43" ht="31.95" customHeight="1" x14ac:dyDescent="0.4">
      <c r="R227" s="26">
        <v>0.5</v>
      </c>
      <c r="S227" s="62">
        <f>'dynamic scaling metrics'!DX225</f>
        <v>44.519589552238799</v>
      </c>
      <c r="T227" s="53">
        <f>'dynamic scaling metrics'!DY225</f>
        <v>71.641791044776113</v>
      </c>
      <c r="U227" s="53">
        <f>'dynamic scaling metrics'!DZ225</f>
        <v>69.458955223880594</v>
      </c>
      <c r="V227" s="53">
        <f>'dynamic scaling metrics'!EA225</f>
        <v>66.772388059701484</v>
      </c>
      <c r="W227" s="53">
        <f>'dynamic scaling metrics'!EB225</f>
        <v>56.25</v>
      </c>
      <c r="X227" s="53">
        <f>'dynamic scaling metrics'!EC225</f>
        <v>59.552238805970148</v>
      </c>
      <c r="Y227" s="53">
        <f>'dynamic scaling metrics'!ED225</f>
        <v>51.212686567164184</v>
      </c>
      <c r="Z227" s="63">
        <f>'dynamic scaling metrics'!EE225</f>
        <v>49.981343283582092</v>
      </c>
      <c r="AA227" s="58"/>
      <c r="AB227" s="54"/>
      <c r="AC227" s="56"/>
      <c r="AD227" s="53"/>
      <c r="AE227" s="53"/>
      <c r="AF227" s="53"/>
      <c r="AG227" s="53"/>
      <c r="AH227" s="53"/>
      <c r="AI227" s="53"/>
      <c r="AK227" s="27" t="str">
        <f t="shared" ref="AK227" si="103">Q223</f>
        <v>M5no1</v>
      </c>
    </row>
    <row r="228" spans="17:43" ht="31.95" customHeight="1" thickBot="1" x14ac:dyDescent="0.45">
      <c r="R228" s="25">
        <v>0.625</v>
      </c>
      <c r="S228" s="64">
        <f>'dynamic scaling metrics'!EF225</f>
        <v>44.272388059701484</v>
      </c>
      <c r="T228" s="65">
        <f>'dynamic scaling metrics'!EG225</f>
        <v>64.552238805970148</v>
      </c>
      <c r="U228" s="65">
        <f>'dynamic scaling metrics'!EH225</f>
        <v>62.915111940298502</v>
      </c>
      <c r="V228" s="65">
        <f>'dynamic scaling metrics'!EI225</f>
        <v>60.900186567164177</v>
      </c>
      <c r="W228" s="65">
        <f>'dynamic scaling metrics'!EJ225</f>
        <v>51.926305970149258</v>
      </c>
      <c r="X228" s="65">
        <f>'dynamic scaling metrics'!EK225</f>
        <v>55.485074626865668</v>
      </c>
      <c r="Y228" s="65">
        <f>'dynamic scaling metrics'!EL225</f>
        <v>48.148320895522396</v>
      </c>
      <c r="Z228" s="66">
        <f>'dynamic scaling metrics'!EM225</f>
        <v>48.306902985074622</v>
      </c>
      <c r="AA228" s="58"/>
      <c r="AB228">
        <v>0</v>
      </c>
      <c r="AC228" s="25">
        <v>0.125</v>
      </c>
      <c r="AD228" s="26">
        <v>0.25</v>
      </c>
      <c r="AE228" s="25">
        <v>0.375</v>
      </c>
      <c r="AF228" s="26">
        <v>0.5</v>
      </c>
      <c r="AG228" s="25">
        <v>0.625</v>
      </c>
      <c r="AH228" s="26">
        <v>0.75</v>
      </c>
      <c r="AI228" s="25">
        <v>0.875</v>
      </c>
      <c r="AK228" s="74" t="s">
        <v>107</v>
      </c>
      <c r="AL228">
        <f t="shared" ref="AL228" si="104">AVERAGE(U227:X228,AD229:AG229)</f>
        <v>57.806669776119399</v>
      </c>
      <c r="AN228" s="84"/>
      <c r="AQ228" s="84"/>
    </row>
    <row r="229" spans="17:43" ht="31.95" customHeight="1" x14ac:dyDescent="0.4">
      <c r="Q229" t="s">
        <v>47</v>
      </c>
      <c r="R229">
        <v>0</v>
      </c>
      <c r="S229" s="59">
        <f>'dynamic scaling metrics'!CS231</f>
        <v>99.999999999999986</v>
      </c>
      <c r="T229" s="60">
        <f>'dynamic scaling metrics'!CT231</f>
        <v>95.788732394366178</v>
      </c>
      <c r="U229" s="60">
        <f>'dynamic scaling metrics'!CU231</f>
        <v>90.605633802816882</v>
      </c>
      <c r="V229" s="60">
        <f>'dynamic scaling metrics'!CV231</f>
        <v>74.126760563380273</v>
      </c>
      <c r="W229" s="60">
        <f>'dynamic scaling metrics'!CW231</f>
        <v>76.676056338028161</v>
      </c>
      <c r="X229" s="60">
        <f>'dynamic scaling metrics'!CX231</f>
        <v>64.408450704225345</v>
      </c>
      <c r="Y229" s="60">
        <f>'dynamic scaling metrics'!CY231</f>
        <v>58.211267605633793</v>
      </c>
      <c r="Z229" s="61">
        <f>'dynamic scaling metrics'!CZ231</f>
        <v>47.197183098591537</v>
      </c>
      <c r="AA229" s="67">
        <f t="shared" ref="AA229:AA230" si="105">AA223</f>
        <v>0.75</v>
      </c>
      <c r="AB229" s="57">
        <f>'dynamic scaling metrics'!EN225</f>
        <v>44.025186567164184</v>
      </c>
      <c r="AC229" s="57">
        <f>'dynamic scaling metrics'!EO225</f>
        <v>57.462686567164184</v>
      </c>
      <c r="AD229" s="57">
        <f>'dynamic scaling metrics'!EP225</f>
        <v>56.371268656716417</v>
      </c>
      <c r="AE229" s="57">
        <f>'dynamic scaling metrics'!EQ225</f>
        <v>55.027985074626862</v>
      </c>
      <c r="AF229" s="57">
        <f>'dynamic scaling metrics'!ER225</f>
        <v>47.602611940298509</v>
      </c>
      <c r="AG229" s="57">
        <f>'dynamic scaling metrics'!ES225</f>
        <v>51.417910447761201</v>
      </c>
      <c r="AH229" s="57">
        <f>'dynamic scaling metrics'!ET225</f>
        <v>45.083955223880601</v>
      </c>
      <c r="AI229" s="57">
        <f>'dynamic scaling metrics'!EU225</f>
        <v>46.632462686567166</v>
      </c>
      <c r="AK229" s="27"/>
    </row>
    <row r="230" spans="17:43" ht="31.95" customHeight="1" x14ac:dyDescent="0.4">
      <c r="Q230" t="s">
        <v>95</v>
      </c>
      <c r="R230" s="25">
        <v>0.125</v>
      </c>
      <c r="S230" s="62">
        <f>'dynamic scaling metrics'!DA231</f>
        <v>92.077464788732385</v>
      </c>
      <c r="T230" s="53">
        <f>'dynamic scaling metrics'!DB231</f>
        <v>88.425176056338003</v>
      </c>
      <c r="U230" s="53">
        <f>'dynamic scaling metrics'!DC231</f>
        <v>83.919894366197155</v>
      </c>
      <c r="V230" s="53">
        <f>'dynamic scaling metrics'!DD231</f>
        <v>69.069542253521107</v>
      </c>
      <c r="W230" s="53">
        <f>'dynamic scaling metrics'!DE231</f>
        <v>71.781690140845058</v>
      </c>
      <c r="X230" s="53">
        <f>'dynamic scaling metrics'!DF231</f>
        <v>60.592429577464777</v>
      </c>
      <c r="Y230" s="53">
        <f>'dynamic scaling metrics'!DG231</f>
        <v>55.662852112676049</v>
      </c>
      <c r="Z230" s="63">
        <f>'dynamic scaling metrics'!DH231</f>
        <v>46.039612676056329</v>
      </c>
      <c r="AA230" s="68">
        <f t="shared" si="105"/>
        <v>0.875</v>
      </c>
      <c r="AB230" s="57">
        <f>'dynamic scaling metrics'!EV225</f>
        <v>43.777985074626869</v>
      </c>
      <c r="AC230" s="57">
        <f>'dynamic scaling metrics'!EW225</f>
        <v>50.373134328358205</v>
      </c>
      <c r="AD230" s="57">
        <f>'dynamic scaling metrics'!EX225</f>
        <v>49.827425373134325</v>
      </c>
      <c r="AE230" s="57">
        <f>'dynamic scaling metrics'!EY225</f>
        <v>49.155783582089548</v>
      </c>
      <c r="AF230" s="57">
        <f>'dynamic scaling metrics'!EZ225</f>
        <v>43.27891791044776</v>
      </c>
      <c r="AG230" s="57">
        <f>'dynamic scaling metrics'!FA225</f>
        <v>47.350746268656714</v>
      </c>
      <c r="AH230" s="57">
        <f>'dynamic scaling metrics'!FB225</f>
        <v>42.019589552238813</v>
      </c>
      <c r="AI230" s="57">
        <f>'dynamic scaling metrics'!FC225</f>
        <v>44.958022388059696</v>
      </c>
      <c r="AK230" s="27"/>
    </row>
    <row r="231" spans="17:43" ht="31.95" customHeight="1" x14ac:dyDescent="0.4">
      <c r="R231" s="26">
        <v>0.25</v>
      </c>
      <c r="S231" s="62">
        <f>'dynamic scaling metrics'!DI231</f>
        <v>84.15492957746477</v>
      </c>
      <c r="T231" s="53">
        <f>'dynamic scaling metrics'!DJ231</f>
        <v>81.061619718309828</v>
      </c>
      <c r="U231" s="53">
        <f>'dynamic scaling metrics'!DK231</f>
        <v>77.234154929577457</v>
      </c>
      <c r="V231" s="53">
        <f>'dynamic scaling metrics'!DL231</f>
        <v>64.012323943661968</v>
      </c>
      <c r="W231" s="53">
        <f>'dynamic scaling metrics'!DM231</f>
        <v>66.887323943661954</v>
      </c>
      <c r="X231" s="53">
        <f>'dynamic scaling metrics'!DN231</f>
        <v>56.77640845070421</v>
      </c>
      <c r="Y231" s="53">
        <f>'dynamic scaling metrics'!DO231</f>
        <v>53.114436619718312</v>
      </c>
      <c r="Z231" s="63">
        <f>'dynamic scaling metrics'!DP231</f>
        <v>44.882042253521121</v>
      </c>
      <c r="AA231" s="58"/>
      <c r="AB231" s="54"/>
      <c r="AC231" s="56"/>
      <c r="AD231" s="53"/>
      <c r="AE231" s="53"/>
      <c r="AF231" s="53"/>
      <c r="AG231" s="53"/>
      <c r="AH231" s="53"/>
      <c r="AI231" s="53"/>
      <c r="AK231" s="27"/>
    </row>
    <row r="232" spans="17:43" ht="31.95" customHeight="1" x14ac:dyDescent="0.4">
      <c r="R232" s="25">
        <v>0.375</v>
      </c>
      <c r="S232" s="62">
        <f>'dynamic scaling metrics'!DQ231</f>
        <v>76.23239436619717</v>
      </c>
      <c r="T232" s="53">
        <f>'dynamic scaling metrics'!DR231</f>
        <v>73.698063380281681</v>
      </c>
      <c r="U232" s="53">
        <f>'dynamic scaling metrics'!DS231</f>
        <v>70.548415492957744</v>
      </c>
      <c r="V232" s="53">
        <f>'dynamic scaling metrics'!DT231</f>
        <v>58.955105633802816</v>
      </c>
      <c r="W232" s="53">
        <f>'dynamic scaling metrics'!DU231</f>
        <v>61.992957746478865</v>
      </c>
      <c r="X232" s="53">
        <f>'dynamic scaling metrics'!DV231</f>
        <v>52.960387323943657</v>
      </c>
      <c r="Y232" s="53">
        <f>'dynamic scaling metrics'!DW231</f>
        <v>50.56602112676056</v>
      </c>
      <c r="Z232" s="63">
        <f>'dynamic scaling metrics'!DX231</f>
        <v>43.724471830985912</v>
      </c>
      <c r="AA232" s="58"/>
      <c r="AB232" s="54"/>
      <c r="AC232" s="55"/>
      <c r="AD232" s="53"/>
      <c r="AE232" s="53"/>
      <c r="AF232" s="53"/>
      <c r="AG232" s="53"/>
      <c r="AH232" s="53"/>
      <c r="AI232" s="53"/>
      <c r="AK232" s="27"/>
    </row>
    <row r="233" spans="17:43" ht="31.95" customHeight="1" x14ac:dyDescent="0.4">
      <c r="R233" s="26">
        <v>0.5</v>
      </c>
      <c r="S233" s="62">
        <f>'dynamic scaling metrics'!DX231</f>
        <v>43.724471830985912</v>
      </c>
      <c r="T233" s="53">
        <f>'dynamic scaling metrics'!DY231</f>
        <v>68.309859154929555</v>
      </c>
      <c r="U233" s="53">
        <f>'dynamic scaling metrics'!DZ231</f>
        <v>66.334507042253506</v>
      </c>
      <c r="V233" s="53">
        <f>'dynamic scaling metrics'!EA231</f>
        <v>63.862676056338024</v>
      </c>
      <c r="W233" s="53">
        <f>'dynamic scaling metrics'!EB231</f>
        <v>53.897887323943657</v>
      </c>
      <c r="X233" s="53">
        <f>'dynamic scaling metrics'!EC231</f>
        <v>57.098591549295762</v>
      </c>
      <c r="Y233" s="53">
        <f>'dynamic scaling metrics'!ED231</f>
        <v>49.144366197183096</v>
      </c>
      <c r="Z233" s="63">
        <f>'dynamic scaling metrics'!EE231</f>
        <v>48.017605633802809</v>
      </c>
      <c r="AA233" s="58"/>
      <c r="AB233" s="54"/>
      <c r="AC233" s="56"/>
      <c r="AD233" s="53"/>
      <c r="AE233" s="53"/>
      <c r="AF233" s="53"/>
      <c r="AG233" s="53"/>
      <c r="AH233" s="53"/>
      <c r="AI233" s="53"/>
      <c r="AK233" s="27" t="str">
        <f t="shared" ref="AK233" si="106">Q229</f>
        <v>M5no2</v>
      </c>
    </row>
    <row r="234" spans="17:43" ht="31.95" customHeight="1" thickBot="1" x14ac:dyDescent="0.45">
      <c r="R234" s="25">
        <v>0.625</v>
      </c>
      <c r="S234" s="64">
        <f>'dynamic scaling metrics'!EF231</f>
        <v>42.566901408450704</v>
      </c>
      <c r="T234" s="65">
        <f>'dynamic scaling metrics'!EG231</f>
        <v>60.387323943661961</v>
      </c>
      <c r="U234" s="65">
        <f>'dynamic scaling metrics'!EH231</f>
        <v>58.970950704225345</v>
      </c>
      <c r="V234" s="65">
        <f>'dynamic scaling metrics'!EI231</f>
        <v>57.176936619718305</v>
      </c>
      <c r="W234" s="65">
        <f>'dynamic scaling metrics'!EJ231</f>
        <v>48.840669014084497</v>
      </c>
      <c r="X234" s="65">
        <f>'dynamic scaling metrics'!EK231</f>
        <v>52.204225352112672</v>
      </c>
      <c r="Y234" s="65">
        <f>'dynamic scaling metrics'!EL231</f>
        <v>45.328345070422536</v>
      </c>
      <c r="Z234" s="66">
        <f>'dynamic scaling metrics'!EM231</f>
        <v>45.469190140845058</v>
      </c>
      <c r="AA234" s="58"/>
      <c r="AB234">
        <v>0</v>
      </c>
      <c r="AC234" s="25">
        <v>0.125</v>
      </c>
      <c r="AD234" s="26">
        <v>0.25</v>
      </c>
      <c r="AE234" s="25">
        <v>0.375</v>
      </c>
      <c r="AF234" s="26">
        <v>0.5</v>
      </c>
      <c r="AG234" s="25">
        <v>0.625</v>
      </c>
      <c r="AH234" s="26">
        <v>0.75</v>
      </c>
      <c r="AI234" s="25">
        <v>0.875</v>
      </c>
      <c r="AK234" s="74" t="s">
        <v>107</v>
      </c>
      <c r="AL234">
        <f t="shared" ref="AL234" si="107">AVERAGE(U233:X234,AD235:AG235)</f>
        <v>54.298195422535201</v>
      </c>
      <c r="AN234" s="84"/>
      <c r="AQ234" s="84"/>
    </row>
    <row r="235" spans="17:43" ht="31.95" customHeight="1" x14ac:dyDescent="0.4">
      <c r="Q235" t="s">
        <v>48</v>
      </c>
      <c r="R235">
        <v>0</v>
      </c>
      <c r="S235" s="59">
        <f>'dynamic scaling metrics'!CS237</f>
        <v>100</v>
      </c>
      <c r="T235" s="60">
        <f>'dynamic scaling metrics'!CT237</f>
        <v>95.728571428571442</v>
      </c>
      <c r="U235" s="60">
        <f>'dynamic scaling metrics'!CU237</f>
        <v>90.471428571428561</v>
      </c>
      <c r="V235" s="60">
        <f>'dynamic scaling metrics'!CV237</f>
        <v>73.899999999999991</v>
      </c>
      <c r="W235" s="60">
        <f>'dynamic scaling metrics'!CW237</f>
        <v>76.342857142857142</v>
      </c>
      <c r="X235" s="60">
        <f>'dynamic scaling metrics'!CX237</f>
        <v>64.042857142857144</v>
      </c>
      <c r="Y235" s="60">
        <f>'dynamic scaling metrics'!CY237</f>
        <v>57.614285714285714</v>
      </c>
      <c r="Z235" s="61">
        <f>'dynamic scaling metrics'!CZ237</f>
        <v>46.442857142857136</v>
      </c>
      <c r="AA235" s="67">
        <f t="shared" ref="AA235:AA236" si="108">AA229</f>
        <v>0.75</v>
      </c>
      <c r="AB235" s="57">
        <f>'dynamic scaling metrics'!EN231</f>
        <v>41.409330985915489</v>
      </c>
      <c r="AC235" s="57">
        <f>'dynamic scaling metrics'!EO231</f>
        <v>52.464788732394361</v>
      </c>
      <c r="AD235" s="57">
        <f>'dynamic scaling metrics'!EP231</f>
        <v>51.607394366197177</v>
      </c>
      <c r="AE235" s="57">
        <f>'dynamic scaling metrics'!EQ231</f>
        <v>50.491197183098585</v>
      </c>
      <c r="AF235" s="57">
        <f>'dynamic scaling metrics'!ER231</f>
        <v>43.783450704225345</v>
      </c>
      <c r="AG235" s="57">
        <f>'dynamic scaling metrics'!ES231</f>
        <v>47.309859154929562</v>
      </c>
      <c r="AH235" s="57">
        <f>'dynamic scaling metrics'!ET231</f>
        <v>41.512323943661968</v>
      </c>
      <c r="AI235" s="57">
        <f>'dynamic scaling metrics'!EU231</f>
        <v>42.920774647887328</v>
      </c>
      <c r="AK235" s="27"/>
    </row>
    <row r="236" spans="17:43" ht="31.95" customHeight="1" x14ac:dyDescent="0.4">
      <c r="Q236" t="s">
        <v>95</v>
      </c>
      <c r="R236" s="25">
        <v>0.125</v>
      </c>
      <c r="S236" s="62">
        <f>'dynamic scaling metrics'!DA237</f>
        <v>92.142857142857139</v>
      </c>
      <c r="T236" s="53">
        <f>'dynamic scaling metrics'!DB237</f>
        <v>88.405357142857127</v>
      </c>
      <c r="U236" s="53">
        <f>'dynamic scaling metrics'!DC237</f>
        <v>83.805357142857133</v>
      </c>
      <c r="V236" s="53">
        <f>'dynamic scaling metrics'!DD237</f>
        <v>68.841071428571425</v>
      </c>
      <c r="W236" s="53">
        <f>'dynamic scaling metrics'!DE237</f>
        <v>71.442857142857136</v>
      </c>
      <c r="X236" s="53">
        <f>'dynamic scaling metrics'!DF237</f>
        <v>60.216071428571418</v>
      </c>
      <c r="Y236" s="53">
        <f>'dynamic scaling metrics'!DG237</f>
        <v>55.055357142857147</v>
      </c>
      <c r="Z236" s="63">
        <f>'dynamic scaling metrics'!DH237</f>
        <v>45.280357142857142</v>
      </c>
      <c r="AA236" s="68">
        <f t="shared" si="108"/>
        <v>0.875</v>
      </c>
      <c r="AB236" s="57">
        <f>'dynamic scaling metrics'!EV231</f>
        <v>40.25176056338028</v>
      </c>
      <c r="AC236" s="57">
        <f>'dynamic scaling metrics'!EW231</f>
        <v>44.54225352112676</v>
      </c>
      <c r="AD236" s="57">
        <f>'dynamic scaling metrics'!EX231</f>
        <v>44.243838028169009</v>
      </c>
      <c r="AE236" s="57">
        <f>'dynamic scaling metrics'!EY231</f>
        <v>43.805457746478872</v>
      </c>
      <c r="AF236" s="57">
        <f>'dynamic scaling metrics'!EZ231</f>
        <v>38.7262323943662</v>
      </c>
      <c r="AG236" s="57">
        <f>'dynamic scaling metrics'!FA231</f>
        <v>42.41549295774648</v>
      </c>
      <c r="AH236" s="57">
        <f>'dynamic scaling metrics'!FB231</f>
        <v>37.696302816901408</v>
      </c>
      <c r="AI236" s="57">
        <f>'dynamic scaling metrics'!FC231</f>
        <v>40.372359154929583</v>
      </c>
      <c r="AK236" s="27"/>
    </row>
    <row r="237" spans="17:43" ht="31.95" customHeight="1" x14ac:dyDescent="0.4">
      <c r="R237" s="26">
        <v>0.25</v>
      </c>
      <c r="S237" s="62">
        <f>'dynamic scaling metrics'!DI237</f>
        <v>84.285714285714292</v>
      </c>
      <c r="T237" s="53">
        <f>'dynamic scaling metrics'!DJ237</f>
        <v>81.082142857142856</v>
      </c>
      <c r="U237" s="53">
        <f>'dynamic scaling metrics'!DK237</f>
        <v>77.13928571428572</v>
      </c>
      <c r="V237" s="53">
        <f>'dynamic scaling metrics'!DL237</f>
        <v>63.782142857142865</v>
      </c>
      <c r="W237" s="53">
        <f>'dynamic scaling metrics'!DM237</f>
        <v>66.542857142857144</v>
      </c>
      <c r="X237" s="53">
        <f>'dynamic scaling metrics'!DN237</f>
        <v>56.389285714285705</v>
      </c>
      <c r="Y237" s="53">
        <f>'dynamic scaling metrics'!DO237</f>
        <v>52.496428571428567</v>
      </c>
      <c r="Z237" s="63">
        <f>'dynamic scaling metrics'!DP237</f>
        <v>44.11785714285714</v>
      </c>
      <c r="AA237" s="58"/>
      <c r="AB237" s="54"/>
      <c r="AC237" s="56"/>
      <c r="AD237" s="53"/>
      <c r="AE237" s="53"/>
      <c r="AF237" s="53"/>
      <c r="AG237" s="53"/>
      <c r="AH237" s="53"/>
      <c r="AI237" s="53"/>
      <c r="AK237" s="27"/>
    </row>
    <row r="238" spans="17:43" ht="31.95" customHeight="1" x14ac:dyDescent="0.4">
      <c r="R238" s="25">
        <v>0.375</v>
      </c>
      <c r="S238" s="62">
        <f>'dynamic scaling metrics'!DQ237</f>
        <v>76.428571428571431</v>
      </c>
      <c r="T238" s="53">
        <f>'dynamic scaling metrics'!DR237</f>
        <v>73.758928571428569</v>
      </c>
      <c r="U238" s="53">
        <f>'dynamic scaling metrics'!DS237</f>
        <v>70.473214285714292</v>
      </c>
      <c r="V238" s="53">
        <f>'dynamic scaling metrics'!DT237</f>
        <v>58.723214285714285</v>
      </c>
      <c r="W238" s="53">
        <f>'dynamic scaling metrics'!DU237</f>
        <v>61.642857142857146</v>
      </c>
      <c r="X238" s="53">
        <f>'dynamic scaling metrics'!DV237</f>
        <v>52.562499999999993</v>
      </c>
      <c r="Y238" s="53">
        <f>'dynamic scaling metrics'!DW237</f>
        <v>49.937500000000007</v>
      </c>
      <c r="Z238" s="63">
        <f>'dynamic scaling metrics'!DX237</f>
        <v>42.955357142857139</v>
      </c>
      <c r="AA238" s="58"/>
      <c r="AB238" s="54"/>
      <c r="AC238" s="55"/>
      <c r="AD238" s="53"/>
      <c r="AE238" s="53"/>
      <c r="AF238" s="53"/>
      <c r="AG238" s="53"/>
      <c r="AH238" s="53"/>
      <c r="AI238" s="53"/>
      <c r="AK238" s="27"/>
    </row>
    <row r="239" spans="17:43" ht="31.95" customHeight="1" x14ac:dyDescent="0.4">
      <c r="R239" s="26">
        <v>0.5</v>
      </c>
      <c r="S239" s="62">
        <f>'dynamic scaling metrics'!DX237</f>
        <v>42.955357142857139</v>
      </c>
      <c r="T239" s="53">
        <f>'dynamic scaling metrics'!DY237</f>
        <v>68.571428571428569</v>
      </c>
      <c r="U239" s="53">
        <f>'dynamic scaling metrics'!DZ237</f>
        <v>66.435714285714283</v>
      </c>
      <c r="V239" s="53">
        <f>'dynamic scaling metrics'!EA237</f>
        <v>63.80714285714285</v>
      </c>
      <c r="W239" s="53">
        <f>'dynamic scaling metrics'!EB237</f>
        <v>53.664285714285711</v>
      </c>
      <c r="X239" s="53">
        <f>'dynamic scaling metrics'!EC237</f>
        <v>56.742857142857147</v>
      </c>
      <c r="Y239" s="53">
        <f>'dynamic scaling metrics'!ED237</f>
        <v>48.735714285714295</v>
      </c>
      <c r="Z239" s="63">
        <f>'dynamic scaling metrics'!EE237</f>
        <v>47.378571428571426</v>
      </c>
      <c r="AA239" s="58"/>
      <c r="AB239" s="54"/>
      <c r="AC239" s="56"/>
      <c r="AD239" s="53"/>
      <c r="AE239" s="53"/>
      <c r="AF239" s="53"/>
      <c r="AG239" s="53"/>
      <c r="AH239" s="53"/>
      <c r="AI239" s="53"/>
      <c r="AK239" s="27" t="str">
        <f t="shared" ref="AK239" si="109">Q235</f>
        <v>M5no3</v>
      </c>
    </row>
    <row r="240" spans="17:43" ht="31.95" customHeight="1" thickBot="1" x14ac:dyDescent="0.45">
      <c r="R240" s="25">
        <v>0.625</v>
      </c>
      <c r="S240" s="64">
        <f>'dynamic scaling metrics'!EF237</f>
        <v>41.792857142857137</v>
      </c>
      <c r="T240" s="65">
        <f>'dynamic scaling metrics'!EG237</f>
        <v>60.714285714285722</v>
      </c>
      <c r="U240" s="65">
        <f>'dynamic scaling metrics'!EH237</f>
        <v>59.112499999999997</v>
      </c>
      <c r="V240" s="65">
        <f>'dynamic scaling metrics'!EI237</f>
        <v>57.141071428571429</v>
      </c>
      <c r="W240" s="65">
        <f>'dynamic scaling metrics'!EJ237</f>
        <v>48.605357142857137</v>
      </c>
      <c r="X240" s="65">
        <f>'dynamic scaling metrics'!EK237</f>
        <v>51.842857142857142</v>
      </c>
      <c r="Y240" s="65">
        <f>'dynamic scaling metrics'!EL237</f>
        <v>44.908928571428575</v>
      </c>
      <c r="Z240" s="66">
        <f>'dynamic scaling metrics'!EM237</f>
        <v>44.81964285714286</v>
      </c>
      <c r="AA240" s="58"/>
      <c r="AB240">
        <v>0</v>
      </c>
      <c r="AC240" s="25">
        <v>0.125</v>
      </c>
      <c r="AD240" s="26">
        <v>0.25</v>
      </c>
      <c r="AE240" s="25">
        <v>0.375</v>
      </c>
      <c r="AF240" s="26">
        <v>0.5</v>
      </c>
      <c r="AG240" s="25">
        <v>0.625</v>
      </c>
      <c r="AH240" s="26">
        <v>0.75</v>
      </c>
      <c r="AI240" s="25">
        <v>0.875</v>
      </c>
      <c r="AK240" s="74" t="s">
        <v>107</v>
      </c>
      <c r="AL240">
        <f t="shared" ref="AL240" si="110">AVERAGE(U239:X240,AD241:AG241)</f>
        <v>54.175446428571433</v>
      </c>
      <c r="AN240" s="84"/>
      <c r="AQ240" s="84"/>
    </row>
    <row r="241" spans="17:43" ht="31.95" customHeight="1" x14ac:dyDescent="0.4">
      <c r="Q241" t="s">
        <v>49</v>
      </c>
      <c r="R241">
        <v>0</v>
      </c>
      <c r="S241" s="59">
        <f>'dynamic scaling metrics'!CS243</f>
        <v>99.999999999999986</v>
      </c>
      <c r="T241" s="60">
        <f>'dynamic scaling metrics'!CT243</f>
        <v>94.330985915492931</v>
      </c>
      <c r="U241" s="60">
        <f>'dynamic scaling metrics'!CU243</f>
        <v>87.922535211267601</v>
      </c>
      <c r="V241" s="60">
        <f>'dynamic scaling metrics'!CV243</f>
        <v>70.528169014084511</v>
      </c>
      <c r="W241" s="60">
        <f>'dynamic scaling metrics'!CW243</f>
        <v>72.394366197183089</v>
      </c>
      <c r="X241" s="60">
        <f>'dynamic scaling metrics'!CX243</f>
        <v>60.176056338028168</v>
      </c>
      <c r="Y241" s="60">
        <f>'dynamic scaling metrics'!CY243</f>
        <v>53.41549295774648</v>
      </c>
      <c r="Z241" s="61">
        <f>'dynamic scaling metrics'!CZ243</f>
        <v>42.570422535211264</v>
      </c>
      <c r="AA241" s="67">
        <f t="shared" ref="AA241:AA242" si="111">AA235</f>
        <v>0.75</v>
      </c>
      <c r="AB241" s="57">
        <f>'dynamic scaling metrics'!EN237</f>
        <v>40.630357142857143</v>
      </c>
      <c r="AC241" s="57">
        <f>'dynamic scaling metrics'!EO237</f>
        <v>52.857142857142861</v>
      </c>
      <c r="AD241" s="57">
        <f>'dynamic scaling metrics'!EP237</f>
        <v>51.789285714285711</v>
      </c>
      <c r="AE241" s="57">
        <f>'dynamic scaling metrics'!EQ237</f>
        <v>50.474999999999994</v>
      </c>
      <c r="AF241" s="57">
        <f>'dynamic scaling metrics'!ER237</f>
        <v>43.546428571428578</v>
      </c>
      <c r="AG241" s="57">
        <f>'dynamic scaling metrics'!ES237</f>
        <v>46.94285714285715</v>
      </c>
      <c r="AH241" s="57">
        <f>'dynamic scaling metrics'!ET237</f>
        <v>41.082142857142863</v>
      </c>
      <c r="AI241" s="57">
        <f>'dynamic scaling metrics'!EU237</f>
        <v>42.260714285714286</v>
      </c>
      <c r="AK241" s="27"/>
    </row>
    <row r="242" spans="17:43" ht="31.95" customHeight="1" x14ac:dyDescent="0.4">
      <c r="Q242" t="s">
        <v>95</v>
      </c>
      <c r="R242" s="25">
        <v>0.125</v>
      </c>
      <c r="S242" s="62">
        <f>'dynamic scaling metrics'!DA243</f>
        <v>93.309859154929555</v>
      </c>
      <c r="T242" s="53">
        <f>'dynamic scaling metrics'!DB243</f>
        <v>88.382042253521092</v>
      </c>
      <c r="U242" s="53">
        <f>'dynamic scaling metrics'!DC243</f>
        <v>82.804577464788707</v>
      </c>
      <c r="V242" s="53">
        <f>'dynamic scaling metrics'!DD243</f>
        <v>67.029929577464785</v>
      </c>
      <c r="W242" s="53">
        <f>'dynamic scaling metrics'!DE243</f>
        <v>69.267605633802802</v>
      </c>
      <c r="X242" s="53">
        <f>'dynamic scaling metrics'!DF243</f>
        <v>57.998239436619698</v>
      </c>
      <c r="Y242" s="53">
        <f>'dynamic scaling metrics'!DG243</f>
        <v>52.698943661971825</v>
      </c>
      <c r="Z242" s="63">
        <f>'dynamic scaling metrics'!DH243</f>
        <v>43.223591549295769</v>
      </c>
      <c r="AA242" s="68">
        <f t="shared" si="111"/>
        <v>0.875</v>
      </c>
      <c r="AB242" s="57">
        <f>'dynamic scaling metrics'!EV237</f>
        <v>39.467857142857135</v>
      </c>
      <c r="AC242" s="57">
        <f>'dynamic scaling metrics'!EW237</f>
        <v>44.999999999999993</v>
      </c>
      <c r="AD242" s="57">
        <f>'dynamic scaling metrics'!EX237</f>
        <v>44.466071428571418</v>
      </c>
      <c r="AE242" s="57">
        <f>'dynamic scaling metrics'!EY237</f>
        <v>43.808928571428567</v>
      </c>
      <c r="AF242" s="57">
        <f>'dynamic scaling metrics'!EZ237</f>
        <v>38.487499999999997</v>
      </c>
      <c r="AG242" s="57">
        <f>'dynamic scaling metrics'!FA237</f>
        <v>42.042857142857137</v>
      </c>
      <c r="AH242" s="57">
        <f>'dynamic scaling metrics'!FB237</f>
        <v>37.255357142857143</v>
      </c>
      <c r="AI242" s="57">
        <f>'dynamic scaling metrics'!FC237</f>
        <v>39.701785714285705</v>
      </c>
      <c r="AK242" s="27"/>
    </row>
    <row r="243" spans="17:43" ht="31.95" customHeight="1" x14ac:dyDescent="0.4">
      <c r="R243" s="26">
        <v>0.25</v>
      </c>
      <c r="S243" s="62">
        <f>'dynamic scaling metrics'!DI243</f>
        <v>86.619718309859138</v>
      </c>
      <c r="T243" s="53">
        <f>'dynamic scaling metrics'!DJ243</f>
        <v>82.433098591549282</v>
      </c>
      <c r="U243" s="53">
        <f>'dynamic scaling metrics'!DK243</f>
        <v>77.686619718309856</v>
      </c>
      <c r="V243" s="53">
        <f>'dynamic scaling metrics'!DL243</f>
        <v>63.531690140845065</v>
      </c>
      <c r="W243" s="53">
        <f>'dynamic scaling metrics'!DM243</f>
        <v>66.140845070422529</v>
      </c>
      <c r="X243" s="53">
        <f>'dynamic scaling metrics'!DN243</f>
        <v>55.820422535211257</v>
      </c>
      <c r="Y243" s="53">
        <f>'dynamic scaling metrics'!DO243</f>
        <v>51.982394366197177</v>
      </c>
      <c r="Z243" s="63">
        <f>'dynamic scaling metrics'!DP243</f>
        <v>43.87676056338028</v>
      </c>
      <c r="AA243" s="58"/>
      <c r="AB243" s="54"/>
      <c r="AC243" s="56"/>
      <c r="AD243" s="53"/>
      <c r="AE243" s="53"/>
      <c r="AF243" s="53"/>
      <c r="AG243" s="53"/>
      <c r="AH243" s="53"/>
      <c r="AI243" s="53"/>
      <c r="AK243" s="27"/>
    </row>
    <row r="244" spans="17:43" ht="31.95" customHeight="1" x14ac:dyDescent="0.4">
      <c r="R244" s="25">
        <v>0.375</v>
      </c>
      <c r="S244" s="62">
        <f>'dynamic scaling metrics'!DQ243</f>
        <v>79.929577464788721</v>
      </c>
      <c r="T244" s="53">
        <f>'dynamic scaling metrics'!DR243</f>
        <v>76.484154929577457</v>
      </c>
      <c r="U244" s="53">
        <f>'dynamic scaling metrics'!DS243</f>
        <v>72.568661971830963</v>
      </c>
      <c r="V244" s="53">
        <f>'dynamic scaling metrics'!DT243</f>
        <v>60.033450704225352</v>
      </c>
      <c r="W244" s="53">
        <f>'dynamic scaling metrics'!DU243</f>
        <v>63.014084507042256</v>
      </c>
      <c r="X244" s="53">
        <f>'dynamic scaling metrics'!DV243</f>
        <v>53.642605633802802</v>
      </c>
      <c r="Y244" s="53">
        <f>'dynamic scaling metrics'!DW243</f>
        <v>51.265845070422522</v>
      </c>
      <c r="Z244" s="63">
        <f>'dynamic scaling metrics'!DX243</f>
        <v>44.529929577464785</v>
      </c>
      <c r="AA244" s="58"/>
      <c r="AB244" s="54"/>
      <c r="AC244" s="55"/>
      <c r="AD244" s="53"/>
      <c r="AE244" s="53"/>
      <c r="AF244" s="53"/>
      <c r="AG244" s="53"/>
      <c r="AH244" s="53"/>
      <c r="AI244" s="53"/>
      <c r="AK244" s="27"/>
    </row>
    <row r="245" spans="17:43" ht="31.95" customHeight="1" x14ac:dyDescent="0.4">
      <c r="R245" s="26">
        <v>0.5</v>
      </c>
      <c r="S245" s="62">
        <f>'dynamic scaling metrics'!DX243</f>
        <v>44.529929577464785</v>
      </c>
      <c r="T245" s="53">
        <f>'dynamic scaling metrics'!DY243</f>
        <v>73.239436619718305</v>
      </c>
      <c r="U245" s="53">
        <f>'dynamic scaling metrics'!DZ243</f>
        <v>70.535211267605632</v>
      </c>
      <c r="V245" s="53">
        <f>'dynamic scaling metrics'!EA243</f>
        <v>67.450704225352112</v>
      </c>
      <c r="W245" s="53">
        <f>'dynamic scaling metrics'!EB243</f>
        <v>56.535211267605632</v>
      </c>
      <c r="X245" s="53">
        <f>'dynamic scaling metrics'!EC243</f>
        <v>59.887323943661961</v>
      </c>
      <c r="Y245" s="53">
        <f>'dynamic scaling metrics'!ED243</f>
        <v>51.464788732394361</v>
      </c>
      <c r="Z245" s="63">
        <f>'dynamic scaling metrics'!EE243</f>
        <v>50.549295774647881</v>
      </c>
      <c r="AA245" s="58"/>
      <c r="AB245" s="54"/>
      <c r="AC245" s="56"/>
      <c r="AD245" s="53"/>
      <c r="AE245" s="53"/>
      <c r="AF245" s="53"/>
      <c r="AG245" s="53"/>
      <c r="AH245" s="53"/>
      <c r="AI245" s="53"/>
      <c r="AK245" s="27" t="str">
        <f t="shared" ref="AK245" si="112">Q241</f>
        <v>M5no4</v>
      </c>
    </row>
    <row r="246" spans="17:43" ht="31.95" customHeight="1" thickBot="1" x14ac:dyDescent="0.45">
      <c r="R246" s="25">
        <v>0.625</v>
      </c>
      <c r="S246" s="64">
        <f>'dynamic scaling metrics'!EF243</f>
        <v>45.183098591549289</v>
      </c>
      <c r="T246" s="65">
        <f>'dynamic scaling metrics'!EG243</f>
        <v>66.549295774647874</v>
      </c>
      <c r="U246" s="65">
        <f>'dynamic scaling metrics'!EH243</f>
        <v>64.586267605633793</v>
      </c>
      <c r="V246" s="65">
        <f>'dynamic scaling metrics'!EI243</f>
        <v>62.332746478873226</v>
      </c>
      <c r="W246" s="65">
        <f>'dynamic scaling metrics'!EJ243</f>
        <v>53.036971830985905</v>
      </c>
      <c r="X246" s="65">
        <f>'dynamic scaling metrics'!EK243</f>
        <v>56.760563380281688</v>
      </c>
      <c r="Y246" s="65">
        <f>'dynamic scaling metrics'!EL243</f>
        <v>49.286971830985919</v>
      </c>
      <c r="Z246" s="66">
        <f>'dynamic scaling metrics'!EM243</f>
        <v>49.83274647887324</v>
      </c>
      <c r="AA246" s="58"/>
      <c r="AB246">
        <v>0</v>
      </c>
      <c r="AC246" s="25">
        <v>0.125</v>
      </c>
      <c r="AD246" s="26">
        <v>0.25</v>
      </c>
      <c r="AE246" s="25">
        <v>0.375</v>
      </c>
      <c r="AF246" s="26">
        <v>0.5</v>
      </c>
      <c r="AG246" s="25">
        <v>0.625</v>
      </c>
      <c r="AH246" s="26">
        <v>0.75</v>
      </c>
      <c r="AI246" s="25">
        <v>0.875</v>
      </c>
      <c r="AK246" s="74" t="s">
        <v>107</v>
      </c>
      <c r="AL246">
        <f t="shared" ref="AL246" si="113">AVERAGE(U245:X246,AD247:AG247)</f>
        <v>59.179137323943657</v>
      </c>
      <c r="AN246" s="84"/>
      <c r="AQ246" s="84"/>
    </row>
    <row r="247" spans="17:43" ht="31.95" customHeight="1" x14ac:dyDescent="0.4">
      <c r="Q247" t="s">
        <v>50</v>
      </c>
      <c r="R247">
        <v>0</v>
      </c>
      <c r="S247" s="59">
        <f>'dynamic scaling metrics'!CS249</f>
        <v>99.999999999999986</v>
      </c>
      <c r="T247" s="60">
        <f>'dynamic scaling metrics'!CT249</f>
        <v>94.330985915492931</v>
      </c>
      <c r="U247" s="60">
        <f>'dynamic scaling metrics'!CU249</f>
        <v>87.922535211267601</v>
      </c>
      <c r="V247" s="60">
        <f>'dynamic scaling metrics'!CV249</f>
        <v>70.528169014084511</v>
      </c>
      <c r="W247" s="60">
        <f>'dynamic scaling metrics'!CW249</f>
        <v>72.394366197183089</v>
      </c>
      <c r="X247" s="60">
        <f>'dynamic scaling metrics'!CX249</f>
        <v>60.176056338028168</v>
      </c>
      <c r="Y247" s="60">
        <f>'dynamic scaling metrics'!CY249</f>
        <v>53.41549295774648</v>
      </c>
      <c r="Z247" s="61">
        <f>'dynamic scaling metrics'!CZ249</f>
        <v>42.570422535211264</v>
      </c>
      <c r="AA247" s="67">
        <f t="shared" ref="AA247:AA248" si="114">AA241</f>
        <v>0.75</v>
      </c>
      <c r="AB247" s="57">
        <f>'dynamic scaling metrics'!EN243</f>
        <v>45.836267605633807</v>
      </c>
      <c r="AC247" s="57">
        <f>'dynamic scaling metrics'!EO243</f>
        <v>59.859154929577457</v>
      </c>
      <c r="AD247" s="57">
        <f>'dynamic scaling metrics'!EP243</f>
        <v>58.637323943661961</v>
      </c>
      <c r="AE247" s="57">
        <f>'dynamic scaling metrics'!EQ243</f>
        <v>57.214788732394361</v>
      </c>
      <c r="AF247" s="57">
        <f>'dynamic scaling metrics'!ER243</f>
        <v>49.5387323943662</v>
      </c>
      <c r="AG247" s="57">
        <f>'dynamic scaling metrics'!ES243</f>
        <v>53.633802816901408</v>
      </c>
      <c r="AH247" s="57">
        <f>'dynamic scaling metrics'!ET243</f>
        <v>47.109154929577457</v>
      </c>
      <c r="AI247" s="57">
        <f>'dynamic scaling metrics'!EU243</f>
        <v>49.116197183098585</v>
      </c>
      <c r="AK247" s="27"/>
    </row>
    <row r="248" spans="17:43" ht="31.95" customHeight="1" x14ac:dyDescent="0.4">
      <c r="Q248" t="s">
        <v>95</v>
      </c>
      <c r="R248" s="25">
        <v>0.125</v>
      </c>
      <c r="S248" s="62">
        <f>'dynamic scaling metrics'!DA249</f>
        <v>92.077464788732385</v>
      </c>
      <c r="T248" s="53">
        <f>'dynamic scaling metrics'!DB249</f>
        <v>87.117077464788693</v>
      </c>
      <c r="U248" s="53">
        <f>'dynamic scaling metrics'!DC249</f>
        <v>81.509683098591537</v>
      </c>
      <c r="V248" s="53">
        <f>'dynamic scaling metrics'!DD249</f>
        <v>65.831866197183075</v>
      </c>
      <c r="W248" s="53">
        <f>'dynamic scaling metrics'!DE249</f>
        <v>67.922535211267586</v>
      </c>
      <c r="X248" s="53">
        <f>'dynamic scaling metrics'!DF249</f>
        <v>56.7737676056338</v>
      </c>
      <c r="Y248" s="53">
        <f>'dynamic scaling metrics'!DG249</f>
        <v>51.316021126760553</v>
      </c>
      <c r="Z248" s="63">
        <f>'dynamic scaling metrics'!DH249</f>
        <v>41.826584507042242</v>
      </c>
      <c r="AA248" s="68">
        <f t="shared" si="114"/>
        <v>0.875</v>
      </c>
      <c r="AB248" s="57">
        <f>'dynamic scaling metrics'!EV243</f>
        <v>46.489436619718298</v>
      </c>
      <c r="AC248" s="57">
        <f>'dynamic scaling metrics'!EW243</f>
        <v>53.16901408450704</v>
      </c>
      <c r="AD248" s="57">
        <f>'dynamic scaling metrics'!EX243</f>
        <v>52.688380281690144</v>
      </c>
      <c r="AE248" s="57">
        <f>'dynamic scaling metrics'!EY243</f>
        <v>52.096830985915496</v>
      </c>
      <c r="AF248" s="57">
        <f>'dynamic scaling metrics'!EZ243</f>
        <v>46.04049295774648</v>
      </c>
      <c r="AG248" s="57">
        <f>'dynamic scaling metrics'!FA243</f>
        <v>50.507042253521128</v>
      </c>
      <c r="AH248" s="57">
        <f>'dynamic scaling metrics'!FB243</f>
        <v>44.931338028169023</v>
      </c>
      <c r="AI248" s="57">
        <f>'dynamic scaling metrics'!FC243</f>
        <v>48.399647887323937</v>
      </c>
      <c r="AK248" s="27"/>
    </row>
    <row r="249" spans="17:43" ht="31.95" customHeight="1" x14ac:dyDescent="0.4">
      <c r="R249" s="26">
        <v>0.25</v>
      </c>
      <c r="S249" s="62">
        <f>'dynamic scaling metrics'!DI249</f>
        <v>84.15492957746477</v>
      </c>
      <c r="T249" s="53">
        <f>'dynamic scaling metrics'!DJ249</f>
        <v>79.903169014084483</v>
      </c>
      <c r="U249" s="53">
        <f>'dynamic scaling metrics'!DK249</f>
        <v>75.096830985915474</v>
      </c>
      <c r="V249" s="53">
        <f>'dynamic scaling metrics'!DL249</f>
        <v>61.135563380281681</v>
      </c>
      <c r="W249" s="53">
        <f>'dynamic scaling metrics'!DM249</f>
        <v>63.450704225352098</v>
      </c>
      <c r="X249" s="53">
        <f>'dynamic scaling metrics'!DN249</f>
        <v>53.371478873239433</v>
      </c>
      <c r="Y249" s="53">
        <f>'dynamic scaling metrics'!DO249</f>
        <v>49.216549295774634</v>
      </c>
      <c r="Z249" s="63">
        <f>'dynamic scaling metrics'!DP249</f>
        <v>41.082746478873233</v>
      </c>
      <c r="AA249" s="58"/>
      <c r="AB249" s="54"/>
      <c r="AC249" s="56"/>
      <c r="AD249" s="53"/>
      <c r="AE249" s="53"/>
      <c r="AF249" s="53"/>
      <c r="AG249" s="53"/>
      <c r="AH249" s="53"/>
      <c r="AI249" s="53"/>
      <c r="AK249" s="27"/>
    </row>
    <row r="250" spans="17:43" ht="31.95" customHeight="1" thickBot="1" x14ac:dyDescent="0.45">
      <c r="R250" s="25">
        <v>0.375</v>
      </c>
      <c r="S250" s="62">
        <f>'dynamic scaling metrics'!DQ249</f>
        <v>76.23239436619717</v>
      </c>
      <c r="T250" s="53">
        <f>'dynamic scaling metrics'!DR249</f>
        <v>72.689260563380273</v>
      </c>
      <c r="U250" s="53">
        <f>'dynamic scaling metrics'!DS249</f>
        <v>68.683978873239425</v>
      </c>
      <c r="V250" s="53">
        <f>'dynamic scaling metrics'!DT249</f>
        <v>56.439260563380273</v>
      </c>
      <c r="W250" s="53">
        <f>'dynamic scaling metrics'!DU249</f>
        <v>58.978873239436616</v>
      </c>
      <c r="X250" s="53">
        <f>'dynamic scaling metrics'!DV249</f>
        <v>49.969190140845072</v>
      </c>
      <c r="Y250" s="53">
        <f>'dynamic scaling metrics'!DW249</f>
        <v>47.117077464788728</v>
      </c>
      <c r="Z250" s="63">
        <f>'dynamic scaling metrics'!DX249</f>
        <v>40.338908450704224</v>
      </c>
      <c r="AA250" s="58"/>
      <c r="AB250" s="54"/>
      <c r="AC250" s="55"/>
      <c r="AD250" s="53"/>
      <c r="AE250" s="53"/>
      <c r="AF250" s="53"/>
      <c r="AG250" s="53"/>
      <c r="AH250" s="53"/>
      <c r="AI250" s="53"/>
      <c r="AK250" s="27"/>
    </row>
    <row r="251" spans="17:43" ht="31.95" customHeight="1" x14ac:dyDescent="0.4">
      <c r="R251" s="26">
        <v>0.5</v>
      </c>
      <c r="S251" s="62">
        <f>'dynamic scaling metrics'!DX249</f>
        <v>40.338908450704224</v>
      </c>
      <c r="T251" s="53">
        <f>'dynamic scaling metrics'!DY249</f>
        <v>68.309859154929555</v>
      </c>
      <c r="U251" s="53">
        <f>'dynamic scaling metrics'!DZ249</f>
        <v>65.475352112676035</v>
      </c>
      <c r="V251" s="53">
        <f>'dynamic scaling metrics'!EA249</f>
        <v>62.271126760563362</v>
      </c>
      <c r="W251" s="53">
        <f>'dynamic scaling metrics'!EB249</f>
        <v>51.742957746478858</v>
      </c>
      <c r="X251" s="53">
        <f>'dynamic scaling metrics'!EC249</f>
        <v>54.507042253521121</v>
      </c>
      <c r="Y251" s="53">
        <f>'dynamic scaling metrics'!ED249</f>
        <v>46.566901408450697</v>
      </c>
      <c r="Z251" s="63">
        <f>'dynamic scaling metrics'!EE249</f>
        <v>45.017605633802809</v>
      </c>
      <c r="AA251" s="58"/>
      <c r="AB251" s="54"/>
      <c r="AC251" s="56"/>
      <c r="AD251" s="53"/>
      <c r="AE251" s="53"/>
      <c r="AF251" s="53"/>
      <c r="AG251" s="53"/>
      <c r="AH251" s="53"/>
      <c r="AI251" s="53"/>
      <c r="AK251" s="75" t="str">
        <f t="shared" ref="AK251" si="115">Q247</f>
        <v>M5no5</v>
      </c>
    </row>
    <row r="252" spans="17:43" ht="31.95" customHeight="1" thickBot="1" x14ac:dyDescent="0.45">
      <c r="R252" s="25">
        <v>0.625</v>
      </c>
      <c r="S252" s="64">
        <f>'dynamic scaling metrics'!EF249</f>
        <v>39.595070422535208</v>
      </c>
      <c r="T252" s="65">
        <f>'dynamic scaling metrics'!EG249</f>
        <v>60.387323943661961</v>
      </c>
      <c r="U252" s="65">
        <f>'dynamic scaling metrics'!EH249</f>
        <v>58.261443661971811</v>
      </c>
      <c r="V252" s="65">
        <f>'dynamic scaling metrics'!EI249</f>
        <v>55.858274647887313</v>
      </c>
      <c r="W252" s="65">
        <f>'dynamic scaling metrics'!EJ249</f>
        <v>47.046654929577464</v>
      </c>
      <c r="X252" s="65">
        <f>'dynamic scaling metrics'!EK249</f>
        <v>50.035211267605632</v>
      </c>
      <c r="Y252" s="65">
        <f>'dynamic scaling metrics'!EL249</f>
        <v>43.164612676056329</v>
      </c>
      <c r="Z252" s="66">
        <f>'dynamic scaling metrics'!EM249</f>
        <v>42.918133802816897</v>
      </c>
      <c r="AA252" s="58"/>
      <c r="AB252">
        <v>0</v>
      </c>
      <c r="AC252" s="25">
        <v>0.125</v>
      </c>
      <c r="AD252" s="26">
        <v>0.25</v>
      </c>
      <c r="AE252" s="25">
        <v>0.375</v>
      </c>
      <c r="AF252" s="26">
        <v>0.5</v>
      </c>
      <c r="AG252" s="25">
        <v>0.625</v>
      </c>
      <c r="AH252" s="26">
        <v>0.75</v>
      </c>
      <c r="AI252" s="25">
        <v>0.875</v>
      </c>
      <c r="AK252" s="76" t="s">
        <v>107</v>
      </c>
      <c r="AL252">
        <f t="shared" ref="AL252" si="116">AVERAGE(U251:X252,AD253:AG253)</f>
        <v>52.800396126760553</v>
      </c>
      <c r="AN252" s="84"/>
      <c r="AQ252" s="84"/>
    </row>
    <row r="253" spans="17:43" ht="31.95" customHeight="1" x14ac:dyDescent="0.4">
      <c r="Q253" t="s">
        <v>51</v>
      </c>
      <c r="R253">
        <v>0</v>
      </c>
      <c r="S253" s="59">
        <f>'dynamic scaling metrics'!CS255</f>
        <v>99.999999999999986</v>
      </c>
      <c r="T253" s="60">
        <f>'dynamic scaling metrics'!CT255</f>
        <v>94.330985915492931</v>
      </c>
      <c r="U253" s="60">
        <f>'dynamic scaling metrics'!CU255</f>
        <v>87.922535211267601</v>
      </c>
      <c r="V253" s="60">
        <f>'dynamic scaling metrics'!CV255</f>
        <v>70.528169014084511</v>
      </c>
      <c r="W253" s="60">
        <f>'dynamic scaling metrics'!CW255</f>
        <v>72.394366197183089</v>
      </c>
      <c r="X253" s="60">
        <f>'dynamic scaling metrics'!CX255</f>
        <v>60.176056338028168</v>
      </c>
      <c r="Y253" s="60">
        <f>'dynamic scaling metrics'!CY255</f>
        <v>53.41549295774648</v>
      </c>
      <c r="Z253" s="61">
        <f>'dynamic scaling metrics'!CZ255</f>
        <v>42.570422535211264</v>
      </c>
      <c r="AA253" s="67">
        <f t="shared" ref="AA253:AA254" si="117">AA247</f>
        <v>0.75</v>
      </c>
      <c r="AB253" s="57">
        <f>'dynamic scaling metrics'!EN249</f>
        <v>38.8512323943662</v>
      </c>
      <c r="AC253" s="57">
        <f>'dynamic scaling metrics'!EO249</f>
        <v>52.464788732394361</v>
      </c>
      <c r="AD253" s="57">
        <f>'dynamic scaling metrics'!EP249</f>
        <v>51.047535211267601</v>
      </c>
      <c r="AE253" s="57">
        <f>'dynamic scaling metrics'!EQ249</f>
        <v>49.445422535211272</v>
      </c>
      <c r="AF253" s="57">
        <f>'dynamic scaling metrics'!ER249</f>
        <v>42.350352112676049</v>
      </c>
      <c r="AG253" s="57">
        <f>'dynamic scaling metrics'!ES249</f>
        <v>45.563380281690144</v>
      </c>
      <c r="AH253" s="57">
        <f>'dynamic scaling metrics'!ET249</f>
        <v>39.762323943661976</v>
      </c>
      <c r="AI253" s="57">
        <f>'dynamic scaling metrics'!EU249</f>
        <v>40.818661971830984</v>
      </c>
      <c r="AK253" s="27"/>
    </row>
    <row r="254" spans="17:43" ht="31.95" customHeight="1" x14ac:dyDescent="0.4">
      <c r="Q254" t="s">
        <v>95</v>
      </c>
      <c r="R254" s="25">
        <v>0.125</v>
      </c>
      <c r="S254" s="62">
        <f>'dynamic scaling metrics'!DA255</f>
        <v>92.077464788732385</v>
      </c>
      <c r="T254" s="53">
        <f>'dynamic scaling metrics'!DB255</f>
        <v>87.149647887323923</v>
      </c>
      <c r="U254" s="53">
        <f>'dynamic scaling metrics'!DC255</f>
        <v>81.572183098591537</v>
      </c>
      <c r="V254" s="53">
        <f>'dynamic scaling metrics'!DD255</f>
        <v>65.920774647887313</v>
      </c>
      <c r="W254" s="53">
        <f>'dynamic scaling metrics'!DE255</f>
        <v>68.035211267605632</v>
      </c>
      <c r="X254" s="53">
        <f>'dynamic scaling metrics'!DF255</f>
        <v>56.889084507042256</v>
      </c>
      <c r="Y254" s="53">
        <f>'dynamic scaling metrics'!DG255</f>
        <v>51.466549295774641</v>
      </c>
      <c r="Z254" s="63">
        <f>'dynamic scaling metrics'!DH255</f>
        <v>41.991197183098585</v>
      </c>
      <c r="AA254" s="68">
        <f t="shared" si="117"/>
        <v>0.875</v>
      </c>
      <c r="AB254" s="57">
        <f>'dynamic scaling metrics'!EV249</f>
        <v>38.107394366197184</v>
      </c>
      <c r="AC254" s="57">
        <f>'dynamic scaling metrics'!EW249</f>
        <v>44.54225352112676</v>
      </c>
      <c r="AD254" s="57">
        <f>'dynamic scaling metrics'!EX249</f>
        <v>43.833626760563376</v>
      </c>
      <c r="AE254" s="57">
        <f>'dynamic scaling metrics'!EY249</f>
        <v>43.032570422535208</v>
      </c>
      <c r="AF254" s="57">
        <f>'dynamic scaling metrics'!EZ249</f>
        <v>37.654049295774648</v>
      </c>
      <c r="AG254" s="57">
        <f>'dynamic scaling metrics'!FA249</f>
        <v>41.091549295774641</v>
      </c>
      <c r="AH254" s="57">
        <f>'dynamic scaling metrics'!FB249</f>
        <v>36.360035211267608</v>
      </c>
      <c r="AI254" s="57">
        <f>'dynamic scaling metrics'!FC249</f>
        <v>38.719190140845065</v>
      </c>
      <c r="AK254" s="27"/>
    </row>
    <row r="255" spans="17:43" ht="31.95" customHeight="1" x14ac:dyDescent="0.4">
      <c r="R255" s="26">
        <v>0.25</v>
      </c>
      <c r="S255" s="62">
        <f>'dynamic scaling metrics'!DI255</f>
        <v>84.15492957746477</v>
      </c>
      <c r="T255" s="53">
        <f>'dynamic scaling metrics'!DJ255</f>
        <v>79.9683098591549</v>
      </c>
      <c r="U255" s="53">
        <f>'dynamic scaling metrics'!DK255</f>
        <v>75.221830985915474</v>
      </c>
      <c r="V255" s="53">
        <f>'dynamic scaling metrics'!DL255</f>
        <v>61.313380281690137</v>
      </c>
      <c r="W255" s="53">
        <f>'dynamic scaling metrics'!DM255</f>
        <v>63.676056338028168</v>
      </c>
      <c r="X255" s="53">
        <f>'dynamic scaling metrics'!DN255</f>
        <v>53.602112676056329</v>
      </c>
      <c r="Y255" s="53">
        <f>'dynamic scaling metrics'!DO255</f>
        <v>49.517605633802816</v>
      </c>
      <c r="Z255" s="63">
        <f>'dynamic scaling metrics'!DP255</f>
        <v>41.411971830985905</v>
      </c>
      <c r="AA255" s="58"/>
      <c r="AB255" s="54"/>
      <c r="AC255" s="56"/>
      <c r="AD255" s="53"/>
      <c r="AE255" s="53"/>
      <c r="AF255" s="53"/>
      <c r="AG255" s="53"/>
      <c r="AH255" s="53"/>
      <c r="AI255" s="53"/>
      <c r="AK255" s="27"/>
    </row>
    <row r="256" spans="17:43" ht="31.95" customHeight="1" x14ac:dyDescent="0.4">
      <c r="R256" s="25">
        <v>0.375</v>
      </c>
      <c r="S256" s="62">
        <f>'dynamic scaling metrics'!DQ255</f>
        <v>76.23239436619717</v>
      </c>
      <c r="T256" s="53">
        <f>'dynamic scaling metrics'!DR255</f>
        <v>72.786971830985905</v>
      </c>
      <c r="U256" s="53">
        <f>'dynamic scaling metrics'!DS255</f>
        <v>68.87147887323944</v>
      </c>
      <c r="V256" s="53">
        <f>'dynamic scaling metrics'!DT255</f>
        <v>56.70598591549296</v>
      </c>
      <c r="W256" s="53">
        <f>'dynamic scaling metrics'!DU255</f>
        <v>59.316901408450697</v>
      </c>
      <c r="X256" s="53">
        <f>'dynamic scaling metrics'!DV255</f>
        <v>50.31514084507041</v>
      </c>
      <c r="Y256" s="53">
        <f>'dynamic scaling metrics'!DW255</f>
        <v>47.568661971830984</v>
      </c>
      <c r="Z256" s="63">
        <f>'dynamic scaling metrics'!DX255</f>
        <v>40.83274647887324</v>
      </c>
      <c r="AA256" s="58"/>
      <c r="AB256" s="54"/>
      <c r="AC256" s="55"/>
      <c r="AD256" s="53"/>
      <c r="AE256" s="53"/>
      <c r="AF256" s="53"/>
      <c r="AG256" s="53"/>
      <c r="AH256" s="53"/>
      <c r="AI256" s="53"/>
      <c r="AK256" s="27"/>
    </row>
    <row r="257" spans="17:43" ht="31.95" customHeight="1" x14ac:dyDescent="0.4">
      <c r="R257" s="26">
        <v>0.5</v>
      </c>
      <c r="S257" s="62">
        <f>'dynamic scaling metrics'!DX255</f>
        <v>40.83274647887324</v>
      </c>
      <c r="T257" s="53">
        <f>'dynamic scaling metrics'!DY255</f>
        <v>68.309859154929555</v>
      </c>
      <c r="U257" s="53">
        <f>'dynamic scaling metrics'!DZ255</f>
        <v>65.605633802816897</v>
      </c>
      <c r="V257" s="53">
        <f>'dynamic scaling metrics'!EA255</f>
        <v>62.521126760563384</v>
      </c>
      <c r="W257" s="53">
        <f>'dynamic scaling metrics'!EB255</f>
        <v>52.098591549295762</v>
      </c>
      <c r="X257" s="53">
        <f>'dynamic scaling metrics'!EC255</f>
        <v>54.957746478873233</v>
      </c>
      <c r="Y257" s="53">
        <f>'dynamic scaling metrics'!ED255</f>
        <v>47.028169014084497</v>
      </c>
      <c r="Z257" s="63">
        <f>'dynamic scaling metrics'!EE255</f>
        <v>45.619718309859152</v>
      </c>
      <c r="AA257" s="58"/>
      <c r="AB257" s="54"/>
      <c r="AC257" s="56"/>
      <c r="AD257" s="53"/>
      <c r="AE257" s="53"/>
      <c r="AF257" s="53"/>
      <c r="AG257" s="53"/>
      <c r="AH257" s="53"/>
      <c r="AI257" s="53"/>
      <c r="AK257" s="27" t="str">
        <f t="shared" ref="AK257" si="118">Q253</f>
        <v>M5no6</v>
      </c>
    </row>
    <row r="258" spans="17:43" ht="31.95" customHeight="1" thickBot="1" x14ac:dyDescent="0.45">
      <c r="R258" s="25">
        <v>0.625</v>
      </c>
      <c r="S258" s="64">
        <f>'dynamic scaling metrics'!EF255</f>
        <v>40.253521126760553</v>
      </c>
      <c r="T258" s="65">
        <f>'dynamic scaling metrics'!EG255</f>
        <v>60.387323943661961</v>
      </c>
      <c r="U258" s="65">
        <f>'dynamic scaling metrics'!EH255</f>
        <v>58.424295774647867</v>
      </c>
      <c r="V258" s="65">
        <f>'dynamic scaling metrics'!EI255</f>
        <v>56.170774647887313</v>
      </c>
      <c r="W258" s="65">
        <f>'dynamic scaling metrics'!EJ255</f>
        <v>47.491197183098592</v>
      </c>
      <c r="X258" s="65">
        <f>'dynamic scaling metrics'!EK255</f>
        <v>50.598591549295769</v>
      </c>
      <c r="Y258" s="65">
        <f>'dynamic scaling metrics'!EL255</f>
        <v>43.741197183098592</v>
      </c>
      <c r="Z258" s="66">
        <f>'dynamic scaling metrics'!EM255</f>
        <v>43.67077464788732</v>
      </c>
      <c r="AA258" s="58"/>
      <c r="AB258">
        <v>0</v>
      </c>
      <c r="AC258" s="25">
        <v>0.125</v>
      </c>
      <c r="AD258" s="26">
        <v>0.25</v>
      </c>
      <c r="AE258" s="25">
        <v>0.375</v>
      </c>
      <c r="AF258" s="26">
        <v>0.5</v>
      </c>
      <c r="AG258" s="25">
        <v>0.625</v>
      </c>
      <c r="AH258" s="26">
        <v>0.75</v>
      </c>
      <c r="AI258" s="25">
        <v>0.875</v>
      </c>
      <c r="AK258" s="74" t="s">
        <v>107</v>
      </c>
      <c r="AL258">
        <f t="shared" ref="AL258" si="119">AVERAGE(U257:X258,AD259:AG259)</f>
        <v>53.171214788732378</v>
      </c>
      <c r="AN258" s="84"/>
      <c r="AQ258" s="84"/>
    </row>
    <row r="259" spans="17:43" ht="31.95" customHeight="1" x14ac:dyDescent="0.4">
      <c r="Q259" t="s">
        <v>52</v>
      </c>
      <c r="R259">
        <v>0</v>
      </c>
      <c r="S259" s="59">
        <f>'dynamic scaling metrics'!CS261</f>
        <v>99.999999999999986</v>
      </c>
      <c r="T259" s="60">
        <f>'dynamic scaling metrics'!CT261</f>
        <v>94.422535211267586</v>
      </c>
      <c r="U259" s="60">
        <f>'dynamic scaling metrics'!CU261</f>
        <v>88.126760563380273</v>
      </c>
      <c r="V259" s="60">
        <f>'dynamic scaling metrics'!CV261</f>
        <v>70.873239436619713</v>
      </c>
      <c r="W259" s="60">
        <f>'dynamic scaling metrics'!CW261</f>
        <v>72.901408450704224</v>
      </c>
      <c r="X259" s="60">
        <f>'dynamic scaling metrics'!CX261</f>
        <v>60.732394366197177</v>
      </c>
      <c r="Y259" s="60">
        <f>'dynamic scaling metrics'!CY261</f>
        <v>54.323943661971832</v>
      </c>
      <c r="Z259" s="61">
        <f>'dynamic scaling metrics'!CZ261</f>
        <v>43.718309859154921</v>
      </c>
      <c r="AA259" s="67">
        <f t="shared" ref="AA259:AA260" si="120">AA253</f>
        <v>0.75</v>
      </c>
      <c r="AB259" s="57">
        <f>'dynamic scaling metrics'!EN255</f>
        <v>39.674295774647881</v>
      </c>
      <c r="AC259" s="57">
        <f>'dynamic scaling metrics'!EO255</f>
        <v>52.464788732394361</v>
      </c>
      <c r="AD259" s="57">
        <f>'dynamic scaling metrics'!EP255</f>
        <v>51.242957746478872</v>
      </c>
      <c r="AE259" s="57">
        <f>'dynamic scaling metrics'!EQ255</f>
        <v>49.820422535211264</v>
      </c>
      <c r="AF259" s="57">
        <f>'dynamic scaling metrics'!ER255</f>
        <v>42.883802816901408</v>
      </c>
      <c r="AG259" s="57">
        <f>'dynamic scaling metrics'!ES255</f>
        <v>46.239436619718305</v>
      </c>
      <c r="AH259" s="57">
        <f>'dynamic scaling metrics'!ET255</f>
        <v>40.454225352112672</v>
      </c>
      <c r="AI259" s="57">
        <f>'dynamic scaling metrics'!EU255</f>
        <v>41.721830985915496</v>
      </c>
      <c r="AK259" s="27"/>
    </row>
    <row r="260" spans="17:43" ht="31.95" customHeight="1" x14ac:dyDescent="0.4">
      <c r="Q260" t="s">
        <v>95</v>
      </c>
      <c r="R260" s="25">
        <v>0.125</v>
      </c>
      <c r="S260" s="62">
        <f>'dynamic scaling metrics'!DA261</f>
        <v>93.48591549295773</v>
      </c>
      <c r="T260" s="53">
        <f>'dynamic scaling metrics'!DB261</f>
        <v>88.638204225352098</v>
      </c>
      <c r="U260" s="53">
        <f>'dynamic scaling metrics'!DC261</f>
        <v>83.159330985915474</v>
      </c>
      <c r="V260" s="53">
        <f>'dynamic scaling metrics'!DD261</f>
        <v>67.490316901408448</v>
      </c>
      <c r="W260" s="53">
        <f>'dynamic scaling metrics'!DE261</f>
        <v>69.887323943661968</v>
      </c>
      <c r="X260" s="53">
        <f>'dynamic scaling metrics'!DF261</f>
        <v>58.643485915492953</v>
      </c>
      <c r="Y260" s="53">
        <f>'dynamic scaling metrics'!DG261</f>
        <v>53.669894366197177</v>
      </c>
      <c r="Z260" s="63">
        <f>'dynamic scaling metrics'!DH261</f>
        <v>44.404049295774641</v>
      </c>
      <c r="AA260" s="68">
        <f t="shared" si="120"/>
        <v>0.875</v>
      </c>
      <c r="AB260" s="57">
        <f>'dynamic scaling metrics'!EV255</f>
        <v>39.095070422535208</v>
      </c>
      <c r="AC260" s="57">
        <f>'dynamic scaling metrics'!EW255</f>
        <v>44.54225352112676</v>
      </c>
      <c r="AD260" s="57">
        <f>'dynamic scaling metrics'!EX255</f>
        <v>44.061619718309849</v>
      </c>
      <c r="AE260" s="57">
        <f>'dynamic scaling metrics'!EY255</f>
        <v>43.470070422535201</v>
      </c>
      <c r="AF260" s="57">
        <f>'dynamic scaling metrics'!EZ255</f>
        <v>38.276408450704224</v>
      </c>
      <c r="AG260" s="57">
        <f>'dynamic scaling metrics'!FA255</f>
        <v>41.880281690140848</v>
      </c>
      <c r="AH260" s="57">
        <f>'dynamic scaling metrics'!FB255</f>
        <v>37.16725352112676</v>
      </c>
      <c r="AI260" s="57">
        <f>'dynamic scaling metrics'!FC255</f>
        <v>39.772887323943657</v>
      </c>
      <c r="AK260" s="27"/>
    </row>
    <row r="261" spans="17:43" ht="31.95" customHeight="1" x14ac:dyDescent="0.4">
      <c r="R261" s="26">
        <v>0.25</v>
      </c>
      <c r="S261" s="62">
        <f>'dynamic scaling metrics'!DI261</f>
        <v>86.971830985915489</v>
      </c>
      <c r="T261" s="53">
        <f>'dynamic scaling metrics'!DJ261</f>
        <v>82.853873239436595</v>
      </c>
      <c r="U261" s="53">
        <f>'dynamic scaling metrics'!DK261</f>
        <v>78.191901408450704</v>
      </c>
      <c r="V261" s="53">
        <f>'dynamic scaling metrics'!DL261</f>
        <v>64.10739436619717</v>
      </c>
      <c r="W261" s="53">
        <f>'dynamic scaling metrics'!DM261</f>
        <v>66.873239436619713</v>
      </c>
      <c r="X261" s="53">
        <f>'dynamic scaling metrics'!DN261</f>
        <v>56.554577464788728</v>
      </c>
      <c r="Y261" s="53">
        <f>'dynamic scaling metrics'!DO261</f>
        <v>53.015845070422529</v>
      </c>
      <c r="Z261" s="63">
        <f>'dynamic scaling metrics'!DP261</f>
        <v>45.089788732394368</v>
      </c>
      <c r="AA261" s="58"/>
      <c r="AB261" s="54"/>
      <c r="AC261" s="56"/>
      <c r="AD261" s="53"/>
      <c r="AE261" s="53"/>
      <c r="AF261" s="53"/>
      <c r="AG261" s="53"/>
      <c r="AH261" s="53"/>
      <c r="AI261" s="53"/>
      <c r="AK261" s="27"/>
    </row>
    <row r="262" spans="17:43" ht="31.95" customHeight="1" x14ac:dyDescent="0.4">
      <c r="R262" s="25">
        <v>0.375</v>
      </c>
      <c r="S262" s="62">
        <f>'dynamic scaling metrics'!DQ261</f>
        <v>80.457746478873233</v>
      </c>
      <c r="T262" s="53">
        <f>'dynamic scaling metrics'!DR261</f>
        <v>77.069542253521107</v>
      </c>
      <c r="U262" s="53">
        <f>'dynamic scaling metrics'!DS261</f>
        <v>73.224471830985905</v>
      </c>
      <c r="V262" s="53">
        <f>'dynamic scaling metrics'!DT261</f>
        <v>60.724471830985919</v>
      </c>
      <c r="W262" s="53">
        <f>'dynamic scaling metrics'!DU261</f>
        <v>63.85915492957745</v>
      </c>
      <c r="X262" s="53">
        <f>'dynamic scaling metrics'!DV261</f>
        <v>54.465669014084497</v>
      </c>
      <c r="Y262" s="53">
        <f>'dynamic scaling metrics'!DW261</f>
        <v>52.361795774647888</v>
      </c>
      <c r="Z262" s="63">
        <f>'dynamic scaling metrics'!DX261</f>
        <v>45.775528169014081</v>
      </c>
      <c r="AA262" s="58"/>
      <c r="AB262" s="54"/>
      <c r="AC262" s="55"/>
      <c r="AD262" s="53"/>
      <c r="AE262" s="53"/>
      <c r="AF262" s="53"/>
      <c r="AG262" s="53"/>
      <c r="AH262" s="53"/>
      <c r="AI262" s="53"/>
      <c r="AK262" s="27"/>
    </row>
    <row r="263" spans="17:43" ht="31.95" customHeight="1" x14ac:dyDescent="0.4">
      <c r="R263" s="26">
        <v>0.5</v>
      </c>
      <c r="S263" s="62">
        <f>'dynamic scaling metrics'!DX261</f>
        <v>45.775528169014081</v>
      </c>
      <c r="T263" s="53">
        <f>'dynamic scaling metrics'!DY261</f>
        <v>73.943661971830977</v>
      </c>
      <c r="U263" s="53">
        <f>'dynamic scaling metrics'!DZ261</f>
        <v>71.285211267605618</v>
      </c>
      <c r="V263" s="53">
        <f>'dynamic scaling metrics'!EA261</f>
        <v>68.257042253521121</v>
      </c>
      <c r="W263" s="53">
        <f>'dynamic scaling metrics'!EB261</f>
        <v>57.341549295774641</v>
      </c>
      <c r="X263" s="53">
        <f>'dynamic scaling metrics'!EC261</f>
        <v>60.845070422535208</v>
      </c>
      <c r="Y263" s="53">
        <f>'dynamic scaling metrics'!ED261</f>
        <v>52.376760563380273</v>
      </c>
      <c r="Z263" s="63">
        <f>'dynamic scaling metrics'!EE261</f>
        <v>51.70774647887324</v>
      </c>
      <c r="AA263" s="58"/>
      <c r="AB263" s="54"/>
      <c r="AC263" s="56"/>
      <c r="AD263" s="53"/>
      <c r="AE263" s="53"/>
      <c r="AF263" s="53"/>
      <c r="AG263" s="53"/>
      <c r="AH263" s="53"/>
      <c r="AI263" s="53"/>
      <c r="AK263" s="27" t="str">
        <f t="shared" ref="AK263" si="121">Q259</f>
        <v>M5no7</v>
      </c>
    </row>
    <row r="264" spans="17:43" ht="31.95" customHeight="1" thickBot="1" x14ac:dyDescent="0.45">
      <c r="R264" s="25">
        <v>0.625</v>
      </c>
      <c r="S264" s="64">
        <f>'dynamic scaling metrics'!EF261</f>
        <v>46.4612676056338</v>
      </c>
      <c r="T264" s="65">
        <f>'dynamic scaling metrics'!EG261</f>
        <v>67.429577464788736</v>
      </c>
      <c r="U264" s="65">
        <f>'dynamic scaling metrics'!EH261</f>
        <v>65.500880281690129</v>
      </c>
      <c r="V264" s="65">
        <f>'dynamic scaling metrics'!EI261</f>
        <v>63.289612676056329</v>
      </c>
      <c r="W264" s="65">
        <f>'dynamic scaling metrics'!EJ261</f>
        <v>53.958626760563376</v>
      </c>
      <c r="X264" s="65">
        <f>'dynamic scaling metrics'!EK261</f>
        <v>57.830985915492953</v>
      </c>
      <c r="Y264" s="65">
        <f>'dynamic scaling metrics'!EL261</f>
        <v>50.287852112676056</v>
      </c>
      <c r="Z264" s="66">
        <f>'dynamic scaling metrics'!EM261</f>
        <v>51.053697183098592</v>
      </c>
      <c r="AA264" s="58"/>
      <c r="AB264">
        <v>0</v>
      </c>
      <c r="AC264" s="25">
        <v>0.125</v>
      </c>
      <c r="AD264" s="26">
        <v>0.25</v>
      </c>
      <c r="AE264" s="25">
        <v>0.375</v>
      </c>
      <c r="AF264" s="26">
        <v>0.5</v>
      </c>
      <c r="AG264" s="25">
        <v>0.625</v>
      </c>
      <c r="AH264" s="26">
        <v>0.75</v>
      </c>
      <c r="AI264" s="25">
        <v>0.875</v>
      </c>
      <c r="AK264" s="74" t="s">
        <v>107</v>
      </c>
      <c r="AL264">
        <f t="shared" ref="AL264" si="122">AVERAGE(U263:X264,AD265:AG265)</f>
        <v>60.14502640845069</v>
      </c>
      <c r="AN264" s="84"/>
      <c r="AQ264" s="84"/>
    </row>
    <row r="265" spans="17:43" ht="31.95" customHeight="1" x14ac:dyDescent="0.4">
      <c r="Q265" t="s">
        <v>53</v>
      </c>
      <c r="R265">
        <v>0</v>
      </c>
      <c r="S265" s="59">
        <f>'dynamic scaling metrics'!CS267</f>
        <v>99.999999999999986</v>
      </c>
      <c r="T265" s="60">
        <f>'dynamic scaling metrics'!CT267</f>
        <v>94.591549295774612</v>
      </c>
      <c r="U265" s="60">
        <f>'dynamic scaling metrics'!CU267</f>
        <v>88.422535211267601</v>
      </c>
      <c r="V265" s="60">
        <f>'dynamic scaling metrics'!CV267</f>
        <v>71.239436619718305</v>
      </c>
      <c r="W265" s="60">
        <f>'dynamic scaling metrics'!CW267</f>
        <v>73.295774647887299</v>
      </c>
      <c r="X265" s="60">
        <f>'dynamic scaling metrics'!CX267</f>
        <v>61.098591549295776</v>
      </c>
      <c r="Y265" s="60">
        <f>'dynamic scaling metrics'!CY267</f>
        <v>54.619718309859159</v>
      </c>
      <c r="Z265" s="61">
        <f>'dynamic scaling metrics'!CZ267</f>
        <v>43.887323943661961</v>
      </c>
      <c r="AA265" s="67">
        <f t="shared" ref="AA265:AA266" si="123">AA259</f>
        <v>0.75</v>
      </c>
      <c r="AB265" s="57">
        <f>'dynamic scaling metrics'!EN261</f>
        <v>47.14700704225352</v>
      </c>
      <c r="AC265" s="57">
        <f>'dynamic scaling metrics'!EO261</f>
        <v>60.915492957746466</v>
      </c>
      <c r="AD265" s="57">
        <f>'dynamic scaling metrics'!EP261</f>
        <v>59.716549295774634</v>
      </c>
      <c r="AE265" s="57">
        <f>'dynamic scaling metrics'!EQ261</f>
        <v>58.322183098591537</v>
      </c>
      <c r="AF265" s="57">
        <f>'dynamic scaling metrics'!ER261</f>
        <v>50.575704225352119</v>
      </c>
      <c r="AG265" s="57">
        <f>'dynamic scaling metrics'!ES261</f>
        <v>54.81690140845069</v>
      </c>
      <c r="AH265" s="57">
        <f>'dynamic scaling metrics'!ET261</f>
        <v>48.198943661971832</v>
      </c>
      <c r="AI265" s="57">
        <f>'dynamic scaling metrics'!EU261</f>
        <v>50.399647887323944</v>
      </c>
      <c r="AK265" s="27"/>
    </row>
    <row r="266" spans="17:43" ht="31.95" customHeight="1" x14ac:dyDescent="0.4">
      <c r="Q266" t="s">
        <v>95</v>
      </c>
      <c r="R266" s="25">
        <v>0.125</v>
      </c>
      <c r="S266" s="62">
        <f>'dynamic scaling metrics'!DA267</f>
        <v>92.253521126760546</v>
      </c>
      <c r="T266" s="53">
        <f>'dynamic scaling metrics'!DB267</f>
        <v>87.521126760563348</v>
      </c>
      <c r="U266" s="53">
        <f>'dynamic scaling metrics'!DC267</f>
        <v>82.123239436619698</v>
      </c>
      <c r="V266" s="53">
        <f>'dynamic scaling metrics'!DD267</f>
        <v>66.612676056338017</v>
      </c>
      <c r="W266" s="53">
        <f>'dynamic scaling metrics'!DE267</f>
        <v>68.887323943661968</v>
      </c>
      <c r="X266" s="53">
        <f>'dynamic scaling metrics'!DF267</f>
        <v>57.739436619718298</v>
      </c>
      <c r="Y266" s="53">
        <f>'dynamic scaling metrics'!DG267</f>
        <v>52.545774647887313</v>
      </c>
      <c r="Z266" s="63">
        <f>'dynamic scaling metrics'!DH267</f>
        <v>43.154929577464792</v>
      </c>
      <c r="AA266" s="68">
        <f t="shared" si="123"/>
        <v>0.875</v>
      </c>
      <c r="AB266" s="57">
        <f>'dynamic scaling metrics'!EV261</f>
        <v>47.832746478873233</v>
      </c>
      <c r="AC266" s="57">
        <f>'dynamic scaling metrics'!EW261</f>
        <v>54.401408450704224</v>
      </c>
      <c r="AD266" s="57">
        <f>'dynamic scaling metrics'!EX261</f>
        <v>53.932218309859145</v>
      </c>
      <c r="AE266" s="57">
        <f>'dynamic scaling metrics'!EY261</f>
        <v>53.35475352112676</v>
      </c>
      <c r="AF266" s="57">
        <f>'dynamic scaling metrics'!EZ261</f>
        <v>47.192781690140855</v>
      </c>
      <c r="AG266" s="57">
        <f>'dynamic scaling metrics'!FA261</f>
        <v>51.802816901408448</v>
      </c>
      <c r="AH266" s="57">
        <f>'dynamic scaling metrics'!FB261</f>
        <v>46.110035211267608</v>
      </c>
      <c r="AI266" s="57">
        <f>'dynamic scaling metrics'!FC261</f>
        <v>49.745598591549289</v>
      </c>
      <c r="AK266" s="27"/>
    </row>
    <row r="267" spans="17:43" ht="31.95" customHeight="1" x14ac:dyDescent="0.4">
      <c r="R267" s="26">
        <v>0.25</v>
      </c>
      <c r="S267" s="62">
        <f>'dynamic scaling metrics'!DI267</f>
        <v>84.507042253521107</v>
      </c>
      <c r="T267" s="53">
        <f>'dynamic scaling metrics'!DJ267</f>
        <v>80.450704225352084</v>
      </c>
      <c r="U267" s="53">
        <f>'dynamic scaling metrics'!DK267</f>
        <v>75.823943661971811</v>
      </c>
      <c r="V267" s="53">
        <f>'dynamic scaling metrics'!DL267</f>
        <v>61.985915492957737</v>
      </c>
      <c r="W267" s="53">
        <f>'dynamic scaling metrics'!DM267</f>
        <v>64.478873239436609</v>
      </c>
      <c r="X267" s="53">
        <f>'dynamic scaling metrics'!DN267</f>
        <v>54.380281690140833</v>
      </c>
      <c r="Y267" s="53">
        <f>'dynamic scaling metrics'!DO267</f>
        <v>50.471830985915489</v>
      </c>
      <c r="Z267" s="63">
        <f>'dynamic scaling metrics'!DP267</f>
        <v>42.422535211267594</v>
      </c>
      <c r="AA267" s="58"/>
      <c r="AB267" s="54"/>
      <c r="AC267" s="56"/>
      <c r="AD267" s="53"/>
      <c r="AE267" s="53"/>
      <c r="AF267" s="53"/>
      <c r="AG267" s="53"/>
      <c r="AH267" s="53"/>
      <c r="AI267" s="53"/>
      <c r="AK267" s="27"/>
    </row>
    <row r="268" spans="17:43" ht="31.95" customHeight="1" x14ac:dyDescent="0.4">
      <c r="R268" s="25">
        <v>0.375</v>
      </c>
      <c r="S268" s="62">
        <f>'dynamic scaling metrics'!DQ267</f>
        <v>76.760563380281681</v>
      </c>
      <c r="T268" s="53">
        <f>'dynamic scaling metrics'!DR267</f>
        <v>73.380281690140833</v>
      </c>
      <c r="U268" s="53">
        <f>'dynamic scaling metrics'!DS267</f>
        <v>69.524647887323937</v>
      </c>
      <c r="V268" s="53">
        <f>'dynamic scaling metrics'!DT267</f>
        <v>57.359154929577464</v>
      </c>
      <c r="W268" s="53">
        <f>'dynamic scaling metrics'!DU267</f>
        <v>60.070422535211264</v>
      </c>
      <c r="X268" s="53">
        <f>'dynamic scaling metrics'!DV267</f>
        <v>51.021126760563376</v>
      </c>
      <c r="Y268" s="53">
        <f>'dynamic scaling metrics'!DW267</f>
        <v>48.397887323943664</v>
      </c>
      <c r="Z268" s="63">
        <f>'dynamic scaling metrics'!DX267</f>
        <v>41.690140845070424</v>
      </c>
      <c r="AA268" s="58"/>
      <c r="AB268" s="54"/>
      <c r="AC268" s="55"/>
      <c r="AD268" s="53"/>
      <c r="AE268" s="53"/>
      <c r="AF268" s="53"/>
      <c r="AG268" s="53"/>
      <c r="AH268" s="53"/>
      <c r="AI268" s="53"/>
      <c r="AK268" s="27"/>
    </row>
    <row r="269" spans="17:43" ht="31.95" customHeight="1" x14ac:dyDescent="0.4">
      <c r="R269" s="26">
        <v>0.5</v>
      </c>
      <c r="S269" s="62">
        <f>'dynamic scaling metrics'!DX267</f>
        <v>41.690140845070424</v>
      </c>
      <c r="T269" s="53">
        <f>'dynamic scaling metrics'!DY267</f>
        <v>69.014084507042242</v>
      </c>
      <c r="U269" s="53">
        <f>'dynamic scaling metrics'!DZ267</f>
        <v>66.309859154929569</v>
      </c>
      <c r="V269" s="53">
        <f>'dynamic scaling metrics'!EA267</f>
        <v>63.225352112676049</v>
      </c>
      <c r="W269" s="53">
        <f>'dynamic scaling metrics'!EB267</f>
        <v>52.73239436619717</v>
      </c>
      <c r="X269" s="53">
        <f>'dynamic scaling metrics'!EC267</f>
        <v>55.661971830985912</v>
      </c>
      <c r="Y269" s="53">
        <f>'dynamic scaling metrics'!ED267</f>
        <v>47.661971830985912</v>
      </c>
      <c r="Z269" s="63">
        <f>'dynamic scaling metrics'!EE267</f>
        <v>46.323943661971832</v>
      </c>
      <c r="AA269" s="58"/>
      <c r="AB269" s="54"/>
      <c r="AC269" s="56"/>
      <c r="AD269" s="53"/>
      <c r="AE269" s="53"/>
      <c r="AF269" s="53"/>
      <c r="AG269" s="53"/>
      <c r="AH269" s="53"/>
      <c r="AI269" s="53"/>
      <c r="AK269" s="27" t="str">
        <f t="shared" ref="AK269" si="124">Q265</f>
        <v>M5no8</v>
      </c>
    </row>
    <row r="270" spans="17:43" ht="31.95" customHeight="1" thickBot="1" x14ac:dyDescent="0.45">
      <c r="R270" s="25">
        <v>0.625</v>
      </c>
      <c r="S270" s="64">
        <f>'dynamic scaling metrics'!EF267</f>
        <v>40.95774647887324</v>
      </c>
      <c r="T270" s="65">
        <f>'dynamic scaling metrics'!EG267</f>
        <v>61.267605633802809</v>
      </c>
      <c r="U270" s="65">
        <f>'dynamic scaling metrics'!EH267</f>
        <v>59.239436619718312</v>
      </c>
      <c r="V270" s="65">
        <f>'dynamic scaling metrics'!EI267</f>
        <v>56.926056338028161</v>
      </c>
      <c r="W270" s="65">
        <f>'dynamic scaling metrics'!EJ267</f>
        <v>48.105633802816904</v>
      </c>
      <c r="X270" s="65">
        <f>'dynamic scaling metrics'!EK267</f>
        <v>51.25352112676056</v>
      </c>
      <c r="Y270" s="65">
        <f>'dynamic scaling metrics'!EL267</f>
        <v>44.302816901408448</v>
      </c>
      <c r="Z270" s="66">
        <f>'dynamic scaling metrics'!EM267</f>
        <v>44.25</v>
      </c>
      <c r="AA270" s="58"/>
      <c r="AB270">
        <v>0</v>
      </c>
      <c r="AC270" s="25">
        <v>0.125</v>
      </c>
      <c r="AD270" s="26">
        <v>0.25</v>
      </c>
      <c r="AE270" s="25">
        <v>0.375</v>
      </c>
      <c r="AF270" s="26">
        <v>0.5</v>
      </c>
      <c r="AG270" s="25">
        <v>0.625</v>
      </c>
      <c r="AH270" s="26">
        <v>0.75</v>
      </c>
      <c r="AI270" s="25">
        <v>0.875</v>
      </c>
      <c r="AK270" s="74" t="s">
        <v>107</v>
      </c>
      <c r="AL270">
        <f t="shared" ref="AL270" si="125">AVERAGE(U269:X270,AD271:AG271)</f>
        <v>53.881161971830984</v>
      </c>
      <c r="AN270" s="84"/>
      <c r="AQ270" s="84"/>
    </row>
    <row r="271" spans="17:43" ht="31.95" customHeight="1" x14ac:dyDescent="0.4">
      <c r="Q271" t="s">
        <v>54</v>
      </c>
      <c r="R271">
        <v>0</v>
      </c>
      <c r="S271" s="59">
        <f>'dynamic scaling metrics'!CS273</f>
        <v>100</v>
      </c>
      <c r="T271" s="60">
        <f>'dynamic scaling metrics'!CT273</f>
        <v>94.409722222222214</v>
      </c>
      <c r="U271" s="60">
        <f>'dynamic scaling metrics'!CU273</f>
        <v>88.090277777777786</v>
      </c>
      <c r="V271" s="60">
        <f>'dynamic scaling metrics'!CV273</f>
        <v>70.798611111111128</v>
      </c>
      <c r="W271" s="60">
        <f>'dynamic scaling metrics'!CW273</f>
        <v>72.7777777777778</v>
      </c>
      <c r="X271" s="60">
        <f>'dynamic scaling metrics'!CX273</f>
        <v>60.590277777777793</v>
      </c>
      <c r="Y271" s="60">
        <f>'dynamic scaling metrics'!CY273</f>
        <v>54.062500000000007</v>
      </c>
      <c r="Z271" s="61">
        <f>'dynamic scaling metrics'!CZ273</f>
        <v>43.368055555555557</v>
      </c>
      <c r="AA271" s="67">
        <f t="shared" ref="AA271:AA272" si="126">AA265</f>
        <v>0.75</v>
      </c>
      <c r="AB271" s="57">
        <f>'dynamic scaling metrics'!EN267</f>
        <v>40.225352112676049</v>
      </c>
      <c r="AC271" s="57">
        <f>'dynamic scaling metrics'!EO267</f>
        <v>53.521126760563369</v>
      </c>
      <c r="AD271" s="57">
        <f>'dynamic scaling metrics'!EP267</f>
        <v>52.169014084507033</v>
      </c>
      <c r="AE271" s="57">
        <f>'dynamic scaling metrics'!EQ267</f>
        <v>50.626760563380287</v>
      </c>
      <c r="AF271" s="57">
        <f>'dynamic scaling metrics'!ER267</f>
        <v>43.478873239436624</v>
      </c>
      <c r="AG271" s="57">
        <f>'dynamic scaling metrics'!ES267</f>
        <v>46.845070422535208</v>
      </c>
      <c r="AH271" s="57">
        <f>'dynamic scaling metrics'!ET267</f>
        <v>40.943661971830984</v>
      </c>
      <c r="AI271" s="57">
        <f>'dynamic scaling metrics'!EU267</f>
        <v>42.176056338028168</v>
      </c>
      <c r="AK271" s="27"/>
    </row>
    <row r="272" spans="17:43" ht="31.95" customHeight="1" x14ac:dyDescent="0.4">
      <c r="Q272" t="s">
        <v>95</v>
      </c>
      <c r="R272" s="25">
        <v>0.125</v>
      </c>
      <c r="S272" s="62">
        <f>'dynamic scaling metrics'!DA273</f>
        <v>92.187500000000014</v>
      </c>
      <c r="T272" s="53">
        <f>'dynamic scaling metrics'!DB273</f>
        <v>87.328125000000028</v>
      </c>
      <c r="U272" s="53">
        <f>'dynamic scaling metrics'!DC273</f>
        <v>81.828125000000028</v>
      </c>
      <c r="V272" s="53">
        <f>'dynamic scaling metrics'!DD273</f>
        <v>66.255208333333343</v>
      </c>
      <c r="W272" s="53">
        <f>'dynamic scaling metrics'!DE273</f>
        <v>68.479166666666671</v>
      </c>
      <c r="X272" s="53">
        <f>'dynamic scaling metrics'!DF273</f>
        <v>57.348958333333343</v>
      </c>
      <c r="Y272" s="53">
        <f>'dynamic scaling metrics'!DG273</f>
        <v>52.140625000000007</v>
      </c>
      <c r="Z272" s="63">
        <f>'dynamic scaling metrics'!DH273</f>
        <v>42.796875</v>
      </c>
      <c r="AA272" s="68">
        <f t="shared" si="126"/>
        <v>0.875</v>
      </c>
      <c r="AB272" s="57">
        <f>'dynamic scaling metrics'!EV267</f>
        <v>39.492957746478872</v>
      </c>
      <c r="AC272" s="57">
        <f>'dynamic scaling metrics'!EW267</f>
        <v>45.774647887323944</v>
      </c>
      <c r="AD272" s="57">
        <f>'dynamic scaling metrics'!EX267</f>
        <v>45.098591549295769</v>
      </c>
      <c r="AE272" s="57">
        <f>'dynamic scaling metrics'!EY267</f>
        <v>44.327464788732392</v>
      </c>
      <c r="AF272" s="57">
        <f>'dynamic scaling metrics'!EZ267</f>
        <v>38.852112676056329</v>
      </c>
      <c r="AG272" s="57">
        <f>'dynamic scaling metrics'!FA267</f>
        <v>42.436619718309856</v>
      </c>
      <c r="AH272" s="57">
        <f>'dynamic scaling metrics'!FB267</f>
        <v>37.58450704225352</v>
      </c>
      <c r="AI272" s="57">
        <f>'dynamic scaling metrics'!FC267</f>
        <v>40.102112676056336</v>
      </c>
      <c r="AK272" s="27"/>
    </row>
    <row r="273" spans="3:49" ht="31.95" customHeight="1" x14ac:dyDescent="0.4">
      <c r="R273" s="26">
        <v>0.25</v>
      </c>
      <c r="S273" s="62">
        <f>'dynamic scaling metrics'!DI273</f>
        <v>84.375</v>
      </c>
      <c r="T273" s="53">
        <f>'dynamic scaling metrics'!DJ273</f>
        <v>80.246527777777786</v>
      </c>
      <c r="U273" s="53">
        <f>'dynamic scaling metrics'!DK273</f>
        <v>75.565972222222229</v>
      </c>
      <c r="V273" s="53">
        <f>'dynamic scaling metrics'!DL273</f>
        <v>61.711805555555564</v>
      </c>
      <c r="W273" s="53">
        <f>'dynamic scaling metrics'!DM273</f>
        <v>64.180555555555557</v>
      </c>
      <c r="X273" s="53">
        <f>'dynamic scaling metrics'!DN273</f>
        <v>54.107638888888893</v>
      </c>
      <c r="Y273" s="53">
        <f>'dynamic scaling metrics'!DO273</f>
        <v>50.218750000000014</v>
      </c>
      <c r="Z273" s="63">
        <f>'dynamic scaling metrics'!DP273</f>
        <v>42.22569444444445</v>
      </c>
      <c r="AA273" s="58"/>
      <c r="AB273" s="54"/>
      <c r="AC273" s="56"/>
      <c r="AD273" s="53"/>
      <c r="AE273" s="53"/>
      <c r="AF273" s="53"/>
      <c r="AG273" s="53"/>
      <c r="AH273" s="53"/>
      <c r="AI273" s="53"/>
      <c r="AK273" s="27"/>
    </row>
    <row r="274" spans="3:49" ht="31.95" customHeight="1" x14ac:dyDescent="0.4">
      <c r="R274" s="25">
        <v>0.375</v>
      </c>
      <c r="S274" s="62">
        <f>'dynamic scaling metrics'!DQ273</f>
        <v>76.562500000000014</v>
      </c>
      <c r="T274" s="53">
        <f>'dynamic scaling metrics'!DR273</f>
        <v>73.164930555555557</v>
      </c>
      <c r="U274" s="53">
        <f>'dynamic scaling metrics'!DS273</f>
        <v>69.303819444444471</v>
      </c>
      <c r="V274" s="53">
        <f>'dynamic scaling metrics'!DT273</f>
        <v>57.1684027777778</v>
      </c>
      <c r="W274" s="53">
        <f>'dynamic scaling metrics'!DU273</f>
        <v>59.88194444444445</v>
      </c>
      <c r="X274" s="53">
        <f>'dynamic scaling metrics'!DV273</f>
        <v>50.866319444444457</v>
      </c>
      <c r="Y274" s="53">
        <f>'dynamic scaling metrics'!DW273</f>
        <v>48.296875000000007</v>
      </c>
      <c r="Z274" s="63">
        <f>'dynamic scaling metrics'!DX273</f>
        <v>41.654513888888886</v>
      </c>
      <c r="AA274" s="58"/>
      <c r="AB274" s="54"/>
      <c r="AC274" s="55"/>
      <c r="AD274" s="53"/>
      <c r="AE274" s="53"/>
      <c r="AF274" s="53"/>
      <c r="AG274" s="53"/>
      <c r="AH274" s="53"/>
      <c r="AI274" s="53"/>
      <c r="AK274" s="27"/>
    </row>
    <row r="275" spans="3:49" ht="31.95" customHeight="1" x14ac:dyDescent="0.4">
      <c r="R275" s="26">
        <v>0.5</v>
      </c>
      <c r="S275" s="62">
        <f>'dynamic scaling metrics'!DX273</f>
        <v>41.654513888888886</v>
      </c>
      <c r="T275" s="53">
        <f>'dynamic scaling metrics'!DY273</f>
        <v>68.75</v>
      </c>
      <c r="U275" s="53">
        <f>'dynamic scaling metrics'!DZ273</f>
        <v>66.083333333333343</v>
      </c>
      <c r="V275" s="53">
        <f>'dynamic scaling metrics'!EA273</f>
        <v>63.041666666666664</v>
      </c>
      <c r="W275" s="53">
        <f>'dynamic scaling metrics'!EB273</f>
        <v>52.625000000000014</v>
      </c>
      <c r="X275" s="53">
        <f>'dynamic scaling metrics'!EC273</f>
        <v>55.583333333333336</v>
      </c>
      <c r="Y275" s="53">
        <f>'dynamic scaling metrics'!ED273</f>
        <v>47.625000000000007</v>
      </c>
      <c r="Z275" s="63">
        <f>'dynamic scaling metrics'!EE273</f>
        <v>46.375000000000007</v>
      </c>
      <c r="AA275" s="58"/>
      <c r="AB275" s="54"/>
      <c r="AC275" s="56"/>
      <c r="AD275" s="53"/>
      <c r="AE275" s="53"/>
      <c r="AF275" s="53"/>
      <c r="AG275" s="53"/>
      <c r="AH275" s="53"/>
      <c r="AI275" s="53"/>
      <c r="AK275" s="27" t="str">
        <f t="shared" ref="AK275" si="127">Q271</f>
        <v>M5no9</v>
      </c>
    </row>
    <row r="276" spans="3:49" s="69" customFormat="1" ht="31.95" customHeight="1" thickBot="1" x14ac:dyDescent="0.45"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R276" s="70">
        <v>0.625</v>
      </c>
      <c r="S276" s="64">
        <f>'dynamic scaling metrics'!EF273</f>
        <v>41.083333333333336</v>
      </c>
      <c r="T276" s="65">
        <f>'dynamic scaling metrics'!EG273</f>
        <v>60.937500000000007</v>
      </c>
      <c r="U276" s="65">
        <f>'dynamic scaling metrics'!EH273</f>
        <v>59.001736111111114</v>
      </c>
      <c r="V276" s="65">
        <f>'dynamic scaling metrics'!EI273</f>
        <v>56.7795138888889</v>
      </c>
      <c r="W276" s="65">
        <f>'dynamic scaling metrics'!EJ273</f>
        <v>48.081597222222236</v>
      </c>
      <c r="X276" s="65">
        <f>'dynamic scaling metrics'!EK273</f>
        <v>51.284722222222229</v>
      </c>
      <c r="Y276" s="65">
        <f>'dynamic scaling metrics'!EL273</f>
        <v>44.383680555555571</v>
      </c>
      <c r="Z276" s="66">
        <f>'dynamic scaling metrics'!EM273</f>
        <v>44.453125000000007</v>
      </c>
      <c r="AA276" s="58"/>
      <c r="AB276">
        <v>0</v>
      </c>
      <c r="AC276" s="25">
        <v>0.125</v>
      </c>
      <c r="AD276" s="26">
        <v>0.25</v>
      </c>
      <c r="AE276" s="25">
        <v>0.375</v>
      </c>
      <c r="AF276" s="26">
        <v>0.5</v>
      </c>
      <c r="AG276" s="25">
        <v>0.625</v>
      </c>
      <c r="AH276" s="26">
        <v>0.75</v>
      </c>
      <c r="AI276" s="25">
        <v>0.875</v>
      </c>
      <c r="AK276" s="74" t="s">
        <v>107</v>
      </c>
      <c r="AL276">
        <f t="shared" ref="AL276" si="128">AVERAGE(U275:X276,AD277:AG277)</f>
        <v>53.786892361111114</v>
      </c>
      <c r="AM276"/>
      <c r="AN276" s="84"/>
      <c r="AO276" s="83"/>
      <c r="AP276" s="83"/>
      <c r="AQ276" s="84"/>
      <c r="AR276" s="83"/>
      <c r="AS276" s="83"/>
      <c r="AT276" s="83"/>
      <c r="AW276" s="78"/>
    </row>
    <row r="277" spans="3:49" ht="31.95" customHeight="1" x14ac:dyDescent="0.4">
      <c r="AA277" s="67">
        <f t="shared" ref="AA277:AA278" si="129">AA271</f>
        <v>0.75</v>
      </c>
      <c r="AB277" s="57">
        <f>'dynamic scaling metrics'!EN273</f>
        <v>40.512152777777786</v>
      </c>
      <c r="AC277" s="57">
        <f>'dynamic scaling metrics'!EO273</f>
        <v>53.125000000000007</v>
      </c>
      <c r="AD277" s="57">
        <f>'dynamic scaling metrics'!EP273</f>
        <v>51.920138888888886</v>
      </c>
      <c r="AE277" s="57">
        <f>'dynamic scaling metrics'!EQ273</f>
        <v>50.517361111111128</v>
      </c>
      <c r="AF277" s="57">
        <f>'dynamic scaling metrics'!ER273</f>
        <v>43.53819444444445</v>
      </c>
      <c r="AG277" s="57">
        <f>'dynamic scaling metrics'!ES273</f>
        <v>46.986111111111121</v>
      </c>
      <c r="AH277" s="57">
        <f>'dynamic scaling metrics'!ET273</f>
        <v>41.142361111111121</v>
      </c>
      <c r="AI277" s="57">
        <f>'dynamic scaling metrics'!EU273</f>
        <v>42.531250000000007</v>
      </c>
    </row>
    <row r="278" spans="3:49" ht="31.95" customHeight="1" x14ac:dyDescent="0.4">
      <c r="AA278" s="68">
        <f t="shared" si="129"/>
        <v>0.875</v>
      </c>
      <c r="AB278" s="57">
        <f>'dynamic scaling metrics'!EV273</f>
        <v>39.940972222222229</v>
      </c>
      <c r="AC278" s="57">
        <f>'dynamic scaling metrics'!EW273</f>
        <v>45.312500000000007</v>
      </c>
      <c r="AD278" s="57">
        <f>'dynamic scaling metrics'!EX273</f>
        <v>44.838541666666671</v>
      </c>
      <c r="AE278" s="57">
        <f>'dynamic scaling metrics'!EY273</f>
        <v>44.255208333333343</v>
      </c>
      <c r="AF278" s="57">
        <f>'dynamic scaling metrics'!EZ273</f>
        <v>38.994791666666679</v>
      </c>
      <c r="AG278" s="57">
        <f>'dynamic scaling metrics'!FA273</f>
        <v>42.687500000000007</v>
      </c>
      <c r="AH278" s="57">
        <f>'dynamic scaling metrics'!FB273</f>
        <v>37.901041666666671</v>
      </c>
      <c r="AI278" s="57">
        <f>'dynamic scaling metrics'!FC273</f>
        <v>40.609375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base vs fixed vs dynamic</vt:lpstr>
      <vt:lpstr>dynamic scaling metrics</vt:lpstr>
      <vt:lpstr>dynamic vs fixed HW util.</vt:lpstr>
      <vt:lpstr>energy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본서 구</dc:creator>
  <cp:lastModifiedBy>본서 구</cp:lastModifiedBy>
  <dcterms:created xsi:type="dcterms:W3CDTF">2026-04-25T05:55:36Z</dcterms:created>
  <dcterms:modified xsi:type="dcterms:W3CDTF">2026-08-20T11:44:39Z</dcterms:modified>
</cp:coreProperties>
</file>